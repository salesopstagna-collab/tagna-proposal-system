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drawings/drawing7.xml" ContentType="application/vnd.openxmlformats-officedocument.drawing+xml"/>
  <Override PartName="/xl/comments9.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defaultThemeVersion="202300"/>
  <mc:AlternateContent xmlns:mc="http://schemas.openxmlformats.org/markup-compatibility/2006">
    <mc:Choice Requires="x15">
      <x15ac:absPath xmlns:x15ac="http://schemas.microsoft.com/office/spreadsheetml/2010/11/ac" url="C:\Users\TAGNA-NB134\TAGNA\[COM] Comercial - Documentos\Oportunidades\_Templates\OT Core\"/>
    </mc:Choice>
  </mc:AlternateContent>
  <xr:revisionPtr revIDLastSave="0" documentId="13_ncr:1_{F84AA5A1-C58F-4A8C-8672-FE96458870E4}" xr6:coauthVersionLast="47" xr6:coauthVersionMax="47" xr10:uidLastSave="{00000000-0000-0000-0000-000000000000}"/>
  <bookViews>
    <workbookView xWindow="28680" yWindow="-120" windowWidth="29040" windowHeight="15720" tabRatio="967" xr2:uid="{657B3DB3-FF1D-446F-B62C-C954BDD11C48}"/>
  </bookViews>
  <sheets>
    <sheet name="Comece aqui! ; )" sheetId="14" r:id="rId1"/>
    <sheet name="Checklist Visita" sheetId="22" r:id="rId2"/>
    <sheet name="Matriz Escopo" sheetId="6" r:id="rId3"/>
    <sheet name="OT Automacao" sheetId="7" r:id="rId4"/>
    <sheet name="OT Memoria Generica" sheetId="15" r:id="rId5"/>
    <sheet name="DRE Generica" sheetId="16" r:id="rId6"/>
    <sheet name="Marcos, Cronograma e Tabelas" sheetId="17" r:id="rId7"/>
    <sheet name="Fornec. TAGNA" sheetId="25" r:id="rId8"/>
    <sheet name="Fornec. DIRETO" sheetId="29" r:id="rId9"/>
    <sheet name="1.DASHBOARD" sheetId="24" r:id="rId10"/>
    <sheet name="ESTIMADOR" sheetId="19" r:id="rId11"/>
    <sheet name="OT Tarifas Adicionais" sheetId="30" r:id="rId12"/>
    <sheet name="Custo HH" sheetId="28" r:id="rId13"/>
    <sheet name="4. LISTAS" sheetId="27" state="hidden" r:id="rId14"/>
    <sheet name="ROI" sheetId="18" state="hidden" r:id="rId15"/>
    <sheet name="MEMORIA DE PONTOS" sheetId="21" state="hidden" r:id="rId16"/>
  </sheets>
  <definedNames>
    <definedName name="_xlnm._FilterDatabase" localSheetId="1">#REF!</definedName>
    <definedName name="_xleta.AND" hidden="1" xlm="1">#NAME?</definedName>
    <definedName name="_xleta.COLUMN" hidden="1" xlm="1">#NAME?</definedName>
    <definedName name="_xleta.DAY" hidden="1" xlm="1">#NAME?</definedName>
    <definedName name="_xleta.DURATION" hidden="1" xlm="1">#NAME?</definedName>
    <definedName name="_xleta.EOMONTH" hidden="1" xlm="1">#NAME?</definedName>
    <definedName name="_xleta.IF" hidden="1" xlm="1">#NAME?</definedName>
    <definedName name="_xleta.LARGE" hidden="1" xlm="1">#NAME?</definedName>
    <definedName name="_xleta.MONTH" hidden="1" xlm="1">#NAME?</definedName>
    <definedName name="_xleta.N" hidden="1" xlm="1">#NAME?</definedName>
    <definedName name="_xleta.NOT" hidden="1" xlm="1">#NAME?</definedName>
    <definedName name="_xleta.OR" hidden="1" xlm="1">#NAME?</definedName>
    <definedName name="_xleta.SUM" hidden="1" xlm="1">#NAME?</definedName>
    <definedName name="_xlpm.FimMes" hidden="1" xlm="1">#NAME?</definedName>
    <definedName name="_xlpm.InicioMes" hidden="1" xlm="1">#NAME?</definedName>
    <definedName name="_xlpm.Mes" hidden="1" xlm="1">#NAME?</definedName>
    <definedName name="_xlpm.Sobreposicao" hidden="1" xlm="1">#NAME?</definedName>
    <definedName name="_xlnm.Print_Area" localSheetId="2">'Matriz Escopo'!$A$1:$K$157</definedName>
    <definedName name="wrn.PENDENCIAS." localSheetId="9" hidden="1">{#N/A,#N/A,FALSE,"GERAL";#N/A,#N/A,FALSE,"012-96";#N/A,#N/A,FALSE,"018-96";#N/A,#N/A,FALSE,"027-96";#N/A,#N/A,FALSE,"059-96";#N/A,#N/A,FALSE,"076-96";#N/A,#N/A,FALSE,"019-97";#N/A,#N/A,FALSE,"021-97";#N/A,#N/A,FALSE,"022-97";#N/A,#N/A,FALSE,"028-97"}</definedName>
    <definedName name="wrn.PENDENCIAS." localSheetId="4" hidden="1">{#N/A,#N/A,FALSE,"GERAL";#N/A,#N/A,FALSE,"012-96";#N/A,#N/A,FALSE,"018-96";#N/A,#N/A,FALSE,"027-96";#N/A,#N/A,FALSE,"059-96";#N/A,#N/A,FALSE,"076-96";#N/A,#N/A,FALSE,"019-97";#N/A,#N/A,FALSE,"021-97";#N/A,#N/A,FALSE,"022-97";#N/A,#N/A,FALSE,"028-97"}</definedName>
    <definedName name="wrn.PENDENCIAS." localSheetId="11" hidden="1">{#N/A,#N/A,FALSE,"GERAL";#N/A,#N/A,FALSE,"012-96";#N/A,#N/A,FALSE,"018-96";#N/A,#N/A,FALSE,"027-96";#N/A,#N/A,FALSE,"059-96";#N/A,#N/A,FALSE,"076-96";#N/A,#N/A,FALSE,"019-97";#N/A,#N/A,FALSE,"021-97";#N/A,#N/A,FALSE,"022-97";#N/A,#N/A,FALSE,"028-97"}</definedName>
    <definedName name="wrn.PENDENCIAS." hidden="1">{#N/A,#N/A,FALSE,"GERAL";#N/A,#N/A,FALSE,"012-96";#N/A,#N/A,FALSE,"018-96";#N/A,#N/A,FALSE,"027-96";#N/A,#N/A,FALSE,"059-96";#N/A,#N/A,FALSE,"076-96";#N/A,#N/A,FALSE,"019-97";#N/A,#N/A,FALSE,"021-97";#N/A,#N/A,FALSE,"022-97";#N/A,#N/A,FALSE,"028-97"}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0" i="17" l="1"/>
  <c r="B50" i="17"/>
  <c r="C50" i="17"/>
  <c r="D50" i="17"/>
  <c r="E50" i="17"/>
  <c r="F50" i="17"/>
  <c r="G50" i="17"/>
  <c r="H50" i="17"/>
  <c r="I50" i="17"/>
  <c r="J50" i="17"/>
  <c r="K50" i="17"/>
  <c r="L50" i="17"/>
  <c r="M50" i="17"/>
  <c r="N50" i="17"/>
  <c r="O50" i="17"/>
  <c r="A51" i="17"/>
  <c r="B51" i="17"/>
  <c r="C51" i="17"/>
  <c r="D51" i="17"/>
  <c r="E51" i="17"/>
  <c r="F51" i="17"/>
  <c r="G51" i="17"/>
  <c r="H51" i="17"/>
  <c r="I51" i="17"/>
  <c r="J51" i="17"/>
  <c r="K51" i="17"/>
  <c r="L51" i="17"/>
  <c r="M51" i="17"/>
  <c r="N51" i="17"/>
  <c r="O51" i="17"/>
  <c r="A52" i="17"/>
  <c r="B52" i="17"/>
  <c r="C52" i="17"/>
  <c r="D52" i="17"/>
  <c r="E52" i="17"/>
  <c r="F52" i="17"/>
  <c r="G52" i="17"/>
  <c r="H52" i="17"/>
  <c r="I52" i="17"/>
  <c r="J52" i="17"/>
  <c r="K52" i="17"/>
  <c r="L52" i="17"/>
  <c r="M52" i="17"/>
  <c r="N52" i="17"/>
  <c r="O52" i="17"/>
  <c r="C29" i="17" l="1"/>
  <c r="C30" i="17"/>
  <c r="F74" i="6"/>
  <c r="F72" i="6"/>
  <c r="F71" i="6"/>
  <c r="A91" i="17" l="1"/>
  <c r="A90" i="17"/>
  <c r="A89" i="17"/>
  <c r="A88" i="17"/>
  <c r="A87" i="17"/>
  <c r="A86" i="17"/>
  <c r="A85" i="17"/>
  <c r="A84" i="17"/>
  <c r="A83" i="17"/>
  <c r="A82" i="17"/>
  <c r="A76" i="17"/>
  <c r="A75" i="17"/>
  <c r="A74" i="17"/>
  <c r="A73" i="17"/>
  <c r="A72" i="17"/>
  <c r="A71" i="17"/>
  <c r="A70" i="17"/>
  <c r="A69" i="17"/>
  <c r="A68" i="17"/>
  <c r="A67" i="17"/>
  <c r="C91" i="17"/>
  <c r="B91" i="17"/>
  <c r="C90" i="17"/>
  <c r="B90" i="17"/>
  <c r="C89" i="17"/>
  <c r="B89" i="17"/>
  <c r="C88" i="17"/>
  <c r="B88" i="17"/>
  <c r="C87" i="17"/>
  <c r="B87" i="17"/>
  <c r="C86" i="17"/>
  <c r="B86" i="17"/>
  <c r="C85" i="17"/>
  <c r="B85" i="17"/>
  <c r="C84" i="17"/>
  <c r="B84" i="17"/>
  <c r="C83" i="17"/>
  <c r="B83" i="17"/>
  <c r="C82" i="17"/>
  <c r="B82" i="17"/>
  <c r="C103" i="17"/>
  <c r="C102" i="17"/>
  <c r="M78" i="30"/>
  <c r="K78" i="30"/>
  <c r="J78" i="30"/>
  <c r="H78" i="30"/>
  <c r="G78" i="30"/>
  <c r="F78" i="30"/>
  <c r="M77" i="30"/>
  <c r="K77" i="30"/>
  <c r="J77" i="30"/>
  <c r="H77" i="30"/>
  <c r="G77" i="30"/>
  <c r="F77" i="30"/>
  <c r="L77" i="30" s="1"/>
  <c r="M76" i="30"/>
  <c r="K76" i="30"/>
  <c r="J76" i="30"/>
  <c r="H76" i="30"/>
  <c r="G76" i="30"/>
  <c r="F76" i="30"/>
  <c r="M75" i="30"/>
  <c r="K75" i="30"/>
  <c r="J75" i="30"/>
  <c r="H75" i="30"/>
  <c r="G75" i="30"/>
  <c r="F75" i="30"/>
  <c r="M74" i="30"/>
  <c r="K74" i="30"/>
  <c r="J74" i="30"/>
  <c r="H74" i="30"/>
  <c r="G74" i="30"/>
  <c r="F74" i="30"/>
  <c r="L74" i="30" s="1"/>
  <c r="M73" i="30"/>
  <c r="K73" i="30"/>
  <c r="J73" i="30"/>
  <c r="H73" i="30"/>
  <c r="G73" i="30"/>
  <c r="F73" i="30"/>
  <c r="L73" i="30" s="1"/>
  <c r="M72" i="30"/>
  <c r="K72" i="30"/>
  <c r="J72" i="30"/>
  <c r="H72" i="30"/>
  <c r="G72" i="30"/>
  <c r="F72" i="30"/>
  <c r="L72" i="30" s="1"/>
  <c r="M71" i="30"/>
  <c r="K71" i="30"/>
  <c r="J71" i="30"/>
  <c r="H71" i="30"/>
  <c r="G71" i="30"/>
  <c r="F71" i="30"/>
  <c r="M70" i="30"/>
  <c r="K70" i="30"/>
  <c r="J70" i="30"/>
  <c r="H70" i="30"/>
  <c r="G70" i="30"/>
  <c r="F70" i="30"/>
  <c r="L70" i="30" s="1"/>
  <c r="M69" i="30"/>
  <c r="K69" i="30"/>
  <c r="J69" i="30"/>
  <c r="H69" i="30"/>
  <c r="G69" i="30"/>
  <c r="F69" i="30"/>
  <c r="L69" i="30" s="1"/>
  <c r="M68" i="30"/>
  <c r="K68" i="30"/>
  <c r="J68" i="30"/>
  <c r="H68" i="30"/>
  <c r="G68" i="30"/>
  <c r="F68" i="30"/>
  <c r="L68" i="30" s="1"/>
  <c r="M67" i="30"/>
  <c r="K67" i="30"/>
  <c r="J67" i="30"/>
  <c r="H67" i="30"/>
  <c r="G67" i="30"/>
  <c r="F67" i="30"/>
  <c r="M66" i="30"/>
  <c r="K66" i="30"/>
  <c r="J66" i="30"/>
  <c r="H66" i="30"/>
  <c r="G66" i="30"/>
  <c r="F66" i="30"/>
  <c r="L66" i="30" s="1"/>
  <c r="M65" i="30"/>
  <c r="K65" i="30"/>
  <c r="J65" i="30"/>
  <c r="H65" i="30"/>
  <c r="G65" i="30"/>
  <c r="F65" i="30"/>
  <c r="L65" i="30" s="1"/>
  <c r="M64" i="30"/>
  <c r="K64" i="30"/>
  <c r="J64" i="30"/>
  <c r="H64" i="30"/>
  <c r="G64" i="30"/>
  <c r="F64" i="30"/>
  <c r="L64" i="30" s="1"/>
  <c r="M58" i="30"/>
  <c r="L58" i="30"/>
  <c r="K58" i="30"/>
  <c r="J58" i="30"/>
  <c r="J59" i="30" s="1"/>
  <c r="H58" i="30"/>
  <c r="G58" i="30"/>
  <c r="F58" i="30"/>
  <c r="B55" i="30"/>
  <c r="D50" i="30"/>
  <c r="D49" i="30"/>
  <c r="D48" i="30"/>
  <c r="D47" i="30"/>
  <c r="D46" i="30"/>
  <c r="D45" i="30"/>
  <c r="D44" i="30"/>
  <c r="D43" i="30"/>
  <c r="D42" i="30"/>
  <c r="D41" i="30"/>
  <c r="D40" i="30"/>
  <c r="D39" i="30"/>
  <c r="D38" i="30"/>
  <c r="D37" i="30"/>
  <c r="D36" i="30"/>
  <c r="D33" i="30"/>
  <c r="D32" i="30"/>
  <c r="D31" i="30"/>
  <c r="D30" i="30"/>
  <c r="D29" i="30"/>
  <c r="D28" i="30"/>
  <c r="D27" i="30"/>
  <c r="D26" i="30"/>
  <c r="D25" i="30"/>
  <c r="D24" i="30"/>
  <c r="D23" i="30"/>
  <c r="D22" i="30"/>
  <c r="D21" i="30"/>
  <c r="D20" i="30"/>
  <c r="D19" i="30"/>
  <c r="M16" i="30"/>
  <c r="L16" i="30"/>
  <c r="K16" i="30"/>
  <c r="J16" i="30"/>
  <c r="I16" i="30"/>
  <c r="H16" i="30"/>
  <c r="G16" i="30"/>
  <c r="C13" i="30"/>
  <c r="E13" i="30" s="1"/>
  <c r="C12" i="30"/>
  <c r="G59" i="30" s="1"/>
  <c r="M11" i="30"/>
  <c r="M14" i="30" s="1"/>
  <c r="L11" i="30"/>
  <c r="K11" i="30"/>
  <c r="K14" i="30" s="1"/>
  <c r="J11" i="30"/>
  <c r="J10" i="30" s="1"/>
  <c r="I11" i="30"/>
  <c r="I14" i="30" s="1"/>
  <c r="H11" i="30"/>
  <c r="H14" i="30" s="1"/>
  <c r="G11" i="30"/>
  <c r="G14" i="30" s="1"/>
  <c r="F11" i="30"/>
  <c r="F14" i="30" s="1"/>
  <c r="E11" i="30"/>
  <c r="B53" i="17"/>
  <c r="B54" i="17"/>
  <c r="B55" i="17"/>
  <c r="B56" i="17"/>
  <c r="B57" i="17"/>
  <c r="B58" i="17"/>
  <c r="B59" i="17"/>
  <c r="B60" i="17"/>
  <c r="B61" i="17"/>
  <c r="A53" i="17"/>
  <c r="A54" i="17"/>
  <c r="A55" i="17"/>
  <c r="A56" i="17"/>
  <c r="A57" i="17"/>
  <c r="A58" i="17"/>
  <c r="A59" i="17"/>
  <c r="A60" i="17"/>
  <c r="B92" i="17" l="1"/>
  <c r="E10" i="30"/>
  <c r="L10" i="30"/>
  <c r="N66" i="30"/>
  <c r="K10" i="30"/>
  <c r="M10" i="30"/>
  <c r="J14" i="30"/>
  <c r="I10" i="30"/>
  <c r="H10" i="30"/>
  <c r="G10" i="30"/>
  <c r="F10" i="30"/>
  <c r="N55" i="30"/>
  <c r="N74" i="30"/>
  <c r="J12" i="30"/>
  <c r="D18" i="30"/>
  <c r="N77" i="30"/>
  <c r="F59" i="30"/>
  <c r="F12" i="30"/>
  <c r="I12" i="30"/>
  <c r="M12" i="30"/>
  <c r="L59" i="30"/>
  <c r="N68" i="30"/>
  <c r="M59" i="30"/>
  <c r="N70" i="30"/>
  <c r="H59" i="30"/>
  <c r="I59" i="30"/>
  <c r="N72" i="30"/>
  <c r="L76" i="30"/>
  <c r="N76" i="30" s="1"/>
  <c r="E12" i="30"/>
  <c r="N69" i="30"/>
  <c r="N73" i="30"/>
  <c r="N64" i="30"/>
  <c r="N65" i="30"/>
  <c r="H9" i="30"/>
  <c r="D35" i="30"/>
  <c r="G13" i="30"/>
  <c r="K9" i="30"/>
  <c r="F13" i="30"/>
  <c r="J13" i="30"/>
  <c r="L9" i="30"/>
  <c r="K13" i="30"/>
  <c r="F9" i="30"/>
  <c r="I9" i="30"/>
  <c r="M9" i="30"/>
  <c r="N29" i="30"/>
  <c r="N50" i="30"/>
  <c r="G12" i="30"/>
  <c r="H13" i="30"/>
  <c r="K59" i="30"/>
  <c r="N33" i="30"/>
  <c r="H12" i="30"/>
  <c r="I13" i="30"/>
  <c r="N46" i="30"/>
  <c r="N22" i="30"/>
  <c r="N47" i="30"/>
  <c r="L67" i="30"/>
  <c r="N67" i="30" s="1"/>
  <c r="L71" i="30"/>
  <c r="N71" i="30" s="1"/>
  <c r="L75" i="30"/>
  <c r="N75" i="30" s="1"/>
  <c r="N25" i="30"/>
  <c r="N42" i="30"/>
  <c r="N26" i="30"/>
  <c r="N43" i="30"/>
  <c r="G9" i="30"/>
  <c r="K12" i="30"/>
  <c r="L13" i="30"/>
  <c r="N53" i="30"/>
  <c r="N21" i="30"/>
  <c r="N38" i="30"/>
  <c r="E9" i="30"/>
  <c r="L14" i="30"/>
  <c r="N30" i="30"/>
  <c r="N39" i="30"/>
  <c r="L12" i="30"/>
  <c r="M13" i="30"/>
  <c r="N19" i="30"/>
  <c r="N23" i="30"/>
  <c r="N27" i="30"/>
  <c r="N31" i="30"/>
  <c r="N36" i="30"/>
  <c r="N40" i="30"/>
  <c r="N44" i="30"/>
  <c r="N48" i="30"/>
  <c r="L78" i="30"/>
  <c r="J9" i="30"/>
  <c r="E14" i="30"/>
  <c r="N54" i="30"/>
  <c r="N20" i="30"/>
  <c r="N24" i="30"/>
  <c r="N28" i="30"/>
  <c r="N32" i="30"/>
  <c r="N37" i="30"/>
  <c r="N41" i="30"/>
  <c r="N45" i="30"/>
  <c r="N49" i="30"/>
  <c r="O39" i="30" l="1"/>
  <c r="C101" i="17" s="1"/>
  <c r="O38" i="30"/>
  <c r="C100" i="17" s="1"/>
  <c r="N52" i="30"/>
  <c r="O68" i="30"/>
  <c r="O78" i="30"/>
  <c r="O76" i="30"/>
  <c r="O73" i="30"/>
  <c r="O67" i="30"/>
  <c r="O74" i="30"/>
  <c r="O66" i="30"/>
  <c r="O70" i="30"/>
  <c r="N78" i="30"/>
  <c r="N59" i="30" s="1"/>
  <c r="O65" i="30"/>
  <c r="O72" i="30"/>
  <c r="O71" i="30"/>
  <c r="O69" i="30"/>
  <c r="N18" i="30"/>
  <c r="O75" i="30"/>
  <c r="O77" i="30"/>
  <c r="O64" i="30"/>
  <c r="N35" i="30"/>
  <c r="O49" i="30"/>
  <c r="O45" i="30"/>
  <c r="O41" i="30"/>
  <c r="O37" i="30"/>
  <c r="C99" i="17" s="1"/>
  <c r="O32" i="30"/>
  <c r="O28" i="30"/>
  <c r="O24" i="30"/>
  <c r="O20" i="30"/>
  <c r="O44" i="30"/>
  <c r="O36" i="30"/>
  <c r="C98" i="17" s="1"/>
  <c r="O19" i="30"/>
  <c r="O54" i="30"/>
  <c r="O40" i="30"/>
  <c r="O31" i="30"/>
  <c r="O23" i="30"/>
  <c r="O48" i="30"/>
  <c r="O27" i="30"/>
  <c r="O53" i="30"/>
  <c r="O47" i="30"/>
  <c r="O43" i="30"/>
  <c r="O30" i="30"/>
  <c r="O26" i="30"/>
  <c r="O22" i="30"/>
  <c r="O55" i="30"/>
  <c r="O50" i="30"/>
  <c r="O46" i="30"/>
  <c r="O42" i="30"/>
  <c r="O33" i="30"/>
  <c r="O29" i="30"/>
  <c r="O25" i="30"/>
  <c r="O21" i="30"/>
  <c r="N63" i="30" l="1"/>
  <c r="N4" i="30"/>
  <c r="O18" i="30"/>
  <c r="O52" i="30"/>
  <c r="O35" i="30"/>
  <c r="O63" i="30"/>
  <c r="O59" i="30"/>
  <c r="O4" i="30" l="1"/>
  <c r="P3" i="30" s="1"/>
  <c r="P6" i="30" l="1"/>
  <c r="E305" i="29" l="1"/>
  <c r="E304" i="29"/>
  <c r="E303" i="29"/>
  <c r="E302" i="29"/>
  <c r="E301" i="29"/>
  <c r="E300" i="29"/>
  <c r="E299" i="29"/>
  <c r="E298" i="29"/>
  <c r="E297" i="29"/>
  <c r="E296" i="29"/>
  <c r="E295" i="29"/>
  <c r="E294" i="29"/>
  <c r="E293" i="29"/>
  <c r="E292" i="29"/>
  <c r="E291" i="29"/>
  <c r="E290" i="29"/>
  <c r="E289" i="29"/>
  <c r="E288" i="29"/>
  <c r="E287" i="29"/>
  <c r="E286" i="29"/>
  <c r="E285" i="29"/>
  <c r="E284" i="29"/>
  <c r="E283" i="29"/>
  <c r="E282" i="29"/>
  <c r="E281" i="29"/>
  <c r="E275" i="29"/>
  <c r="E274" i="29"/>
  <c r="E273" i="29"/>
  <c r="E272" i="29"/>
  <c r="E271" i="29"/>
  <c r="E270" i="29"/>
  <c r="E269" i="29"/>
  <c r="E268" i="29"/>
  <c r="E267" i="29"/>
  <c r="E266" i="29"/>
  <c r="E265" i="29"/>
  <c r="E264" i="29"/>
  <c r="E263" i="29"/>
  <c r="E262" i="29"/>
  <c r="E261" i="29"/>
  <c r="E260" i="29"/>
  <c r="E259" i="29"/>
  <c r="E258" i="29"/>
  <c r="E257" i="29"/>
  <c r="E256" i="29"/>
  <c r="E255" i="29"/>
  <c r="E254" i="29"/>
  <c r="E253" i="29"/>
  <c r="E252" i="29"/>
  <c r="E251" i="29"/>
  <c r="E245" i="29"/>
  <c r="E244" i="29"/>
  <c r="E243" i="29"/>
  <c r="E242" i="29"/>
  <c r="E241" i="29"/>
  <c r="E240" i="29"/>
  <c r="E239" i="29"/>
  <c r="E238" i="29"/>
  <c r="E237" i="29"/>
  <c r="E236" i="29"/>
  <c r="E235" i="29"/>
  <c r="E234" i="29"/>
  <c r="E233" i="29"/>
  <c r="E232" i="29"/>
  <c r="E231" i="29"/>
  <c r="E230" i="29"/>
  <c r="E229" i="29"/>
  <c r="E228" i="29"/>
  <c r="E227" i="29"/>
  <c r="E226" i="29"/>
  <c r="E225" i="29"/>
  <c r="E224" i="29"/>
  <c r="E223" i="29"/>
  <c r="E222" i="29"/>
  <c r="E221" i="29"/>
  <c r="E215" i="29"/>
  <c r="E214" i="29"/>
  <c r="E213" i="29"/>
  <c r="E212" i="29"/>
  <c r="E211" i="29"/>
  <c r="E210" i="29"/>
  <c r="E209" i="29"/>
  <c r="E208" i="29"/>
  <c r="E207" i="29"/>
  <c r="E206" i="29"/>
  <c r="E205" i="29"/>
  <c r="E204" i="29"/>
  <c r="E203" i="29"/>
  <c r="E202" i="29"/>
  <c r="E201" i="29"/>
  <c r="E200" i="29"/>
  <c r="E199" i="29"/>
  <c r="E198" i="29"/>
  <c r="E197" i="29"/>
  <c r="E196" i="29"/>
  <c r="E195" i="29"/>
  <c r="E194" i="29"/>
  <c r="E193" i="29"/>
  <c r="E192" i="29"/>
  <c r="E191" i="29"/>
  <c r="E185" i="29"/>
  <c r="E184" i="29"/>
  <c r="E183" i="29"/>
  <c r="E182" i="29"/>
  <c r="E181" i="29"/>
  <c r="E180" i="29"/>
  <c r="E179" i="29"/>
  <c r="E178" i="29"/>
  <c r="E177" i="29"/>
  <c r="E176" i="29"/>
  <c r="E175" i="29"/>
  <c r="E174" i="29"/>
  <c r="E173" i="29"/>
  <c r="E172" i="29"/>
  <c r="E171" i="29"/>
  <c r="E170" i="29"/>
  <c r="E169" i="29"/>
  <c r="E168" i="29"/>
  <c r="E167" i="29"/>
  <c r="E166" i="29"/>
  <c r="E165" i="29"/>
  <c r="E164" i="29"/>
  <c r="E163" i="29"/>
  <c r="E162" i="29"/>
  <c r="E161" i="29"/>
  <c r="E155" i="29"/>
  <c r="E154" i="29"/>
  <c r="E153" i="29"/>
  <c r="E152" i="29"/>
  <c r="E151" i="29"/>
  <c r="E150" i="29"/>
  <c r="E149" i="29"/>
  <c r="E148" i="29"/>
  <c r="E147" i="29"/>
  <c r="E146" i="29"/>
  <c r="E145" i="29"/>
  <c r="E144" i="29"/>
  <c r="E143" i="29"/>
  <c r="E142" i="29"/>
  <c r="E141" i="29"/>
  <c r="E140" i="29"/>
  <c r="E139" i="29"/>
  <c r="E138" i="29"/>
  <c r="E137" i="29"/>
  <c r="E136" i="29"/>
  <c r="E135" i="29"/>
  <c r="E134" i="29"/>
  <c r="E133" i="29"/>
  <c r="E132" i="29"/>
  <c r="E131" i="29"/>
  <c r="E125" i="29"/>
  <c r="E124" i="29"/>
  <c r="E123" i="29"/>
  <c r="E122" i="29"/>
  <c r="E121" i="29"/>
  <c r="E120" i="29"/>
  <c r="E119" i="29"/>
  <c r="E118" i="29"/>
  <c r="E117" i="29"/>
  <c r="E116" i="29"/>
  <c r="E115" i="29"/>
  <c r="E114" i="29"/>
  <c r="E113" i="29"/>
  <c r="E112" i="29"/>
  <c r="E111" i="29"/>
  <c r="E110" i="29"/>
  <c r="E109" i="29"/>
  <c r="E108" i="29"/>
  <c r="E107" i="29"/>
  <c r="E106" i="29"/>
  <c r="E105" i="29"/>
  <c r="E104" i="29"/>
  <c r="E103" i="29"/>
  <c r="E102" i="29"/>
  <c r="E101" i="29"/>
  <c r="E95" i="29"/>
  <c r="E94" i="29"/>
  <c r="E93" i="29"/>
  <c r="E92" i="29"/>
  <c r="E91" i="29"/>
  <c r="E90" i="29"/>
  <c r="E89" i="29"/>
  <c r="E88" i="29"/>
  <c r="E87" i="29"/>
  <c r="E86" i="29"/>
  <c r="E85" i="29"/>
  <c r="E84" i="29"/>
  <c r="E83" i="29"/>
  <c r="E82" i="29"/>
  <c r="E81" i="29"/>
  <c r="E80" i="29"/>
  <c r="E79" i="29"/>
  <c r="E78" i="29"/>
  <c r="E77" i="29"/>
  <c r="E76" i="29"/>
  <c r="E75" i="29"/>
  <c r="E74" i="29"/>
  <c r="E73" i="29"/>
  <c r="E72" i="29"/>
  <c r="E71" i="29"/>
  <c r="E65" i="29"/>
  <c r="E64" i="29"/>
  <c r="E63" i="29"/>
  <c r="E62" i="29"/>
  <c r="E61" i="29"/>
  <c r="E60" i="29"/>
  <c r="E59" i="29"/>
  <c r="E58" i="29"/>
  <c r="E57" i="29"/>
  <c r="E56" i="29"/>
  <c r="E55" i="29"/>
  <c r="E54" i="29"/>
  <c r="E53" i="29"/>
  <c r="E52" i="29"/>
  <c r="E51" i="29"/>
  <c r="E50" i="29"/>
  <c r="E49" i="29"/>
  <c r="E48" i="29"/>
  <c r="E47" i="29"/>
  <c r="E46" i="29"/>
  <c r="E45" i="29"/>
  <c r="E44" i="29"/>
  <c r="E43" i="29"/>
  <c r="E42" i="29"/>
  <c r="E41" i="29"/>
  <c r="E12" i="29"/>
  <c r="E13" i="29"/>
  <c r="E14" i="29"/>
  <c r="E15" i="29"/>
  <c r="E16" i="29"/>
  <c r="E17" i="29"/>
  <c r="E18" i="29"/>
  <c r="E19" i="29"/>
  <c r="E20" i="29"/>
  <c r="E21" i="29"/>
  <c r="E22" i="29"/>
  <c r="E23" i="29"/>
  <c r="E24" i="29"/>
  <c r="E25" i="29"/>
  <c r="E26" i="29"/>
  <c r="E27" i="29"/>
  <c r="E28" i="29"/>
  <c r="E29" i="29"/>
  <c r="E30" i="29"/>
  <c r="E31" i="29"/>
  <c r="E32" i="29"/>
  <c r="E33" i="29"/>
  <c r="E34" i="29"/>
  <c r="E35" i="29"/>
  <c r="E11" i="29"/>
  <c r="C9" i="28" l="1"/>
  <c r="H13" i="16"/>
  <c r="J27" i="16"/>
  <c r="J22" i="16"/>
  <c r="D65" i="15"/>
  <c r="D52" i="15"/>
  <c r="D53" i="15"/>
  <c r="D54" i="15"/>
  <c r="D55" i="15"/>
  <c r="D56" i="15"/>
  <c r="D57" i="15"/>
  <c r="D58" i="15"/>
  <c r="D59" i="15"/>
  <c r="D60" i="15"/>
  <c r="D61" i="15"/>
  <c r="D62" i="15"/>
  <c r="D63" i="15"/>
  <c r="D64" i="15"/>
  <c r="D51" i="15"/>
  <c r="C17" i="28" l="1"/>
  <c r="C15" i="28"/>
  <c r="C13" i="28"/>
  <c r="C12" i="28"/>
  <c r="C11" i="28"/>
  <c r="C23" i="28" s="1"/>
  <c r="C24" i="28" s="1"/>
  <c r="C7" i="28" s="1"/>
  <c r="C8" i="28" s="1"/>
  <c r="C5" i="28"/>
  <c r="B49" i="17" l="1"/>
  <c r="F73" i="6" l="1"/>
  <c r="H91" i="6" l="1"/>
  <c r="C46" i="7" s="1"/>
  <c r="F146" i="6"/>
  <c r="F141" i="6"/>
  <c r="F140" i="6"/>
  <c r="F139" i="6"/>
  <c r="F138" i="6"/>
  <c r="F137" i="6"/>
  <c r="F136" i="6"/>
  <c r="F135" i="6"/>
  <c r="F134" i="6"/>
  <c r="F133" i="6"/>
  <c r="F132" i="6"/>
  <c r="F127" i="6"/>
  <c r="F126" i="6"/>
  <c r="F125" i="6"/>
  <c r="F124" i="6"/>
  <c r="F123" i="6"/>
  <c r="F122" i="6"/>
  <c r="F121" i="6"/>
  <c r="F120" i="6"/>
  <c r="F119" i="6"/>
  <c r="F118" i="6"/>
  <c r="F117" i="6"/>
  <c r="F116" i="6"/>
  <c r="F32" i="6"/>
  <c r="F39" i="6"/>
  <c r="F38" i="6"/>
  <c r="F37" i="6"/>
  <c r="F48" i="6"/>
  <c r="F47" i="6"/>
  <c r="F46" i="6"/>
  <c r="F45" i="6"/>
  <c r="F44" i="6"/>
  <c r="F55" i="6"/>
  <c r="F54" i="6"/>
  <c r="F53" i="6"/>
  <c r="F64" i="6"/>
  <c r="F63" i="6"/>
  <c r="F62" i="6"/>
  <c r="F61" i="6"/>
  <c r="F60" i="6"/>
  <c r="F76" i="6"/>
  <c r="F70" i="6"/>
  <c r="F85" i="6"/>
  <c r="F84" i="6"/>
  <c r="F90" i="6"/>
  <c r="F104" i="6"/>
  <c r="F103" i="6"/>
  <c r="F102" i="6"/>
  <c r="F101" i="6"/>
  <c r="F100" i="6"/>
  <c r="F99" i="6"/>
  <c r="F98" i="6"/>
  <c r="F97" i="6"/>
  <c r="F96" i="6"/>
  <c r="F95" i="6"/>
  <c r="F94" i="6"/>
  <c r="F93" i="6"/>
  <c r="F92" i="6"/>
  <c r="F111" i="6"/>
  <c r="F110" i="6"/>
  <c r="F4" i="19"/>
  <c r="A38" i="17"/>
  <c r="A61" i="17" s="1"/>
  <c r="J127" i="6"/>
  <c r="J146" i="6"/>
  <c r="B70" i="15"/>
  <c r="B69" i="15"/>
  <c r="B68" i="15"/>
  <c r="N55" i="7"/>
  <c r="N54" i="7"/>
  <c r="N53" i="7"/>
  <c r="N52" i="7" s="1"/>
  <c r="F10" i="15"/>
  <c r="G10" i="15"/>
  <c r="H10" i="15"/>
  <c r="I10" i="15"/>
  <c r="J10" i="15"/>
  <c r="K10" i="15"/>
  <c r="L10" i="15"/>
  <c r="M10" i="15"/>
  <c r="E10" i="15"/>
  <c r="B77" i="7"/>
  <c r="D77" i="7"/>
  <c r="B78" i="7"/>
  <c r="D78" i="7"/>
  <c r="B79" i="7"/>
  <c r="D79" i="7"/>
  <c r="B80" i="7"/>
  <c r="D80" i="7"/>
  <c r="B81" i="7"/>
  <c r="D81" i="7"/>
  <c r="B82" i="7"/>
  <c r="D82" i="7"/>
  <c r="B83" i="7"/>
  <c r="D83" i="7"/>
  <c r="B84" i="7"/>
  <c r="D84" i="7"/>
  <c r="B85" i="7"/>
  <c r="D85" i="7"/>
  <c r="C62" i="7"/>
  <c r="G52" i="6"/>
  <c r="D111" i="6"/>
  <c r="D85" i="6"/>
  <c r="D84" i="6"/>
  <c r="N70" i="15" l="1"/>
  <c r="N69" i="15"/>
  <c r="N68" i="15"/>
  <c r="N67" i="15" s="1"/>
  <c r="N52" i="15"/>
  <c r="N55" i="15"/>
  <c r="N58" i="15"/>
  <c r="N61" i="15"/>
  <c r="N64" i="15"/>
  <c r="N65" i="15"/>
  <c r="N53" i="15"/>
  <c r="N54" i="15"/>
  <c r="N56" i="15"/>
  <c r="N57" i="15"/>
  <c r="N59" i="15"/>
  <c r="N60" i="15"/>
  <c r="N62" i="15"/>
  <c r="N63" i="15"/>
  <c r="N51" i="15"/>
  <c r="C68" i="17"/>
  <c r="C67" i="17"/>
  <c r="C76" i="17"/>
  <c r="C75" i="17"/>
  <c r="C74" i="17"/>
  <c r="C73" i="17"/>
  <c r="C72" i="17"/>
  <c r="C71" i="17"/>
  <c r="C70" i="17"/>
  <c r="C69" i="17"/>
  <c r="M91" i="7"/>
  <c r="L91" i="7"/>
  <c r="K91" i="7"/>
  <c r="J91" i="7"/>
  <c r="H91" i="7"/>
  <c r="G91" i="7"/>
  <c r="F91" i="7"/>
  <c r="E88" i="7"/>
  <c r="C88" i="7"/>
  <c r="B88" i="7"/>
  <c r="A87" i="7"/>
  <c r="F73" i="7"/>
  <c r="C73" i="7"/>
  <c r="B73" i="7"/>
  <c r="F72" i="7"/>
  <c r="C72" i="7"/>
  <c r="B72" i="7"/>
  <c r="F71" i="7"/>
  <c r="C71" i="7"/>
  <c r="B71" i="7"/>
  <c r="F70" i="7"/>
  <c r="C70" i="7"/>
  <c r="B70" i="7"/>
  <c r="F69" i="7"/>
  <c r="C69" i="7"/>
  <c r="B69" i="7"/>
  <c r="F68" i="7"/>
  <c r="C68" i="7"/>
  <c r="B68" i="7"/>
  <c r="F67" i="7"/>
  <c r="C67" i="7"/>
  <c r="B67" i="7"/>
  <c r="F66" i="7"/>
  <c r="C66" i="7"/>
  <c r="B66" i="7"/>
  <c r="F65" i="7"/>
  <c r="C65" i="7"/>
  <c r="B65" i="7"/>
  <c r="F64" i="7"/>
  <c r="C64" i="7"/>
  <c r="B64" i="7"/>
  <c r="F63" i="7"/>
  <c r="C63" i="7"/>
  <c r="B63" i="7"/>
  <c r="F62" i="7"/>
  <c r="N62" i="7" s="1"/>
  <c r="B62" i="7"/>
  <c r="A62" i="7"/>
  <c r="A61" i="7"/>
  <c r="A75" i="7"/>
  <c r="F59" i="7"/>
  <c r="C59" i="7"/>
  <c r="B59" i="7"/>
  <c r="F58" i="7"/>
  <c r="B58" i="7"/>
  <c r="A57" i="7"/>
  <c r="F50" i="7"/>
  <c r="C50" i="7"/>
  <c r="B50" i="7"/>
  <c r="F48" i="7"/>
  <c r="C48" i="7"/>
  <c r="B48" i="7"/>
  <c r="B55" i="7" s="1"/>
  <c r="F47" i="7"/>
  <c r="C47" i="7"/>
  <c r="B47" i="7"/>
  <c r="B54" i="7" s="1"/>
  <c r="B46" i="7"/>
  <c r="B53" i="7" s="1"/>
  <c r="A45" i="7"/>
  <c r="F42" i="7"/>
  <c r="C42" i="7"/>
  <c r="B42" i="7"/>
  <c r="F41" i="7"/>
  <c r="C41" i="7"/>
  <c r="B41" i="7"/>
  <c r="F40" i="7"/>
  <c r="C40" i="7"/>
  <c r="B40" i="7"/>
  <c r="E39" i="7"/>
  <c r="C39" i="7"/>
  <c r="B39" i="7"/>
  <c r="E38" i="7"/>
  <c r="C38" i="7"/>
  <c r="B38" i="7"/>
  <c r="A37" i="7"/>
  <c r="E35" i="7"/>
  <c r="C35" i="7"/>
  <c r="B35" i="7"/>
  <c r="E34" i="7"/>
  <c r="C34" i="7"/>
  <c r="B34" i="7"/>
  <c r="E33" i="7"/>
  <c r="C33" i="7"/>
  <c r="B33" i="7"/>
  <c r="A32" i="7"/>
  <c r="E30" i="7"/>
  <c r="C30" i="7"/>
  <c r="B30" i="7"/>
  <c r="E29" i="7"/>
  <c r="C29" i="7"/>
  <c r="B29" i="7"/>
  <c r="E28" i="7"/>
  <c r="C28" i="7"/>
  <c r="B28" i="7"/>
  <c r="E27" i="7"/>
  <c r="B27" i="7"/>
  <c r="E26" i="7"/>
  <c r="B26" i="7"/>
  <c r="A25" i="7"/>
  <c r="E23" i="7"/>
  <c r="C23" i="7"/>
  <c r="B23" i="7"/>
  <c r="E22" i="7"/>
  <c r="C22" i="7"/>
  <c r="B22" i="7"/>
  <c r="E21" i="7"/>
  <c r="C21" i="7"/>
  <c r="B21" i="7"/>
  <c r="A20" i="7"/>
  <c r="E18" i="7"/>
  <c r="C18" i="7"/>
  <c r="N18" i="7" s="1"/>
  <c r="B18" i="7"/>
  <c r="A18" i="7"/>
  <c r="A17" i="7"/>
  <c r="M111" i="7"/>
  <c r="K111" i="7"/>
  <c r="J111" i="7"/>
  <c r="H111" i="7"/>
  <c r="G111" i="7"/>
  <c r="F111" i="7"/>
  <c r="M110" i="7"/>
  <c r="K110" i="7"/>
  <c r="J110" i="7"/>
  <c r="H110" i="7"/>
  <c r="G110" i="7"/>
  <c r="F110" i="7"/>
  <c r="M109" i="7"/>
  <c r="K109" i="7"/>
  <c r="J109" i="7"/>
  <c r="H109" i="7"/>
  <c r="G109" i="7"/>
  <c r="F109" i="7"/>
  <c r="M108" i="7"/>
  <c r="K108" i="7"/>
  <c r="J108" i="7"/>
  <c r="H108" i="7"/>
  <c r="G108" i="7"/>
  <c r="F108" i="7"/>
  <c r="M107" i="7"/>
  <c r="K107" i="7"/>
  <c r="J107" i="7"/>
  <c r="H107" i="7"/>
  <c r="G107" i="7"/>
  <c r="F107" i="7"/>
  <c r="M106" i="7"/>
  <c r="K106" i="7"/>
  <c r="J106" i="7"/>
  <c r="H106" i="7"/>
  <c r="G106" i="7"/>
  <c r="F106" i="7"/>
  <c r="M105" i="7"/>
  <c r="K105" i="7"/>
  <c r="J105" i="7"/>
  <c r="H105" i="7"/>
  <c r="G105" i="7"/>
  <c r="F105" i="7"/>
  <c r="M104" i="7"/>
  <c r="K104" i="7"/>
  <c r="J104" i="7"/>
  <c r="H104" i="7"/>
  <c r="G104" i="7"/>
  <c r="F104" i="7"/>
  <c r="M103" i="7"/>
  <c r="K103" i="7"/>
  <c r="J103" i="7"/>
  <c r="H103" i="7"/>
  <c r="G103" i="7"/>
  <c r="F103" i="7"/>
  <c r="M102" i="7"/>
  <c r="K102" i="7"/>
  <c r="J102" i="7"/>
  <c r="H102" i="7"/>
  <c r="G102" i="7"/>
  <c r="F102" i="7"/>
  <c r="M101" i="7"/>
  <c r="K101" i="7"/>
  <c r="J101" i="7"/>
  <c r="H101" i="7"/>
  <c r="G101" i="7"/>
  <c r="F101" i="7"/>
  <c r="M100" i="7"/>
  <c r="K100" i="7"/>
  <c r="J100" i="7"/>
  <c r="H100" i="7"/>
  <c r="G100" i="7"/>
  <c r="F100" i="7"/>
  <c r="M99" i="7"/>
  <c r="K99" i="7"/>
  <c r="J99" i="7"/>
  <c r="H99" i="7"/>
  <c r="G99" i="7"/>
  <c r="F99" i="7"/>
  <c r="N85" i="7"/>
  <c r="N84" i="7"/>
  <c r="N83" i="7"/>
  <c r="N77" i="7"/>
  <c r="N76" i="7"/>
  <c r="D76" i="7"/>
  <c r="D75" i="7" s="1"/>
  <c r="M15" i="7"/>
  <c r="L15" i="7"/>
  <c r="K15" i="7"/>
  <c r="J15" i="7"/>
  <c r="I15" i="7"/>
  <c r="H15" i="7"/>
  <c r="G15" i="7"/>
  <c r="F15" i="7"/>
  <c r="E15" i="7"/>
  <c r="G145" i="6"/>
  <c r="J126" i="6"/>
  <c r="J125" i="6"/>
  <c r="J124" i="6"/>
  <c r="J123" i="6"/>
  <c r="J122" i="6"/>
  <c r="J121" i="6"/>
  <c r="J120" i="6"/>
  <c r="J119" i="6"/>
  <c r="J118" i="6"/>
  <c r="J117" i="6"/>
  <c r="A117" i="6"/>
  <c r="A118" i="6" s="1"/>
  <c r="A119" i="6" s="1"/>
  <c r="A120" i="6" s="1"/>
  <c r="A121" i="6" s="1"/>
  <c r="A122" i="6" s="1"/>
  <c r="A123" i="6" s="1"/>
  <c r="A124" i="6" s="1"/>
  <c r="A125" i="6" s="1"/>
  <c r="A126" i="6" s="1"/>
  <c r="A127" i="6" s="1"/>
  <c r="A73" i="7" s="1"/>
  <c r="J116" i="6"/>
  <c r="G115" i="6"/>
  <c r="B76" i="7"/>
  <c r="A132" i="6"/>
  <c r="A133" i="6" s="1"/>
  <c r="G131" i="6"/>
  <c r="F109" i="6"/>
  <c r="A109" i="6"/>
  <c r="A110" i="6" s="1"/>
  <c r="A59" i="7" s="1"/>
  <c r="G108" i="6"/>
  <c r="J104" i="6"/>
  <c r="J103" i="6"/>
  <c r="J102" i="6"/>
  <c r="A102" i="6"/>
  <c r="A103" i="6" s="1"/>
  <c r="A104" i="6" s="1"/>
  <c r="J101" i="6"/>
  <c r="J100" i="6"/>
  <c r="J99" i="6"/>
  <c r="J98" i="6"/>
  <c r="J97" i="6"/>
  <c r="J96" i="6"/>
  <c r="J95" i="6"/>
  <c r="J94" i="6"/>
  <c r="J93" i="6"/>
  <c r="J92" i="6"/>
  <c r="J90" i="6"/>
  <c r="A90" i="6"/>
  <c r="G89" i="6"/>
  <c r="G80" i="6"/>
  <c r="D70" i="6"/>
  <c r="G68" i="6"/>
  <c r="J64" i="6"/>
  <c r="J63" i="6"/>
  <c r="J62" i="6"/>
  <c r="J61" i="6"/>
  <c r="J60" i="6"/>
  <c r="A60" i="6"/>
  <c r="A61" i="6" s="1"/>
  <c r="A62" i="6" s="1"/>
  <c r="A63" i="6" s="1"/>
  <c r="A64" i="6" s="1"/>
  <c r="A42" i="7" s="1"/>
  <c r="G59" i="6"/>
  <c r="J55" i="6"/>
  <c r="J54" i="6"/>
  <c r="J53" i="6"/>
  <c r="A53" i="6"/>
  <c r="A54" i="6" s="1"/>
  <c r="A55" i="6" s="1"/>
  <c r="A35" i="7" s="1"/>
  <c r="J48" i="6"/>
  <c r="J47" i="6"/>
  <c r="J46" i="6"/>
  <c r="A44" i="6"/>
  <c r="G43" i="6"/>
  <c r="J39" i="6"/>
  <c r="J38" i="6"/>
  <c r="J37" i="6"/>
  <c r="A37" i="6"/>
  <c r="G36" i="6"/>
  <c r="J32" i="6"/>
  <c r="C12" i="15"/>
  <c r="C11" i="15"/>
  <c r="I74" i="15" s="1"/>
  <c r="C11" i="7"/>
  <c r="I92" i="7" s="1"/>
  <c r="N65" i="7" l="1"/>
  <c r="D65" i="7"/>
  <c r="N64" i="7"/>
  <c r="D64" i="7"/>
  <c r="N68" i="7"/>
  <c r="D68" i="7"/>
  <c r="N72" i="7"/>
  <c r="D72" i="7"/>
  <c r="O22" i="7"/>
  <c r="N22" i="7"/>
  <c r="N73" i="7"/>
  <c r="D73" i="7"/>
  <c r="N66" i="7"/>
  <c r="D66" i="7"/>
  <c r="D62" i="7"/>
  <c r="N69" i="7"/>
  <c r="D69" i="7"/>
  <c r="N70" i="7"/>
  <c r="D70" i="7"/>
  <c r="N63" i="7"/>
  <c r="D63" i="7"/>
  <c r="N67" i="7"/>
  <c r="D67" i="7"/>
  <c r="N71" i="7"/>
  <c r="D71" i="7"/>
  <c r="N35" i="7"/>
  <c r="J91" i="6"/>
  <c r="A134" i="6"/>
  <c r="A77" i="7"/>
  <c r="N75" i="7"/>
  <c r="D50" i="7"/>
  <c r="M92" i="7"/>
  <c r="L92" i="7"/>
  <c r="K92" i="7"/>
  <c r="J92" i="7"/>
  <c r="H92" i="7"/>
  <c r="G92" i="7"/>
  <c r="F92" i="7"/>
  <c r="D88" i="7"/>
  <c r="D87" i="7" s="1"/>
  <c r="N88" i="7"/>
  <c r="N87" i="7" s="1"/>
  <c r="N41" i="7"/>
  <c r="N34" i="7"/>
  <c r="A45" i="6"/>
  <c r="A26" i="7"/>
  <c r="A21" i="7"/>
  <c r="A38" i="6"/>
  <c r="A33" i="7"/>
  <c r="A64" i="7"/>
  <c r="A67" i="7"/>
  <c r="A70" i="7"/>
  <c r="A38" i="7"/>
  <c r="A41" i="7"/>
  <c r="A58" i="7"/>
  <c r="A34" i="7"/>
  <c r="A65" i="7"/>
  <c r="A68" i="7"/>
  <c r="A71" i="7"/>
  <c r="A39" i="7"/>
  <c r="A63" i="7"/>
  <c r="A66" i="7"/>
  <c r="A69" i="7"/>
  <c r="A72" i="7"/>
  <c r="A40" i="7"/>
  <c r="A76" i="7"/>
  <c r="J109" i="6"/>
  <c r="C58" i="7"/>
  <c r="N50" i="7"/>
  <c r="N43" i="7"/>
  <c r="F46" i="7"/>
  <c r="L111" i="7"/>
  <c r="N111" i="7"/>
  <c r="L110" i="7"/>
  <c r="L109" i="7"/>
  <c r="L108" i="7"/>
  <c r="N108" i="7" s="1"/>
  <c r="L107" i="7"/>
  <c r="L106" i="7"/>
  <c r="N106" i="7"/>
  <c r="L105" i="7"/>
  <c r="L104" i="7"/>
  <c r="L103" i="7"/>
  <c r="L102" i="7"/>
  <c r="N102" i="7"/>
  <c r="L101" i="7"/>
  <c r="N101" i="7"/>
  <c r="L100" i="7"/>
  <c r="N100" i="7"/>
  <c r="L99" i="7"/>
  <c r="M97" i="7"/>
  <c r="K97" i="7"/>
  <c r="J97" i="7"/>
  <c r="H97" i="7"/>
  <c r="G97" i="7"/>
  <c r="F97" i="7"/>
  <c r="D59" i="7"/>
  <c r="N59" i="7"/>
  <c r="D49" i="7"/>
  <c r="N49" i="7"/>
  <c r="D48" i="7"/>
  <c r="N48" i="7"/>
  <c r="D47" i="7"/>
  <c r="N47" i="7"/>
  <c r="D42" i="7"/>
  <c r="N42" i="7"/>
  <c r="D41" i="7"/>
  <c r="N40" i="7"/>
  <c r="D40" i="7"/>
  <c r="N39" i="7"/>
  <c r="D39" i="7"/>
  <c r="N38" i="7"/>
  <c r="D38" i="7"/>
  <c r="D35" i="7"/>
  <c r="D34" i="7"/>
  <c r="D33" i="7"/>
  <c r="N33" i="7"/>
  <c r="D30" i="7"/>
  <c r="N30" i="7"/>
  <c r="D29" i="7"/>
  <c r="N29" i="7"/>
  <c r="N28" i="7"/>
  <c r="D28" i="7"/>
  <c r="D23" i="7"/>
  <c r="N23" i="7"/>
  <c r="D22" i="7"/>
  <c r="D21" i="7"/>
  <c r="N21" i="7"/>
  <c r="D18" i="7"/>
  <c r="D17" i="7" s="1"/>
  <c r="N17" i="7"/>
  <c r="J110" i="6"/>
  <c r="J9" i="15"/>
  <c r="F9" i="15"/>
  <c r="L9" i="15"/>
  <c r="E9" i="15"/>
  <c r="K9" i="15"/>
  <c r="M9" i="15"/>
  <c r="I9" i="15"/>
  <c r="G9" i="15"/>
  <c r="H9" i="15"/>
  <c r="H35" i="16"/>
  <c r="O111" i="7" l="1"/>
  <c r="O102" i="7"/>
  <c r="D32" i="7"/>
  <c r="A78" i="7"/>
  <c r="A135" i="6"/>
  <c r="D20" i="7"/>
  <c r="O70" i="15"/>
  <c r="O69" i="15"/>
  <c r="O68" i="15"/>
  <c r="O67" i="15" s="1"/>
  <c r="N20" i="7"/>
  <c r="O108" i="7"/>
  <c r="O65" i="15"/>
  <c r="O52" i="15"/>
  <c r="O53" i="15"/>
  <c r="O54" i="15"/>
  <c r="O55" i="15"/>
  <c r="O56" i="15"/>
  <c r="O57" i="15"/>
  <c r="O58" i="15"/>
  <c r="O59" i="15"/>
  <c r="O61" i="15"/>
  <c r="O62" i="15"/>
  <c r="O64" i="15"/>
  <c r="O60" i="15"/>
  <c r="O63" i="15"/>
  <c r="O51" i="15"/>
  <c r="D37" i="7"/>
  <c r="O106" i="7"/>
  <c r="O107" i="7"/>
  <c r="N107" i="7"/>
  <c r="O101" i="7"/>
  <c r="O100" i="7"/>
  <c r="N37" i="7"/>
  <c r="N32" i="7"/>
  <c r="N105" i="7"/>
  <c r="O105" i="7"/>
  <c r="N104" i="7"/>
  <c r="O104" i="7"/>
  <c r="O103" i="7"/>
  <c r="N103" i="7"/>
  <c r="N99" i="7"/>
  <c r="O99" i="7"/>
  <c r="O110" i="7"/>
  <c r="N110" i="7"/>
  <c r="N61" i="7"/>
  <c r="D61" i="7"/>
  <c r="A46" i="6"/>
  <c r="A27" i="7"/>
  <c r="A39" i="6"/>
  <c r="A23" i="7" s="1"/>
  <c r="A22" i="7"/>
  <c r="K98" i="7"/>
  <c r="G98" i="7"/>
  <c r="M98" i="7"/>
  <c r="J98" i="7"/>
  <c r="F98" i="7"/>
  <c r="L98" i="7" s="1"/>
  <c r="D58" i="7"/>
  <c r="D57" i="7" s="1"/>
  <c r="N58" i="7"/>
  <c r="N57" i="7" s="1"/>
  <c r="H98" i="7"/>
  <c r="D46" i="7"/>
  <c r="D45" i="7" s="1"/>
  <c r="N46" i="7"/>
  <c r="N109" i="7"/>
  <c r="O109" i="7"/>
  <c r="L97" i="7"/>
  <c r="A79" i="7" l="1"/>
  <c r="A136" i="6"/>
  <c r="P11" i="7"/>
  <c r="A28" i="7"/>
  <c r="A47" i="6"/>
  <c r="N45" i="7"/>
  <c r="N98" i="7"/>
  <c r="O98" i="7"/>
  <c r="O97" i="7"/>
  <c r="N97" i="7"/>
  <c r="B7" i="18"/>
  <c r="A48" i="6" l="1"/>
  <c r="A30" i="7" s="1"/>
  <c r="A29" i="7"/>
  <c r="A80" i="7"/>
  <c r="A137" i="6"/>
  <c r="P13" i="7"/>
  <c r="F17" i="16"/>
  <c r="O92" i="7"/>
  <c r="O96" i="7"/>
  <c r="N96" i="7"/>
  <c r="N92" i="7"/>
  <c r="F19" i="16" s="1"/>
  <c r="O3" i="27"/>
  <c r="P3" i="27"/>
  <c r="P4" i="27" s="1"/>
  <c r="Q3" i="27"/>
  <c r="Q4" i="27" s="1"/>
  <c r="R6" i="27" s="1"/>
  <c r="R3" i="27"/>
  <c r="S3" i="27"/>
  <c r="T3" i="27"/>
  <c r="U3" i="27"/>
  <c r="V3" i="27"/>
  <c r="W3" i="27"/>
  <c r="X3" i="27"/>
  <c r="X4" i="27" s="1"/>
  <c r="Y3" i="27"/>
  <c r="Y4" i="27" s="1"/>
  <c r="Z3" i="27"/>
  <c r="O4" i="27"/>
  <c r="R4" i="27"/>
  <c r="S4" i="27"/>
  <c r="T4" i="27"/>
  <c r="U6" i="27" s="1"/>
  <c r="U4" i="27"/>
  <c r="V6" i="27" s="1"/>
  <c r="V4" i="27"/>
  <c r="W4" i="27"/>
  <c r="W6" i="27" s="1"/>
  <c r="Z4" i="27"/>
  <c r="S6" i="27"/>
  <c r="D37" i="27"/>
  <c r="H11" i="25"/>
  <c r="J11" i="25"/>
  <c r="J12" i="25"/>
  <c r="U12" i="25"/>
  <c r="H12" i="25" s="1"/>
  <c r="X12" i="25"/>
  <c r="AE12" i="25" s="1"/>
  <c r="Y12" i="25"/>
  <c r="Z12" i="25"/>
  <c r="AC12" i="25"/>
  <c r="AC13" i="25" s="1"/>
  <c r="AC14" i="25" s="1"/>
  <c r="AC15" i="25" s="1"/>
  <c r="AG12" i="25"/>
  <c r="AG11" i="25" s="1"/>
  <c r="AH12" i="25"/>
  <c r="J13" i="25"/>
  <c r="U13" i="25"/>
  <c r="H13" i="25" s="1"/>
  <c r="X13" i="25"/>
  <c r="AE13" i="25" s="1"/>
  <c r="Y13" i="25"/>
  <c r="AF13" i="25" s="1"/>
  <c r="Z13" i="25"/>
  <c r="AG13" i="25"/>
  <c r="AH13" i="25"/>
  <c r="J14" i="25"/>
  <c r="U14" i="25"/>
  <c r="H14" i="25" s="1"/>
  <c r="X14" i="25"/>
  <c r="AE14" i="25" s="1"/>
  <c r="Y14" i="25"/>
  <c r="AF14" i="25" s="1"/>
  <c r="Z14" i="25"/>
  <c r="AG14" i="25"/>
  <c r="AH14" i="25"/>
  <c r="J15" i="25"/>
  <c r="U15" i="25"/>
  <c r="H15" i="25" s="1"/>
  <c r="X15" i="25"/>
  <c r="AE15" i="25" s="1"/>
  <c r="Y15" i="25"/>
  <c r="AF15" i="25" s="1"/>
  <c r="Z15" i="25"/>
  <c r="AG15" i="25"/>
  <c r="AH15" i="25"/>
  <c r="J16" i="25"/>
  <c r="U16" i="25"/>
  <c r="H16" i="25" s="1"/>
  <c r="X16" i="25"/>
  <c r="AE16" i="25" s="1"/>
  <c r="Y16" i="25"/>
  <c r="AF16" i="25" s="1"/>
  <c r="Z16" i="25"/>
  <c r="AG16" i="25"/>
  <c r="AH16" i="25"/>
  <c r="J17" i="25"/>
  <c r="U17" i="25"/>
  <c r="H17" i="25" s="1"/>
  <c r="X17" i="25"/>
  <c r="AE17" i="25" s="1"/>
  <c r="Y17" i="25"/>
  <c r="AA17" i="25" s="1"/>
  <c r="Z17" i="25"/>
  <c r="AG17" i="25"/>
  <c r="AH17" i="25"/>
  <c r="J18" i="25"/>
  <c r="U18" i="25"/>
  <c r="H18" i="25" s="1"/>
  <c r="X18" i="25"/>
  <c r="AE18" i="25" s="1"/>
  <c r="Y18" i="25"/>
  <c r="AA18" i="25" s="1"/>
  <c r="Z18" i="25"/>
  <c r="AG18" i="25"/>
  <c r="AH18" i="25"/>
  <c r="J19" i="25"/>
  <c r="U19" i="25"/>
  <c r="H19" i="25" s="1"/>
  <c r="X19" i="25"/>
  <c r="AE19" i="25" s="1"/>
  <c r="Y19" i="25"/>
  <c r="AA19" i="25" s="1"/>
  <c r="Z19" i="25"/>
  <c r="AG19" i="25"/>
  <c r="AH19" i="25"/>
  <c r="J20" i="25"/>
  <c r="U20" i="25"/>
  <c r="H20" i="25" s="1"/>
  <c r="X20" i="25"/>
  <c r="AE20" i="25" s="1"/>
  <c r="Y20" i="25"/>
  <c r="AF20" i="25" s="1"/>
  <c r="Z20" i="25"/>
  <c r="AG20" i="25"/>
  <c r="AH20" i="25"/>
  <c r="J21" i="25"/>
  <c r="U21" i="25"/>
  <c r="H21" i="25" s="1"/>
  <c r="X21" i="25"/>
  <c r="AE21" i="25" s="1"/>
  <c r="Y21" i="25"/>
  <c r="AF21" i="25" s="1"/>
  <c r="Z21" i="25"/>
  <c r="AG21" i="25"/>
  <c r="AH21" i="25"/>
  <c r="J22" i="25"/>
  <c r="U22" i="25"/>
  <c r="H22" i="25" s="1"/>
  <c r="X22" i="25"/>
  <c r="AE22" i="25" s="1"/>
  <c r="Y22" i="25"/>
  <c r="AF22" i="25" s="1"/>
  <c r="Z22" i="25"/>
  <c r="AG22" i="25"/>
  <c r="AH22" i="25"/>
  <c r="J23" i="25"/>
  <c r="U23" i="25"/>
  <c r="H23" i="25" s="1"/>
  <c r="X23" i="25"/>
  <c r="AE23" i="25" s="1"/>
  <c r="Y23" i="25"/>
  <c r="AA23" i="25" s="1"/>
  <c r="Z23" i="25"/>
  <c r="AG23" i="25"/>
  <c r="AH23" i="25"/>
  <c r="J24" i="25"/>
  <c r="U24" i="25"/>
  <c r="H24" i="25" s="1"/>
  <c r="X24" i="25"/>
  <c r="AE24" i="25" s="1"/>
  <c r="Y24" i="25"/>
  <c r="AF24" i="25" s="1"/>
  <c r="Z24" i="25"/>
  <c r="AG24" i="25"/>
  <c r="AH24" i="25"/>
  <c r="J25" i="25"/>
  <c r="U25" i="25"/>
  <c r="H25" i="25" s="1"/>
  <c r="X25" i="25"/>
  <c r="AE25" i="25" s="1"/>
  <c r="Y25" i="25"/>
  <c r="AF25" i="25" s="1"/>
  <c r="Z25" i="25"/>
  <c r="AA25" i="25"/>
  <c r="AG25" i="25"/>
  <c r="AH25" i="25"/>
  <c r="J26" i="25"/>
  <c r="U26" i="25"/>
  <c r="H26" i="25" s="1"/>
  <c r="X26" i="25"/>
  <c r="AE26" i="25" s="1"/>
  <c r="Y26" i="25"/>
  <c r="AA26" i="25" s="1"/>
  <c r="Z26" i="25"/>
  <c r="AG26" i="25"/>
  <c r="AH26" i="25"/>
  <c r="J27" i="25"/>
  <c r="U27" i="25"/>
  <c r="H27" i="25" s="1"/>
  <c r="X27" i="25"/>
  <c r="AE27" i="25" s="1"/>
  <c r="Y27" i="25"/>
  <c r="AA27" i="25" s="1"/>
  <c r="Z27" i="25"/>
  <c r="AG27" i="25"/>
  <c r="AH27" i="25"/>
  <c r="J28" i="25"/>
  <c r="U28" i="25"/>
  <c r="H28" i="25" s="1"/>
  <c r="X28" i="25"/>
  <c r="AE28" i="25" s="1"/>
  <c r="Y28" i="25"/>
  <c r="AF28" i="25" s="1"/>
  <c r="Z28" i="25"/>
  <c r="AG28" i="25"/>
  <c r="AH28" i="25"/>
  <c r="J29" i="25"/>
  <c r="U29" i="25"/>
  <c r="H29" i="25" s="1"/>
  <c r="X29" i="25"/>
  <c r="AE29" i="25" s="1"/>
  <c r="Y29" i="25"/>
  <c r="AF29" i="25" s="1"/>
  <c r="Z29" i="25"/>
  <c r="AG29" i="25"/>
  <c r="AH29" i="25"/>
  <c r="J30" i="25"/>
  <c r="U30" i="25"/>
  <c r="H30" i="25" s="1"/>
  <c r="X30" i="25"/>
  <c r="AE30" i="25" s="1"/>
  <c r="Y30" i="25"/>
  <c r="Z30" i="25"/>
  <c r="AG30" i="25"/>
  <c r="AH30" i="25"/>
  <c r="J31" i="25"/>
  <c r="U31" i="25"/>
  <c r="H31" i="25" s="1"/>
  <c r="X31" i="25"/>
  <c r="AE31" i="25" s="1"/>
  <c r="Y31" i="25"/>
  <c r="AF31" i="25" s="1"/>
  <c r="Z31" i="25"/>
  <c r="AG31" i="25"/>
  <c r="AH31" i="25"/>
  <c r="F32" i="25"/>
  <c r="J32" i="25"/>
  <c r="U32" i="25"/>
  <c r="H32" i="25" s="1"/>
  <c r="AC32" i="25"/>
  <c r="AG32" i="25"/>
  <c r="AH32" i="25"/>
  <c r="F33" i="25"/>
  <c r="J33" i="25"/>
  <c r="U33" i="25"/>
  <c r="H33" i="25" s="1"/>
  <c r="AC33" i="25"/>
  <c r="AG33" i="25"/>
  <c r="AH33" i="25"/>
  <c r="F34" i="25"/>
  <c r="J34" i="25"/>
  <c r="U34" i="25"/>
  <c r="H34" i="25" s="1"/>
  <c r="AC34" i="25"/>
  <c r="AG34" i="25"/>
  <c r="AH34" i="25"/>
  <c r="F35" i="25"/>
  <c r="J35" i="25"/>
  <c r="U35" i="25"/>
  <c r="H35" i="25" s="1"/>
  <c r="X35" i="25"/>
  <c r="AE35" i="25" s="1"/>
  <c r="Y35" i="25"/>
  <c r="AA35" i="25" s="1"/>
  <c r="Z35" i="25"/>
  <c r="AG35" i="25"/>
  <c r="AH35" i="25"/>
  <c r="H42" i="25"/>
  <c r="J42" i="25"/>
  <c r="J43" i="25"/>
  <c r="U43" i="25"/>
  <c r="H43" i="25" s="1"/>
  <c r="X43" i="25"/>
  <c r="AE43" i="25" s="1"/>
  <c r="Y43" i="25"/>
  <c r="AF43" i="25" s="1"/>
  <c r="Z43" i="25"/>
  <c r="AA43" i="25"/>
  <c r="AB43" i="25" s="1"/>
  <c r="AC43" i="25"/>
  <c r="AC44" i="25" s="1"/>
  <c r="AC45" i="25" s="1"/>
  <c r="AC46" i="25" s="1"/>
  <c r="AC47" i="25" s="1"/>
  <c r="AC48" i="25" s="1"/>
  <c r="AC49" i="25" s="1"/>
  <c r="AC50" i="25" s="1"/>
  <c r="AC51" i="25" s="1"/>
  <c r="AC52" i="25" s="1"/>
  <c r="AC53" i="25" s="1"/>
  <c r="AC54" i="25" s="1"/>
  <c r="AC55" i="25" s="1"/>
  <c r="AC56" i="25" s="1"/>
  <c r="AC57" i="25" s="1"/>
  <c r="AC58" i="25" s="1"/>
  <c r="AC59" i="25" s="1"/>
  <c r="AC60" i="25" s="1"/>
  <c r="AC61" i="25" s="1"/>
  <c r="AC62" i="25" s="1"/>
  <c r="AG43" i="25"/>
  <c r="AG42" i="25" s="1"/>
  <c r="AH43" i="25"/>
  <c r="J44" i="25"/>
  <c r="U44" i="25"/>
  <c r="H44" i="25" s="1"/>
  <c r="X44" i="25"/>
  <c r="AE44" i="25" s="1"/>
  <c r="Y44" i="25"/>
  <c r="AF44" i="25" s="1"/>
  <c r="Z44" i="25"/>
  <c r="AG44" i="25"/>
  <c r="AH44" i="25"/>
  <c r="J45" i="25"/>
  <c r="U45" i="25"/>
  <c r="H45" i="25" s="1"/>
  <c r="X45" i="25"/>
  <c r="AE45" i="25" s="1"/>
  <c r="Y45" i="25"/>
  <c r="AF45" i="25" s="1"/>
  <c r="Z45" i="25"/>
  <c r="AA45" i="25"/>
  <c r="AB45" i="25" s="1"/>
  <c r="AG45" i="25"/>
  <c r="AH45" i="25"/>
  <c r="J46" i="25"/>
  <c r="U46" i="25"/>
  <c r="H46" i="25" s="1"/>
  <c r="X46" i="25"/>
  <c r="AE46" i="25" s="1"/>
  <c r="Y46" i="25"/>
  <c r="AF46" i="25" s="1"/>
  <c r="Z46" i="25"/>
  <c r="AA46" i="25"/>
  <c r="AB46" i="25" s="1"/>
  <c r="AG46" i="25"/>
  <c r="AH46" i="25"/>
  <c r="J47" i="25"/>
  <c r="U47" i="25"/>
  <c r="H47" i="25" s="1"/>
  <c r="X47" i="25"/>
  <c r="AE47" i="25" s="1"/>
  <c r="Y47" i="25"/>
  <c r="AA47" i="25" s="1"/>
  <c r="Z47" i="25"/>
  <c r="AG47" i="25"/>
  <c r="AH47" i="25"/>
  <c r="J48" i="25"/>
  <c r="U48" i="25"/>
  <c r="H48" i="25" s="1"/>
  <c r="X48" i="25"/>
  <c r="AE48" i="25" s="1"/>
  <c r="Y48" i="25"/>
  <c r="AF48" i="25" s="1"/>
  <c r="Z48" i="25"/>
  <c r="AA48" i="25"/>
  <c r="AB48" i="25" s="1"/>
  <c r="AG48" i="25"/>
  <c r="AH48" i="25"/>
  <c r="J49" i="25"/>
  <c r="U49" i="25"/>
  <c r="H49" i="25" s="1"/>
  <c r="X49" i="25"/>
  <c r="AE49" i="25" s="1"/>
  <c r="Y49" i="25"/>
  <c r="AA49" i="25" s="1"/>
  <c r="Z49" i="25"/>
  <c r="AG49" i="25"/>
  <c r="AH49" i="25"/>
  <c r="J50" i="25"/>
  <c r="U50" i="25"/>
  <c r="H50" i="25" s="1"/>
  <c r="X50" i="25"/>
  <c r="AE50" i="25" s="1"/>
  <c r="Y50" i="25"/>
  <c r="AF50" i="25" s="1"/>
  <c r="Z50" i="25"/>
  <c r="AG50" i="25"/>
  <c r="AH50" i="25"/>
  <c r="J51" i="25"/>
  <c r="U51" i="25"/>
  <c r="H51" i="25" s="1"/>
  <c r="X51" i="25"/>
  <c r="AE51" i="25" s="1"/>
  <c r="Y51" i="25"/>
  <c r="AF51" i="25" s="1"/>
  <c r="Z51" i="25"/>
  <c r="AA51" i="25"/>
  <c r="AB51" i="25" s="1"/>
  <c r="AG51" i="25"/>
  <c r="AH51" i="25"/>
  <c r="J52" i="25"/>
  <c r="U52" i="25"/>
  <c r="H52" i="25" s="1"/>
  <c r="X52" i="25"/>
  <c r="AE52" i="25" s="1"/>
  <c r="Y52" i="25"/>
  <c r="AF52" i="25" s="1"/>
  <c r="Z52" i="25"/>
  <c r="AA52" i="25"/>
  <c r="AB52" i="25" s="1"/>
  <c r="AG52" i="25"/>
  <c r="AH52" i="25"/>
  <c r="J53" i="25"/>
  <c r="U53" i="25"/>
  <c r="H53" i="25" s="1"/>
  <c r="X53" i="25"/>
  <c r="AE53" i="25" s="1"/>
  <c r="Y53" i="25"/>
  <c r="AF53" i="25" s="1"/>
  <c r="Z53" i="25"/>
  <c r="AA53" i="25"/>
  <c r="AG53" i="25"/>
  <c r="AH53" i="25"/>
  <c r="J54" i="25"/>
  <c r="U54" i="25"/>
  <c r="H54" i="25" s="1"/>
  <c r="X54" i="25"/>
  <c r="AE54" i="25" s="1"/>
  <c r="Y54" i="25"/>
  <c r="AF54" i="25" s="1"/>
  <c r="Z54" i="25"/>
  <c r="AG54" i="25"/>
  <c r="AH54" i="25"/>
  <c r="J55" i="25"/>
  <c r="U55" i="25"/>
  <c r="H55" i="25" s="1"/>
  <c r="X55" i="25"/>
  <c r="AE55" i="25" s="1"/>
  <c r="Y55" i="25"/>
  <c r="AA55" i="25" s="1"/>
  <c r="AB55" i="25" s="1"/>
  <c r="Z55" i="25"/>
  <c r="AG55" i="25"/>
  <c r="AH55" i="25"/>
  <c r="J56" i="25"/>
  <c r="U56" i="25"/>
  <c r="H56" i="25" s="1"/>
  <c r="X56" i="25"/>
  <c r="AE56" i="25" s="1"/>
  <c r="Y56" i="25"/>
  <c r="AF56" i="25" s="1"/>
  <c r="Z56" i="25"/>
  <c r="AA56" i="25"/>
  <c r="AB56" i="25" s="1"/>
  <c r="AG56" i="25"/>
  <c r="AH56" i="25"/>
  <c r="J57" i="25"/>
  <c r="U57" i="25"/>
  <c r="H57" i="25" s="1"/>
  <c r="X57" i="25"/>
  <c r="AE57" i="25" s="1"/>
  <c r="Y57" i="25"/>
  <c r="AA57" i="25" s="1"/>
  <c r="Z57" i="25"/>
  <c r="AG57" i="25"/>
  <c r="AH57" i="25"/>
  <c r="J58" i="25"/>
  <c r="U58" i="25"/>
  <c r="H58" i="25" s="1"/>
  <c r="X58" i="25"/>
  <c r="AE58" i="25" s="1"/>
  <c r="Y58" i="25"/>
  <c r="Z58" i="25"/>
  <c r="AG58" i="25"/>
  <c r="AH58" i="25"/>
  <c r="J59" i="25"/>
  <c r="U59" i="25"/>
  <c r="H59" i="25" s="1"/>
  <c r="X59" i="25"/>
  <c r="AE59" i="25" s="1"/>
  <c r="Y59" i="25"/>
  <c r="AF59" i="25" s="1"/>
  <c r="Z59" i="25"/>
  <c r="AA59" i="25"/>
  <c r="AB59" i="25" s="1"/>
  <c r="AG59" i="25"/>
  <c r="AH59" i="25"/>
  <c r="J60" i="25"/>
  <c r="U60" i="25"/>
  <c r="H60" i="25" s="1"/>
  <c r="X60" i="25"/>
  <c r="AE60" i="25" s="1"/>
  <c r="Y60" i="25"/>
  <c r="Z60" i="25"/>
  <c r="AG60" i="25"/>
  <c r="AH60" i="25"/>
  <c r="J61" i="25"/>
  <c r="U61" i="25"/>
  <c r="H61" i="25" s="1"/>
  <c r="X61" i="25"/>
  <c r="AE61" i="25" s="1"/>
  <c r="Y61" i="25"/>
  <c r="AA61" i="25" s="1"/>
  <c r="AB61" i="25" s="1"/>
  <c r="Z61" i="25"/>
  <c r="AG61" i="25"/>
  <c r="AH61" i="25"/>
  <c r="J62" i="25"/>
  <c r="U62" i="25"/>
  <c r="H62" i="25" s="1"/>
  <c r="X62" i="25"/>
  <c r="AE62" i="25" s="1"/>
  <c r="Y62" i="25"/>
  <c r="AF62" i="25" s="1"/>
  <c r="Z62" i="25"/>
  <c r="AA62" i="25"/>
  <c r="AB62" i="25" s="1"/>
  <c r="AG62" i="25"/>
  <c r="AH62" i="25"/>
  <c r="B63" i="25"/>
  <c r="F63" i="25" s="1"/>
  <c r="D63" i="25"/>
  <c r="D94" i="25" s="1"/>
  <c r="D125" i="25" s="1"/>
  <c r="D156" i="25" s="1"/>
  <c r="D187" i="25" s="1"/>
  <c r="D218" i="25" s="1"/>
  <c r="D249" i="25" s="1"/>
  <c r="D280" i="25" s="1"/>
  <c r="D311" i="25" s="1"/>
  <c r="J63" i="25"/>
  <c r="Q63" i="25"/>
  <c r="Q94" i="25" s="1"/>
  <c r="Q125" i="25" s="1"/>
  <c r="Q156" i="25" s="1"/>
  <c r="Q187" i="25" s="1"/>
  <c r="Q218" i="25" s="1"/>
  <c r="Q249" i="25" s="1"/>
  <c r="Q280" i="25" s="1"/>
  <c r="Q311" i="25" s="1"/>
  <c r="R63" i="25"/>
  <c r="R94" i="25" s="1"/>
  <c r="R125" i="25" s="1"/>
  <c r="R156" i="25" s="1"/>
  <c r="R187" i="25" s="1"/>
  <c r="R218" i="25" s="1"/>
  <c r="R249" i="25" s="1"/>
  <c r="R280" i="25" s="1"/>
  <c r="R311" i="25" s="1"/>
  <c r="S63" i="25"/>
  <c r="S94" i="25" s="1"/>
  <c r="S125" i="25" s="1"/>
  <c r="S156" i="25" s="1"/>
  <c r="S187" i="25" s="1"/>
  <c r="S218" i="25" s="1"/>
  <c r="S249" i="25" s="1"/>
  <c r="S280" i="25" s="1"/>
  <c r="S311" i="25" s="1"/>
  <c r="U63" i="25"/>
  <c r="H63" i="25" s="1"/>
  <c r="AC63" i="25"/>
  <c r="AG63" i="25"/>
  <c r="AH63" i="25"/>
  <c r="B64" i="25"/>
  <c r="B95" i="25" s="1"/>
  <c r="B126" i="25" s="1"/>
  <c r="B157" i="25" s="1"/>
  <c r="B188" i="25" s="1"/>
  <c r="B219" i="25" s="1"/>
  <c r="B250" i="25" s="1"/>
  <c r="B281" i="25" s="1"/>
  <c r="B312" i="25" s="1"/>
  <c r="D64" i="25"/>
  <c r="J64" i="25"/>
  <c r="Q64" i="25"/>
  <c r="Q95" i="25" s="1"/>
  <c r="Q126" i="25" s="1"/>
  <c r="Q157" i="25" s="1"/>
  <c r="Q188" i="25" s="1"/>
  <c r="Q219" i="25" s="1"/>
  <c r="Q250" i="25" s="1"/>
  <c r="Q281" i="25" s="1"/>
  <c r="Q312" i="25" s="1"/>
  <c r="R64" i="25"/>
  <c r="R95" i="25" s="1"/>
  <c r="R126" i="25" s="1"/>
  <c r="R157" i="25" s="1"/>
  <c r="R188" i="25" s="1"/>
  <c r="R219" i="25" s="1"/>
  <c r="R250" i="25" s="1"/>
  <c r="R281" i="25" s="1"/>
  <c r="R312" i="25" s="1"/>
  <c r="S64" i="25"/>
  <c r="S95" i="25" s="1"/>
  <c r="S126" i="25" s="1"/>
  <c r="S157" i="25" s="1"/>
  <c r="S188" i="25" s="1"/>
  <c r="S219" i="25" s="1"/>
  <c r="S250" i="25" s="1"/>
  <c r="S281" i="25" s="1"/>
  <c r="S312" i="25" s="1"/>
  <c r="U64" i="25"/>
  <c r="H64" i="25" s="1"/>
  <c r="AC64" i="25"/>
  <c r="AG64" i="25"/>
  <c r="AH64" i="25"/>
  <c r="B65" i="25"/>
  <c r="B96" i="25" s="1"/>
  <c r="B127" i="25" s="1"/>
  <c r="B158" i="25" s="1"/>
  <c r="B189" i="25" s="1"/>
  <c r="B220" i="25" s="1"/>
  <c r="B251" i="25" s="1"/>
  <c r="B282" i="25" s="1"/>
  <c r="B313" i="25" s="1"/>
  <c r="D65" i="25"/>
  <c r="D96" i="25" s="1"/>
  <c r="D127" i="25" s="1"/>
  <c r="D158" i="25" s="1"/>
  <c r="D189" i="25" s="1"/>
  <c r="D220" i="25" s="1"/>
  <c r="D251" i="25" s="1"/>
  <c r="D282" i="25" s="1"/>
  <c r="D313" i="25" s="1"/>
  <c r="J65" i="25"/>
  <c r="Q65" i="25"/>
  <c r="Q96" i="25" s="1"/>
  <c r="Q127" i="25" s="1"/>
  <c r="Q158" i="25" s="1"/>
  <c r="Q189" i="25" s="1"/>
  <c r="Q220" i="25" s="1"/>
  <c r="Q251" i="25" s="1"/>
  <c r="Q282" i="25" s="1"/>
  <c r="Q313" i="25" s="1"/>
  <c r="R65" i="25"/>
  <c r="R96" i="25" s="1"/>
  <c r="R127" i="25" s="1"/>
  <c r="R158" i="25" s="1"/>
  <c r="R189" i="25" s="1"/>
  <c r="R220" i="25" s="1"/>
  <c r="R251" i="25" s="1"/>
  <c r="R282" i="25" s="1"/>
  <c r="R313" i="25" s="1"/>
  <c r="S65" i="25"/>
  <c r="S96" i="25" s="1"/>
  <c r="S127" i="25" s="1"/>
  <c r="S158" i="25" s="1"/>
  <c r="S189" i="25" s="1"/>
  <c r="S220" i="25" s="1"/>
  <c r="S251" i="25" s="1"/>
  <c r="S282" i="25" s="1"/>
  <c r="S313" i="25" s="1"/>
  <c r="U65" i="25"/>
  <c r="H65" i="25" s="1"/>
  <c r="AC65" i="25"/>
  <c r="AG65" i="25"/>
  <c r="AH65" i="25"/>
  <c r="B66" i="25"/>
  <c r="B97" i="25" s="1"/>
  <c r="D66" i="25"/>
  <c r="D97" i="25" s="1"/>
  <c r="D128" i="25" s="1"/>
  <c r="D159" i="25" s="1"/>
  <c r="D190" i="25" s="1"/>
  <c r="D221" i="25" s="1"/>
  <c r="D252" i="25" s="1"/>
  <c r="D283" i="25" s="1"/>
  <c r="D314" i="25" s="1"/>
  <c r="J66" i="25"/>
  <c r="P66" i="25"/>
  <c r="Q66" i="25"/>
  <c r="Q97" i="25" s="1"/>
  <c r="Q128" i="25" s="1"/>
  <c r="Q159" i="25" s="1"/>
  <c r="Q190" i="25" s="1"/>
  <c r="Q221" i="25" s="1"/>
  <c r="Q252" i="25" s="1"/>
  <c r="Q283" i="25" s="1"/>
  <c r="Q314" i="25" s="1"/>
  <c r="R66" i="25"/>
  <c r="R97" i="25" s="1"/>
  <c r="R128" i="25" s="1"/>
  <c r="S66" i="25"/>
  <c r="S97" i="25" s="1"/>
  <c r="U66" i="25"/>
  <c r="H66" i="25" s="1"/>
  <c r="AG66" i="25"/>
  <c r="AH66" i="25"/>
  <c r="X67" i="25"/>
  <c r="Y67" i="25"/>
  <c r="Z67" i="25"/>
  <c r="H73" i="25"/>
  <c r="J73" i="25"/>
  <c r="J74" i="25"/>
  <c r="U74" i="25"/>
  <c r="H74" i="25" s="1"/>
  <c r="X74" i="25"/>
  <c r="AE74" i="25" s="1"/>
  <c r="Y74" i="25"/>
  <c r="AA74" i="25" s="1"/>
  <c r="Z74" i="25"/>
  <c r="AC74" i="25"/>
  <c r="AC75" i="25" s="1"/>
  <c r="AC76" i="25" s="1"/>
  <c r="AC77" i="25" s="1"/>
  <c r="AC78" i="25" s="1"/>
  <c r="AC79" i="25" s="1"/>
  <c r="AC80" i="25" s="1"/>
  <c r="AC81" i="25" s="1"/>
  <c r="AC82" i="25" s="1"/>
  <c r="AC83" i="25" s="1"/>
  <c r="AC84" i="25" s="1"/>
  <c r="AC85" i="25" s="1"/>
  <c r="AC86" i="25" s="1"/>
  <c r="AC87" i="25" s="1"/>
  <c r="AC88" i="25" s="1"/>
  <c r="AC89" i="25" s="1"/>
  <c r="AC90" i="25" s="1"/>
  <c r="AC91" i="25" s="1"/>
  <c r="AC92" i="25" s="1"/>
  <c r="AG74" i="25"/>
  <c r="AG73" i="25" s="1"/>
  <c r="AH74" i="25"/>
  <c r="J75" i="25"/>
  <c r="U75" i="25"/>
  <c r="H75" i="25" s="1"/>
  <c r="X75" i="25"/>
  <c r="AE75" i="25" s="1"/>
  <c r="Y75" i="25"/>
  <c r="AA75" i="25" s="1"/>
  <c r="Z75" i="25"/>
  <c r="AG75" i="25"/>
  <c r="AH75" i="25"/>
  <c r="J76" i="25"/>
  <c r="U76" i="25"/>
  <c r="H76" i="25" s="1"/>
  <c r="X76" i="25"/>
  <c r="AE76" i="25" s="1"/>
  <c r="Y76" i="25"/>
  <c r="AF76" i="25" s="1"/>
  <c r="Z76" i="25"/>
  <c r="AG76" i="25"/>
  <c r="AH76" i="25"/>
  <c r="J77" i="25"/>
  <c r="U77" i="25"/>
  <c r="H77" i="25" s="1"/>
  <c r="X77" i="25"/>
  <c r="Y77" i="25"/>
  <c r="AA77" i="25" s="1"/>
  <c r="Z77" i="25"/>
  <c r="AG77" i="25"/>
  <c r="AH77" i="25"/>
  <c r="J78" i="25"/>
  <c r="U78" i="25"/>
  <c r="H78" i="25" s="1"/>
  <c r="X78" i="25"/>
  <c r="AE78" i="25" s="1"/>
  <c r="Y78" i="25"/>
  <c r="Z78" i="25"/>
  <c r="AG78" i="25"/>
  <c r="AH78" i="25"/>
  <c r="J79" i="25"/>
  <c r="U79" i="25"/>
  <c r="H79" i="25" s="1"/>
  <c r="X79" i="25"/>
  <c r="AE79" i="25" s="1"/>
  <c r="Y79" i="25"/>
  <c r="AA79" i="25" s="1"/>
  <c r="Z79" i="25"/>
  <c r="AG79" i="25"/>
  <c r="AH79" i="25"/>
  <c r="J80" i="25"/>
  <c r="U80" i="25"/>
  <c r="H80" i="25" s="1"/>
  <c r="X80" i="25"/>
  <c r="AE80" i="25" s="1"/>
  <c r="Y80" i="25"/>
  <c r="AF80" i="25" s="1"/>
  <c r="Z80" i="25"/>
  <c r="AG80" i="25"/>
  <c r="AH80" i="25"/>
  <c r="J81" i="25"/>
  <c r="U81" i="25"/>
  <c r="H81" i="25" s="1"/>
  <c r="X81" i="25"/>
  <c r="AE81" i="25" s="1"/>
  <c r="Y81" i="25"/>
  <c r="AA81" i="25" s="1"/>
  <c r="Z81" i="25"/>
  <c r="AG81" i="25"/>
  <c r="AH81" i="25"/>
  <c r="J82" i="25"/>
  <c r="U82" i="25"/>
  <c r="H82" i="25" s="1"/>
  <c r="X82" i="25"/>
  <c r="AE82" i="25" s="1"/>
  <c r="Y82" i="25"/>
  <c r="AF82" i="25" s="1"/>
  <c r="Z82" i="25"/>
  <c r="AG82" i="25"/>
  <c r="AH82" i="25"/>
  <c r="J83" i="25"/>
  <c r="U83" i="25"/>
  <c r="H83" i="25" s="1"/>
  <c r="X83" i="25"/>
  <c r="AE83" i="25" s="1"/>
  <c r="Y83" i="25"/>
  <c r="AF83" i="25" s="1"/>
  <c r="Z83" i="25"/>
  <c r="AG83" i="25"/>
  <c r="AH83" i="25"/>
  <c r="J84" i="25"/>
  <c r="U84" i="25"/>
  <c r="H84" i="25" s="1"/>
  <c r="X84" i="25"/>
  <c r="AE84" i="25" s="1"/>
  <c r="Y84" i="25"/>
  <c r="AA84" i="25" s="1"/>
  <c r="Z84" i="25"/>
  <c r="AG84" i="25"/>
  <c r="AH84" i="25"/>
  <c r="J85" i="25"/>
  <c r="U85" i="25"/>
  <c r="H85" i="25" s="1"/>
  <c r="X85" i="25"/>
  <c r="AE85" i="25" s="1"/>
  <c r="Y85" i="25"/>
  <c r="AA85" i="25" s="1"/>
  <c r="Z85" i="25"/>
  <c r="AG85" i="25"/>
  <c r="AH85" i="25"/>
  <c r="J86" i="25"/>
  <c r="U86" i="25"/>
  <c r="H86" i="25" s="1"/>
  <c r="X86" i="25"/>
  <c r="AE86" i="25" s="1"/>
  <c r="Y86" i="25"/>
  <c r="Z86" i="25"/>
  <c r="AG86" i="25"/>
  <c r="AH86" i="25"/>
  <c r="J87" i="25"/>
  <c r="U87" i="25"/>
  <c r="H87" i="25" s="1"/>
  <c r="X87" i="25"/>
  <c r="AE87" i="25" s="1"/>
  <c r="Y87" i="25"/>
  <c r="AA87" i="25" s="1"/>
  <c r="Z87" i="25"/>
  <c r="AG87" i="25"/>
  <c r="AH87" i="25"/>
  <c r="J88" i="25"/>
  <c r="U88" i="25"/>
  <c r="H88" i="25" s="1"/>
  <c r="X88" i="25"/>
  <c r="AE88" i="25" s="1"/>
  <c r="Y88" i="25"/>
  <c r="AF88" i="25" s="1"/>
  <c r="Z88" i="25"/>
  <c r="AG88" i="25"/>
  <c r="AH88" i="25"/>
  <c r="J89" i="25"/>
  <c r="U89" i="25"/>
  <c r="H89" i="25" s="1"/>
  <c r="X89" i="25"/>
  <c r="AE89" i="25" s="1"/>
  <c r="Y89" i="25"/>
  <c r="AA89" i="25" s="1"/>
  <c r="Z89" i="25"/>
  <c r="AG89" i="25"/>
  <c r="AH89" i="25"/>
  <c r="J90" i="25"/>
  <c r="U90" i="25"/>
  <c r="H90" i="25" s="1"/>
  <c r="X90" i="25"/>
  <c r="AE90" i="25" s="1"/>
  <c r="Y90" i="25"/>
  <c r="AF90" i="25" s="1"/>
  <c r="Z90" i="25"/>
  <c r="AG90" i="25"/>
  <c r="AH90" i="25"/>
  <c r="J91" i="25"/>
  <c r="U91" i="25"/>
  <c r="H91" i="25" s="1"/>
  <c r="X91" i="25"/>
  <c r="AE91" i="25" s="1"/>
  <c r="Y91" i="25"/>
  <c r="Z91" i="25"/>
  <c r="AG91" i="25"/>
  <c r="AH91" i="25"/>
  <c r="J92" i="25"/>
  <c r="U92" i="25"/>
  <c r="H92" i="25" s="1"/>
  <c r="X92" i="25"/>
  <c r="AE92" i="25" s="1"/>
  <c r="Y92" i="25"/>
  <c r="AA92" i="25" s="1"/>
  <c r="Z92" i="25"/>
  <c r="AG92" i="25"/>
  <c r="AH92" i="25"/>
  <c r="J93" i="25"/>
  <c r="U93" i="25"/>
  <c r="H93" i="25" s="1"/>
  <c r="X93" i="25"/>
  <c r="AE93" i="25" s="1"/>
  <c r="Y93" i="25"/>
  <c r="AA93" i="25" s="1"/>
  <c r="Z93" i="25"/>
  <c r="AG93" i="25"/>
  <c r="AH93" i="25"/>
  <c r="J94" i="25"/>
  <c r="U94" i="25"/>
  <c r="H94" i="25" s="1"/>
  <c r="AC94" i="25"/>
  <c r="AG94" i="25"/>
  <c r="AH94" i="25"/>
  <c r="D95" i="25"/>
  <c r="D126" i="25" s="1"/>
  <c r="D157" i="25" s="1"/>
  <c r="D188" i="25" s="1"/>
  <c r="D219" i="25" s="1"/>
  <c r="D250" i="25" s="1"/>
  <c r="D281" i="25" s="1"/>
  <c r="D312" i="25" s="1"/>
  <c r="J95" i="25"/>
  <c r="U95" i="25"/>
  <c r="H95" i="25" s="1"/>
  <c r="AC95" i="25"/>
  <c r="AG95" i="25"/>
  <c r="AH95" i="25"/>
  <c r="J96" i="25"/>
  <c r="U96" i="25"/>
  <c r="H96" i="25" s="1"/>
  <c r="AC96" i="25"/>
  <c r="AG96" i="25"/>
  <c r="AH96" i="25"/>
  <c r="J97" i="25"/>
  <c r="U97" i="25"/>
  <c r="H97" i="25" s="1"/>
  <c r="AG97" i="25"/>
  <c r="AH97" i="25"/>
  <c r="X98" i="25"/>
  <c r="Y98" i="25"/>
  <c r="Z98" i="25"/>
  <c r="H104" i="25"/>
  <c r="J104" i="25"/>
  <c r="J105" i="25"/>
  <c r="U105" i="25"/>
  <c r="H105" i="25" s="1"/>
  <c r="X105" i="25"/>
  <c r="AE105" i="25" s="1"/>
  <c r="Y105" i="25"/>
  <c r="Z105" i="25"/>
  <c r="AC105" i="25"/>
  <c r="AC106" i="25" s="1"/>
  <c r="AC107" i="25" s="1"/>
  <c r="AC108" i="25" s="1"/>
  <c r="AC109" i="25" s="1"/>
  <c r="AC110" i="25" s="1"/>
  <c r="AC111" i="25" s="1"/>
  <c r="AC112" i="25" s="1"/>
  <c r="AC113" i="25" s="1"/>
  <c r="AC114" i="25" s="1"/>
  <c r="AC115" i="25" s="1"/>
  <c r="AC116" i="25" s="1"/>
  <c r="AC117" i="25" s="1"/>
  <c r="AC118" i="25" s="1"/>
  <c r="AC119" i="25" s="1"/>
  <c r="AC120" i="25" s="1"/>
  <c r="AC121" i="25" s="1"/>
  <c r="AC122" i="25" s="1"/>
  <c r="AC123" i="25" s="1"/>
  <c r="AG105" i="25"/>
  <c r="AG104" i="25" s="1"/>
  <c r="AH105" i="25"/>
  <c r="J106" i="25"/>
  <c r="U106" i="25"/>
  <c r="H106" i="25" s="1"/>
  <c r="X106" i="25"/>
  <c r="AE106" i="25" s="1"/>
  <c r="Y106" i="25"/>
  <c r="AA106" i="25" s="1"/>
  <c r="Z106" i="25"/>
  <c r="AG106" i="25"/>
  <c r="AH106" i="25"/>
  <c r="J107" i="25"/>
  <c r="U107" i="25"/>
  <c r="H107" i="25" s="1"/>
  <c r="X107" i="25"/>
  <c r="AE107" i="25" s="1"/>
  <c r="Y107" i="25"/>
  <c r="AA107" i="25" s="1"/>
  <c r="Z107" i="25"/>
  <c r="AG107" i="25"/>
  <c r="AH107" i="25"/>
  <c r="J108" i="25"/>
  <c r="U108" i="25"/>
  <c r="H108" i="25" s="1"/>
  <c r="X108" i="25"/>
  <c r="AE108" i="25" s="1"/>
  <c r="Y108" i="25"/>
  <c r="AA108" i="25" s="1"/>
  <c r="Z108" i="25"/>
  <c r="AG108" i="25"/>
  <c r="AH108" i="25"/>
  <c r="J109" i="25"/>
  <c r="U109" i="25"/>
  <c r="H109" i="25" s="1"/>
  <c r="X109" i="25"/>
  <c r="AE109" i="25" s="1"/>
  <c r="Y109" i="25"/>
  <c r="AA109" i="25" s="1"/>
  <c r="Z109" i="25"/>
  <c r="AG109" i="25"/>
  <c r="AH109" i="25"/>
  <c r="J110" i="25"/>
  <c r="U110" i="25"/>
  <c r="H110" i="25" s="1"/>
  <c r="X110" i="25"/>
  <c r="AE110" i="25" s="1"/>
  <c r="Y110" i="25"/>
  <c r="AF110" i="25" s="1"/>
  <c r="Z110" i="25"/>
  <c r="AG110" i="25"/>
  <c r="AH110" i="25"/>
  <c r="J111" i="25"/>
  <c r="U111" i="25"/>
  <c r="H111" i="25" s="1"/>
  <c r="X111" i="25"/>
  <c r="AE111" i="25" s="1"/>
  <c r="Y111" i="25"/>
  <c r="AA111" i="25" s="1"/>
  <c r="Z111" i="25"/>
  <c r="AG111" i="25"/>
  <c r="AH111" i="25"/>
  <c r="J112" i="25"/>
  <c r="U112" i="25"/>
  <c r="H112" i="25" s="1"/>
  <c r="X112" i="25"/>
  <c r="AE112" i="25" s="1"/>
  <c r="Y112" i="25"/>
  <c r="AF112" i="25" s="1"/>
  <c r="Z112" i="25"/>
  <c r="AG112" i="25"/>
  <c r="AH112" i="25"/>
  <c r="J113" i="25"/>
  <c r="U113" i="25"/>
  <c r="H113" i="25" s="1"/>
  <c r="X113" i="25"/>
  <c r="AE113" i="25" s="1"/>
  <c r="Y113" i="25"/>
  <c r="Z113" i="25"/>
  <c r="AG113" i="25"/>
  <c r="AH113" i="25"/>
  <c r="J114" i="25"/>
  <c r="U114" i="25"/>
  <c r="H114" i="25" s="1"/>
  <c r="X114" i="25"/>
  <c r="AE114" i="25" s="1"/>
  <c r="Y114" i="25"/>
  <c r="AA114" i="25" s="1"/>
  <c r="Z114" i="25"/>
  <c r="AG114" i="25"/>
  <c r="AH114" i="25"/>
  <c r="J115" i="25"/>
  <c r="U115" i="25"/>
  <c r="H115" i="25" s="1"/>
  <c r="X115" i="25"/>
  <c r="AE115" i="25" s="1"/>
  <c r="Y115" i="25"/>
  <c r="AF115" i="25" s="1"/>
  <c r="Z115" i="25"/>
  <c r="AA115" i="25"/>
  <c r="AG115" i="25"/>
  <c r="AH115" i="25"/>
  <c r="J116" i="25"/>
  <c r="U116" i="25"/>
  <c r="H116" i="25" s="1"/>
  <c r="X116" i="25"/>
  <c r="AE116" i="25" s="1"/>
  <c r="Y116" i="25"/>
  <c r="Z116" i="25"/>
  <c r="AG116" i="25"/>
  <c r="AH116" i="25"/>
  <c r="J117" i="25"/>
  <c r="U117" i="25"/>
  <c r="H117" i="25" s="1"/>
  <c r="X117" i="25"/>
  <c r="AE117" i="25" s="1"/>
  <c r="Y117" i="25"/>
  <c r="AA117" i="25" s="1"/>
  <c r="Z117" i="25"/>
  <c r="AG117" i="25"/>
  <c r="AH117" i="25"/>
  <c r="J118" i="25"/>
  <c r="U118" i="25"/>
  <c r="H118" i="25" s="1"/>
  <c r="X118" i="25"/>
  <c r="AE118" i="25" s="1"/>
  <c r="Y118" i="25"/>
  <c r="AF118" i="25" s="1"/>
  <c r="Z118" i="25"/>
  <c r="AG118" i="25"/>
  <c r="AH118" i="25"/>
  <c r="J119" i="25"/>
  <c r="U119" i="25"/>
  <c r="H119" i="25" s="1"/>
  <c r="X119" i="25"/>
  <c r="AE119" i="25" s="1"/>
  <c r="Y119" i="25"/>
  <c r="AA119" i="25" s="1"/>
  <c r="Z119" i="25"/>
  <c r="AG119" i="25"/>
  <c r="AH119" i="25"/>
  <c r="J120" i="25"/>
  <c r="U120" i="25"/>
  <c r="H120" i="25" s="1"/>
  <c r="X120" i="25"/>
  <c r="AE120" i="25" s="1"/>
  <c r="Y120" i="25"/>
  <c r="AF120" i="25" s="1"/>
  <c r="Z120" i="25"/>
  <c r="AG120" i="25"/>
  <c r="AH120" i="25"/>
  <c r="J121" i="25"/>
  <c r="U121" i="25"/>
  <c r="H121" i="25" s="1"/>
  <c r="X121" i="25"/>
  <c r="AE121" i="25" s="1"/>
  <c r="Y121" i="25"/>
  <c r="AA121" i="25" s="1"/>
  <c r="Z121" i="25"/>
  <c r="AG121" i="25"/>
  <c r="AH121" i="25"/>
  <c r="J122" i="25"/>
  <c r="U122" i="25"/>
  <c r="H122" i="25" s="1"/>
  <c r="X122" i="25"/>
  <c r="AE122" i="25" s="1"/>
  <c r="Y122" i="25"/>
  <c r="AA122" i="25" s="1"/>
  <c r="Z122" i="25"/>
  <c r="AG122" i="25"/>
  <c r="AH122" i="25"/>
  <c r="J123" i="25"/>
  <c r="U123" i="25"/>
  <c r="H123" i="25" s="1"/>
  <c r="X123" i="25"/>
  <c r="AE123" i="25" s="1"/>
  <c r="Y123" i="25"/>
  <c r="AF123" i="25" s="1"/>
  <c r="Z123" i="25"/>
  <c r="AG123" i="25"/>
  <c r="AH123" i="25"/>
  <c r="J124" i="25"/>
  <c r="U124" i="25"/>
  <c r="H124" i="25" s="1"/>
  <c r="X124" i="25"/>
  <c r="Y124" i="25"/>
  <c r="AF124" i="25" s="1"/>
  <c r="Z124" i="25"/>
  <c r="AG124" i="25"/>
  <c r="AH124" i="25"/>
  <c r="J125" i="25"/>
  <c r="U125" i="25"/>
  <c r="H125" i="25" s="1"/>
  <c r="AC125" i="25"/>
  <c r="AG125" i="25"/>
  <c r="AH125" i="25"/>
  <c r="J126" i="25"/>
  <c r="U126" i="25"/>
  <c r="H126" i="25" s="1"/>
  <c r="AC126" i="25"/>
  <c r="AG126" i="25"/>
  <c r="AH126" i="25"/>
  <c r="J127" i="25"/>
  <c r="U127" i="25"/>
  <c r="H127" i="25" s="1"/>
  <c r="AC127" i="25"/>
  <c r="AG127" i="25"/>
  <c r="AH127" i="25"/>
  <c r="J128" i="25"/>
  <c r="U128" i="25"/>
  <c r="H128" i="25" s="1"/>
  <c r="AG128" i="25"/>
  <c r="AH128" i="25"/>
  <c r="X129" i="25"/>
  <c r="Y129" i="25"/>
  <c r="Z129" i="25"/>
  <c r="H135" i="25"/>
  <c r="J135" i="25"/>
  <c r="J136" i="25"/>
  <c r="U136" i="25"/>
  <c r="H136" i="25" s="1"/>
  <c r="X136" i="25"/>
  <c r="Y136" i="25"/>
  <c r="AF136" i="25" s="1"/>
  <c r="Z136" i="25"/>
  <c r="AC136" i="25"/>
  <c r="AC137" i="25" s="1"/>
  <c r="AC138" i="25" s="1"/>
  <c r="AC139" i="25" s="1"/>
  <c r="AC140" i="25" s="1"/>
  <c r="AC141" i="25" s="1"/>
  <c r="AC142" i="25" s="1"/>
  <c r="AC143" i="25" s="1"/>
  <c r="AC144" i="25" s="1"/>
  <c r="AC145" i="25" s="1"/>
  <c r="AC146" i="25" s="1"/>
  <c r="AC147" i="25" s="1"/>
  <c r="AC148" i="25" s="1"/>
  <c r="AC149" i="25" s="1"/>
  <c r="AC150" i="25" s="1"/>
  <c r="AC151" i="25" s="1"/>
  <c r="AC152" i="25" s="1"/>
  <c r="AC153" i="25" s="1"/>
  <c r="AG136" i="25"/>
  <c r="AG135" i="25" s="1"/>
  <c r="AH136" i="25"/>
  <c r="J137" i="25"/>
  <c r="U137" i="25"/>
  <c r="H137" i="25" s="1"/>
  <c r="X137" i="25"/>
  <c r="AE137" i="25" s="1"/>
  <c r="Y137" i="25"/>
  <c r="AA137" i="25" s="1"/>
  <c r="Z137" i="25"/>
  <c r="AG137" i="25"/>
  <c r="AH137" i="25"/>
  <c r="J138" i="25"/>
  <c r="U138" i="25"/>
  <c r="H138" i="25" s="1"/>
  <c r="X138" i="25"/>
  <c r="AE138" i="25" s="1"/>
  <c r="Y138" i="25"/>
  <c r="AF138" i="25" s="1"/>
  <c r="Z138" i="25"/>
  <c r="AG138" i="25"/>
  <c r="AH138" i="25"/>
  <c r="J139" i="25"/>
  <c r="U139" i="25"/>
  <c r="H139" i="25" s="1"/>
  <c r="X139" i="25"/>
  <c r="AE139" i="25" s="1"/>
  <c r="Y139" i="25"/>
  <c r="AA139" i="25" s="1"/>
  <c r="Z139" i="25"/>
  <c r="AG139" i="25"/>
  <c r="AH139" i="25"/>
  <c r="J140" i="25"/>
  <c r="U140" i="25"/>
  <c r="H140" i="25" s="1"/>
  <c r="X140" i="25"/>
  <c r="AE140" i="25" s="1"/>
  <c r="Y140" i="25"/>
  <c r="AF140" i="25" s="1"/>
  <c r="Z140" i="25"/>
  <c r="AG140" i="25"/>
  <c r="AH140" i="25"/>
  <c r="J141" i="25"/>
  <c r="U141" i="25"/>
  <c r="H141" i="25" s="1"/>
  <c r="X141" i="25"/>
  <c r="AE141" i="25" s="1"/>
  <c r="Y141" i="25"/>
  <c r="AF141" i="25" s="1"/>
  <c r="Z141" i="25"/>
  <c r="AG141" i="25"/>
  <c r="AH141" i="25"/>
  <c r="J142" i="25"/>
  <c r="U142" i="25"/>
  <c r="H142" i="25" s="1"/>
  <c r="X142" i="25"/>
  <c r="AE142" i="25" s="1"/>
  <c r="Y142" i="25"/>
  <c r="AA142" i="25" s="1"/>
  <c r="Z142" i="25"/>
  <c r="AG142" i="25"/>
  <c r="AH142" i="25"/>
  <c r="J143" i="25"/>
  <c r="U143" i="25"/>
  <c r="H143" i="25" s="1"/>
  <c r="X143" i="25"/>
  <c r="AE143" i="25" s="1"/>
  <c r="Y143" i="25"/>
  <c r="AF143" i="25" s="1"/>
  <c r="Z143" i="25"/>
  <c r="AG143" i="25"/>
  <c r="AH143" i="25"/>
  <c r="J144" i="25"/>
  <c r="U144" i="25"/>
  <c r="H144" i="25" s="1"/>
  <c r="X144" i="25"/>
  <c r="AE144" i="25" s="1"/>
  <c r="Y144" i="25"/>
  <c r="AA144" i="25" s="1"/>
  <c r="Z144" i="25"/>
  <c r="AG144" i="25"/>
  <c r="AH144" i="25"/>
  <c r="J145" i="25"/>
  <c r="U145" i="25"/>
  <c r="H145" i="25" s="1"/>
  <c r="X145" i="25"/>
  <c r="AE145" i="25" s="1"/>
  <c r="Y145" i="25"/>
  <c r="AA145" i="25" s="1"/>
  <c r="Z145" i="25"/>
  <c r="AG145" i="25"/>
  <c r="AH145" i="25"/>
  <c r="J146" i="25"/>
  <c r="U146" i="25"/>
  <c r="H146" i="25" s="1"/>
  <c r="X146" i="25"/>
  <c r="AE146" i="25" s="1"/>
  <c r="Y146" i="25"/>
  <c r="AF146" i="25" s="1"/>
  <c r="Z146" i="25"/>
  <c r="AG146" i="25"/>
  <c r="AH146" i="25"/>
  <c r="J147" i="25"/>
  <c r="U147" i="25"/>
  <c r="H147" i="25" s="1"/>
  <c r="X147" i="25"/>
  <c r="AE147" i="25" s="1"/>
  <c r="Y147" i="25"/>
  <c r="AA147" i="25" s="1"/>
  <c r="Z147" i="25"/>
  <c r="AG147" i="25"/>
  <c r="AH147" i="25"/>
  <c r="J148" i="25"/>
  <c r="U148" i="25"/>
  <c r="H148" i="25" s="1"/>
  <c r="X148" i="25"/>
  <c r="AE148" i="25" s="1"/>
  <c r="Y148" i="25"/>
  <c r="AF148" i="25" s="1"/>
  <c r="Z148" i="25"/>
  <c r="AG148" i="25"/>
  <c r="AH148" i="25"/>
  <c r="J149" i="25"/>
  <c r="U149" i="25"/>
  <c r="H149" i="25" s="1"/>
  <c r="X149" i="25"/>
  <c r="AE149" i="25" s="1"/>
  <c r="Y149" i="25"/>
  <c r="AF149" i="25" s="1"/>
  <c r="Z149" i="25"/>
  <c r="AG149" i="25"/>
  <c r="AH149" i="25"/>
  <c r="J150" i="25"/>
  <c r="U150" i="25"/>
  <c r="H150" i="25" s="1"/>
  <c r="X150" i="25"/>
  <c r="AE150" i="25" s="1"/>
  <c r="Y150" i="25"/>
  <c r="AA150" i="25" s="1"/>
  <c r="Z150" i="25"/>
  <c r="AG150" i="25"/>
  <c r="AH150" i="25"/>
  <c r="J151" i="25"/>
  <c r="U151" i="25"/>
  <c r="H151" i="25" s="1"/>
  <c r="X151" i="25"/>
  <c r="AE151" i="25" s="1"/>
  <c r="Y151" i="25"/>
  <c r="AF151" i="25" s="1"/>
  <c r="Z151" i="25"/>
  <c r="AG151" i="25"/>
  <c r="AH151" i="25"/>
  <c r="J152" i="25"/>
  <c r="U152" i="25"/>
  <c r="H152" i="25" s="1"/>
  <c r="X152" i="25"/>
  <c r="AE152" i="25" s="1"/>
  <c r="Y152" i="25"/>
  <c r="AA152" i="25" s="1"/>
  <c r="Z152" i="25"/>
  <c r="AG152" i="25"/>
  <c r="AH152" i="25"/>
  <c r="J153" i="25"/>
  <c r="U153" i="25"/>
  <c r="H153" i="25" s="1"/>
  <c r="X153" i="25"/>
  <c r="AE153" i="25" s="1"/>
  <c r="Y153" i="25"/>
  <c r="AA153" i="25" s="1"/>
  <c r="Z153" i="25"/>
  <c r="AG153" i="25"/>
  <c r="AH153" i="25"/>
  <c r="J154" i="25"/>
  <c r="U154" i="25"/>
  <c r="H154" i="25" s="1"/>
  <c r="X154" i="25"/>
  <c r="AE154" i="25" s="1"/>
  <c r="Y154" i="25"/>
  <c r="AF154" i="25" s="1"/>
  <c r="Z154" i="25"/>
  <c r="AG154" i="25"/>
  <c r="AH154" i="25"/>
  <c r="J155" i="25"/>
  <c r="U155" i="25"/>
  <c r="H155" i="25" s="1"/>
  <c r="X155" i="25"/>
  <c r="AE155" i="25" s="1"/>
  <c r="Y155" i="25"/>
  <c r="AA155" i="25" s="1"/>
  <c r="Z155" i="25"/>
  <c r="AG155" i="25"/>
  <c r="AH155" i="25"/>
  <c r="J156" i="25"/>
  <c r="U156" i="25"/>
  <c r="H156" i="25" s="1"/>
  <c r="AC156" i="25"/>
  <c r="AG156" i="25"/>
  <c r="AH156" i="25"/>
  <c r="J157" i="25"/>
  <c r="U157" i="25"/>
  <c r="H157" i="25" s="1"/>
  <c r="AC157" i="25"/>
  <c r="AG157" i="25"/>
  <c r="AH157" i="25"/>
  <c r="J158" i="25"/>
  <c r="U158" i="25"/>
  <c r="H158" i="25" s="1"/>
  <c r="AC158" i="25"/>
  <c r="AG158" i="25"/>
  <c r="AH158" i="25"/>
  <c r="B159" i="25"/>
  <c r="B190" i="25" s="1"/>
  <c r="B221" i="25" s="1"/>
  <c r="B252" i="25" s="1"/>
  <c r="J159" i="25"/>
  <c r="U159" i="25"/>
  <c r="H159" i="25" s="1"/>
  <c r="AG159" i="25"/>
  <c r="AH159" i="25"/>
  <c r="X160" i="25"/>
  <c r="Y160" i="25"/>
  <c r="Z160" i="25"/>
  <c r="H166" i="25"/>
  <c r="J166" i="25"/>
  <c r="J167" i="25"/>
  <c r="U167" i="25"/>
  <c r="H167" i="25" s="1"/>
  <c r="X167" i="25"/>
  <c r="AE167" i="25" s="1"/>
  <c r="Y167" i="25"/>
  <c r="AF167" i="25" s="1"/>
  <c r="Z167" i="25"/>
  <c r="AC167" i="25"/>
  <c r="AC168" i="25" s="1"/>
  <c r="AC169" i="25" s="1"/>
  <c r="AC170" i="25" s="1"/>
  <c r="AC171" i="25" s="1"/>
  <c r="AC172" i="25" s="1"/>
  <c r="AC173" i="25" s="1"/>
  <c r="AC174" i="25" s="1"/>
  <c r="AC175" i="25" s="1"/>
  <c r="AC176" i="25" s="1"/>
  <c r="AC177" i="25" s="1"/>
  <c r="AC178" i="25" s="1"/>
  <c r="AC179" i="25" s="1"/>
  <c r="AC180" i="25" s="1"/>
  <c r="AC181" i="25" s="1"/>
  <c r="AG167" i="25"/>
  <c r="AG166" i="25" s="1"/>
  <c r="AH167" i="25"/>
  <c r="J168" i="25"/>
  <c r="U168" i="25"/>
  <c r="H168" i="25" s="1"/>
  <c r="X168" i="25"/>
  <c r="AE168" i="25" s="1"/>
  <c r="Y168" i="25"/>
  <c r="AA168" i="25" s="1"/>
  <c r="Z168" i="25"/>
  <c r="AG168" i="25"/>
  <c r="AH168" i="25"/>
  <c r="J169" i="25"/>
  <c r="U169" i="25"/>
  <c r="H169" i="25" s="1"/>
  <c r="X169" i="25"/>
  <c r="AE169" i="25" s="1"/>
  <c r="Y169" i="25"/>
  <c r="AA169" i="25" s="1"/>
  <c r="Z169" i="25"/>
  <c r="AG169" i="25"/>
  <c r="AH169" i="25"/>
  <c r="J170" i="25"/>
  <c r="U170" i="25"/>
  <c r="H170" i="25" s="1"/>
  <c r="X170" i="25"/>
  <c r="AE170" i="25" s="1"/>
  <c r="Y170" i="25"/>
  <c r="AF170" i="25" s="1"/>
  <c r="Z170" i="25"/>
  <c r="AG170" i="25"/>
  <c r="AH170" i="25"/>
  <c r="J171" i="25"/>
  <c r="U171" i="25"/>
  <c r="H171" i="25" s="1"/>
  <c r="X171" i="25"/>
  <c r="AE171" i="25" s="1"/>
  <c r="Y171" i="25"/>
  <c r="AF171" i="25" s="1"/>
  <c r="Z171" i="25"/>
  <c r="AG171" i="25"/>
  <c r="AH171" i="25"/>
  <c r="J172" i="25"/>
  <c r="U172" i="25"/>
  <c r="H172" i="25" s="1"/>
  <c r="X172" i="25"/>
  <c r="AE172" i="25" s="1"/>
  <c r="Y172" i="25"/>
  <c r="AA172" i="25" s="1"/>
  <c r="Z172" i="25"/>
  <c r="AG172" i="25"/>
  <c r="AH172" i="25"/>
  <c r="J173" i="25"/>
  <c r="U173" i="25"/>
  <c r="H173" i="25" s="1"/>
  <c r="X173" i="25"/>
  <c r="AE173" i="25" s="1"/>
  <c r="Y173" i="25"/>
  <c r="AF173" i="25" s="1"/>
  <c r="Z173" i="25"/>
  <c r="AG173" i="25"/>
  <c r="AH173" i="25"/>
  <c r="J174" i="25"/>
  <c r="U174" i="25"/>
  <c r="H174" i="25" s="1"/>
  <c r="X174" i="25"/>
  <c r="AE174" i="25" s="1"/>
  <c r="Y174" i="25"/>
  <c r="AA174" i="25" s="1"/>
  <c r="Z174" i="25"/>
  <c r="AG174" i="25"/>
  <c r="AH174" i="25"/>
  <c r="J175" i="25"/>
  <c r="U175" i="25"/>
  <c r="H175" i="25" s="1"/>
  <c r="X175" i="25"/>
  <c r="AE175" i="25" s="1"/>
  <c r="Y175" i="25"/>
  <c r="AF175" i="25" s="1"/>
  <c r="Z175" i="25"/>
  <c r="AG175" i="25"/>
  <c r="AH175" i="25"/>
  <c r="J176" i="25"/>
  <c r="U176" i="25"/>
  <c r="H176" i="25" s="1"/>
  <c r="X176" i="25"/>
  <c r="AE176" i="25" s="1"/>
  <c r="Y176" i="25"/>
  <c r="AA176" i="25" s="1"/>
  <c r="Z176" i="25"/>
  <c r="AG176" i="25"/>
  <c r="AH176" i="25"/>
  <c r="J177" i="25"/>
  <c r="U177" i="25"/>
  <c r="H177" i="25" s="1"/>
  <c r="X177" i="25"/>
  <c r="Y177" i="25"/>
  <c r="AA177" i="25" s="1"/>
  <c r="Z177" i="25"/>
  <c r="AG177" i="25"/>
  <c r="AH177" i="25"/>
  <c r="J178" i="25"/>
  <c r="U178" i="25"/>
  <c r="H178" i="25" s="1"/>
  <c r="X178" i="25"/>
  <c r="AE178" i="25" s="1"/>
  <c r="Y178" i="25"/>
  <c r="AF178" i="25" s="1"/>
  <c r="Z178" i="25"/>
  <c r="AG178" i="25"/>
  <c r="AH178" i="25"/>
  <c r="J179" i="25"/>
  <c r="U179" i="25"/>
  <c r="H179" i="25" s="1"/>
  <c r="X179" i="25"/>
  <c r="AE179" i="25" s="1"/>
  <c r="Y179" i="25"/>
  <c r="AF179" i="25" s="1"/>
  <c r="Z179" i="25"/>
  <c r="AG179" i="25"/>
  <c r="AH179" i="25"/>
  <c r="J180" i="25"/>
  <c r="U180" i="25"/>
  <c r="H180" i="25" s="1"/>
  <c r="X180" i="25"/>
  <c r="AE180" i="25" s="1"/>
  <c r="Y180" i="25"/>
  <c r="AF180" i="25" s="1"/>
  <c r="Z180" i="25"/>
  <c r="AG180" i="25"/>
  <c r="AH180" i="25"/>
  <c r="J181" i="25"/>
  <c r="U181" i="25"/>
  <c r="H181" i="25" s="1"/>
  <c r="X181" i="25"/>
  <c r="AE181" i="25" s="1"/>
  <c r="Y181" i="25"/>
  <c r="AA181" i="25" s="1"/>
  <c r="Z181" i="25"/>
  <c r="AG181" i="25"/>
  <c r="AH181" i="25"/>
  <c r="J182" i="25"/>
  <c r="U182" i="25"/>
  <c r="H182" i="25" s="1"/>
  <c r="X182" i="25"/>
  <c r="AE182" i="25" s="1"/>
  <c r="Y182" i="25"/>
  <c r="AF182" i="25" s="1"/>
  <c r="Z182" i="25"/>
  <c r="AG182" i="25"/>
  <c r="AH182" i="25"/>
  <c r="J183" i="25"/>
  <c r="U183" i="25"/>
  <c r="H183" i="25" s="1"/>
  <c r="X183" i="25"/>
  <c r="AE183" i="25" s="1"/>
  <c r="Y183" i="25"/>
  <c r="AA183" i="25" s="1"/>
  <c r="Z183" i="25"/>
  <c r="AG183" i="25"/>
  <c r="AH183" i="25"/>
  <c r="J184" i="25"/>
  <c r="U184" i="25"/>
  <c r="H184" i="25" s="1"/>
  <c r="X184" i="25"/>
  <c r="AE184" i="25" s="1"/>
  <c r="Y184" i="25"/>
  <c r="AA184" i="25" s="1"/>
  <c r="Z184" i="25"/>
  <c r="AG184" i="25"/>
  <c r="AH184" i="25"/>
  <c r="J185" i="25"/>
  <c r="U185" i="25"/>
  <c r="H185" i="25" s="1"/>
  <c r="X185" i="25"/>
  <c r="AE185" i="25" s="1"/>
  <c r="Y185" i="25"/>
  <c r="AF185" i="25" s="1"/>
  <c r="Z185" i="25"/>
  <c r="AG185" i="25"/>
  <c r="AH185" i="25"/>
  <c r="J186" i="25"/>
  <c r="U186" i="25"/>
  <c r="H186" i="25" s="1"/>
  <c r="X186" i="25"/>
  <c r="AE186" i="25" s="1"/>
  <c r="Y186" i="25"/>
  <c r="AF186" i="25" s="1"/>
  <c r="Z186" i="25"/>
  <c r="AG186" i="25"/>
  <c r="AH186" i="25"/>
  <c r="J187" i="25"/>
  <c r="U187" i="25"/>
  <c r="H187" i="25" s="1"/>
  <c r="AC187" i="25"/>
  <c r="AG187" i="25"/>
  <c r="AH187" i="25"/>
  <c r="J188" i="25"/>
  <c r="U188" i="25"/>
  <c r="H188" i="25" s="1"/>
  <c r="AC188" i="25"/>
  <c r="AG188" i="25"/>
  <c r="AH188" i="25"/>
  <c r="J189" i="25"/>
  <c r="U189" i="25"/>
  <c r="H189" i="25" s="1"/>
  <c r="AC189" i="25"/>
  <c r="AG189" i="25"/>
  <c r="AH189" i="25"/>
  <c r="J190" i="25"/>
  <c r="U190" i="25"/>
  <c r="H190" i="25" s="1"/>
  <c r="AG190" i="25"/>
  <c r="AH190" i="25"/>
  <c r="X191" i="25"/>
  <c r="Y191" i="25"/>
  <c r="Z191" i="25"/>
  <c r="H197" i="25"/>
  <c r="J197" i="25"/>
  <c r="J198" i="25"/>
  <c r="U198" i="25"/>
  <c r="H198" i="25" s="1"/>
  <c r="X198" i="25"/>
  <c r="AE198" i="25" s="1"/>
  <c r="Y198" i="25"/>
  <c r="Z198" i="25"/>
  <c r="AC198" i="25"/>
  <c r="AC199" i="25" s="1"/>
  <c r="AC200" i="25" s="1"/>
  <c r="AC201" i="25" s="1"/>
  <c r="AC202" i="25" s="1"/>
  <c r="AC203" i="25" s="1"/>
  <c r="AG198" i="25"/>
  <c r="AG197" i="25" s="1"/>
  <c r="AH198" i="25"/>
  <c r="J199" i="25"/>
  <c r="U199" i="25"/>
  <c r="H199" i="25" s="1"/>
  <c r="X199" i="25"/>
  <c r="Y199" i="25"/>
  <c r="AF199" i="25" s="1"/>
  <c r="Z199" i="25"/>
  <c r="AG199" i="25"/>
  <c r="AH199" i="25"/>
  <c r="J200" i="25"/>
  <c r="U200" i="25"/>
  <c r="H200" i="25" s="1"/>
  <c r="X200" i="25"/>
  <c r="AE200" i="25" s="1"/>
  <c r="Y200" i="25"/>
  <c r="AF200" i="25" s="1"/>
  <c r="Z200" i="25"/>
  <c r="AG200" i="25"/>
  <c r="AH200" i="25"/>
  <c r="J201" i="25"/>
  <c r="U201" i="25"/>
  <c r="H201" i="25" s="1"/>
  <c r="X201" i="25"/>
  <c r="AE201" i="25" s="1"/>
  <c r="Y201" i="25"/>
  <c r="AF201" i="25" s="1"/>
  <c r="Z201" i="25"/>
  <c r="AG201" i="25"/>
  <c r="AH201" i="25"/>
  <c r="J202" i="25"/>
  <c r="U202" i="25"/>
  <c r="H202" i="25" s="1"/>
  <c r="X202" i="25"/>
  <c r="AE202" i="25" s="1"/>
  <c r="Y202" i="25"/>
  <c r="AA202" i="25" s="1"/>
  <c r="Z202" i="25"/>
  <c r="AG202" i="25"/>
  <c r="AH202" i="25"/>
  <c r="J203" i="25"/>
  <c r="U203" i="25"/>
  <c r="H203" i="25" s="1"/>
  <c r="X203" i="25"/>
  <c r="AE203" i="25" s="1"/>
  <c r="Y203" i="25"/>
  <c r="AF203" i="25" s="1"/>
  <c r="Z203" i="25"/>
  <c r="AG203" i="25"/>
  <c r="AH203" i="25"/>
  <c r="J204" i="25"/>
  <c r="U204" i="25"/>
  <c r="H204" i="25" s="1"/>
  <c r="X204" i="25"/>
  <c r="AE204" i="25" s="1"/>
  <c r="Y204" i="25"/>
  <c r="AF204" i="25" s="1"/>
  <c r="Z204" i="25"/>
  <c r="AG204" i="25"/>
  <c r="AH204" i="25"/>
  <c r="J205" i="25"/>
  <c r="U205" i="25"/>
  <c r="H205" i="25" s="1"/>
  <c r="X205" i="25"/>
  <c r="AE205" i="25" s="1"/>
  <c r="Y205" i="25"/>
  <c r="AA205" i="25" s="1"/>
  <c r="Z205" i="25"/>
  <c r="AG205" i="25"/>
  <c r="AH205" i="25"/>
  <c r="J206" i="25"/>
  <c r="U206" i="25"/>
  <c r="H206" i="25" s="1"/>
  <c r="X206" i="25"/>
  <c r="AE206" i="25" s="1"/>
  <c r="Y206" i="25"/>
  <c r="Z206" i="25"/>
  <c r="AG206" i="25"/>
  <c r="AH206" i="25"/>
  <c r="J207" i="25"/>
  <c r="U207" i="25"/>
  <c r="H207" i="25" s="1"/>
  <c r="X207" i="25"/>
  <c r="AE207" i="25" s="1"/>
  <c r="Y207" i="25"/>
  <c r="Z207" i="25"/>
  <c r="AG207" i="25"/>
  <c r="AH207" i="25"/>
  <c r="J208" i="25"/>
  <c r="U208" i="25"/>
  <c r="H208" i="25" s="1"/>
  <c r="X208" i="25"/>
  <c r="AE208" i="25" s="1"/>
  <c r="Y208" i="25"/>
  <c r="AF208" i="25" s="1"/>
  <c r="Z208" i="25"/>
  <c r="AG208" i="25"/>
  <c r="AH208" i="25"/>
  <c r="J209" i="25"/>
  <c r="U209" i="25"/>
  <c r="H209" i="25" s="1"/>
  <c r="X209" i="25"/>
  <c r="AE209" i="25" s="1"/>
  <c r="Y209" i="25"/>
  <c r="AA209" i="25" s="1"/>
  <c r="Z209" i="25"/>
  <c r="AG209" i="25"/>
  <c r="AH209" i="25"/>
  <c r="J210" i="25"/>
  <c r="U210" i="25"/>
  <c r="H210" i="25" s="1"/>
  <c r="X210" i="25"/>
  <c r="AE210" i="25" s="1"/>
  <c r="Y210" i="25"/>
  <c r="AA210" i="25" s="1"/>
  <c r="Z210" i="25"/>
  <c r="AG210" i="25"/>
  <c r="AH210" i="25"/>
  <c r="J211" i="25"/>
  <c r="U211" i="25"/>
  <c r="H211" i="25" s="1"/>
  <c r="X211" i="25"/>
  <c r="AE211" i="25" s="1"/>
  <c r="Y211" i="25"/>
  <c r="AF211" i="25" s="1"/>
  <c r="Z211" i="25"/>
  <c r="AG211" i="25"/>
  <c r="AH211" i="25"/>
  <c r="J212" i="25"/>
  <c r="U212" i="25"/>
  <c r="H212" i="25" s="1"/>
  <c r="X212" i="25"/>
  <c r="AE212" i="25" s="1"/>
  <c r="Y212" i="25"/>
  <c r="AF212" i="25" s="1"/>
  <c r="Z212" i="25"/>
  <c r="AG212" i="25"/>
  <c r="AH212" i="25"/>
  <c r="J213" i="25"/>
  <c r="U213" i="25"/>
  <c r="H213" i="25" s="1"/>
  <c r="X213" i="25"/>
  <c r="AE213" i="25" s="1"/>
  <c r="Y213" i="25"/>
  <c r="AA213" i="25" s="1"/>
  <c r="Z213" i="25"/>
  <c r="AG213" i="25"/>
  <c r="AH213" i="25"/>
  <c r="J214" i="25"/>
  <c r="U214" i="25"/>
  <c r="H214" i="25" s="1"/>
  <c r="X214" i="25"/>
  <c r="AE214" i="25" s="1"/>
  <c r="Y214" i="25"/>
  <c r="AF214" i="25" s="1"/>
  <c r="Z214" i="25"/>
  <c r="AG214" i="25"/>
  <c r="AH214" i="25"/>
  <c r="J215" i="25"/>
  <c r="U215" i="25"/>
  <c r="H215" i="25" s="1"/>
  <c r="X215" i="25"/>
  <c r="AE215" i="25" s="1"/>
  <c r="Y215" i="25"/>
  <c r="AA215" i="25" s="1"/>
  <c r="Z215" i="25"/>
  <c r="AG215" i="25"/>
  <c r="AH215" i="25"/>
  <c r="J216" i="25"/>
  <c r="U216" i="25"/>
  <c r="H216" i="25" s="1"/>
  <c r="X216" i="25"/>
  <c r="AE216" i="25" s="1"/>
  <c r="Y216" i="25"/>
  <c r="AF216" i="25" s="1"/>
  <c r="Z216" i="25"/>
  <c r="AG216" i="25"/>
  <c r="AH216" i="25"/>
  <c r="J217" i="25"/>
  <c r="U217" i="25"/>
  <c r="H217" i="25" s="1"/>
  <c r="X217" i="25"/>
  <c r="AE217" i="25" s="1"/>
  <c r="Y217" i="25"/>
  <c r="AA217" i="25" s="1"/>
  <c r="Z217" i="25"/>
  <c r="AG217" i="25"/>
  <c r="AH217" i="25"/>
  <c r="J218" i="25"/>
  <c r="U218" i="25"/>
  <c r="H218" i="25" s="1"/>
  <c r="AC218" i="25"/>
  <c r="AG218" i="25"/>
  <c r="AH218" i="25"/>
  <c r="J219" i="25"/>
  <c r="U219" i="25"/>
  <c r="H219" i="25" s="1"/>
  <c r="AC219" i="25"/>
  <c r="AG219" i="25"/>
  <c r="AH219" i="25"/>
  <c r="J220" i="25"/>
  <c r="U220" i="25"/>
  <c r="H220" i="25" s="1"/>
  <c r="AC220" i="25"/>
  <c r="AG220" i="25"/>
  <c r="AH220" i="25"/>
  <c r="J221" i="25"/>
  <c r="U221" i="25"/>
  <c r="H221" i="25" s="1"/>
  <c r="AG221" i="25"/>
  <c r="AH221" i="25"/>
  <c r="X222" i="25"/>
  <c r="Y222" i="25"/>
  <c r="Z222" i="25"/>
  <c r="H228" i="25"/>
  <c r="J228" i="25"/>
  <c r="H229" i="25"/>
  <c r="J229" i="25"/>
  <c r="U229" i="25"/>
  <c r="X229" i="25"/>
  <c r="Y229" i="25"/>
  <c r="Z229" i="25"/>
  <c r="AC229" i="25"/>
  <c r="AC230" i="25" s="1"/>
  <c r="AC231" i="25" s="1"/>
  <c r="AC232" i="25" s="1"/>
  <c r="AC233" i="25" s="1"/>
  <c r="AC234" i="25" s="1"/>
  <c r="AC235" i="25" s="1"/>
  <c r="AC236" i="25" s="1"/>
  <c r="AC237" i="25" s="1"/>
  <c r="AC238" i="25" s="1"/>
  <c r="AC239" i="25" s="1"/>
  <c r="AC240" i="25" s="1"/>
  <c r="AC241" i="25" s="1"/>
  <c r="AC242" i="25" s="1"/>
  <c r="AG229" i="25"/>
  <c r="AG228" i="25" s="1"/>
  <c r="AH229" i="25"/>
  <c r="H230" i="25"/>
  <c r="J230" i="25"/>
  <c r="U230" i="25"/>
  <c r="X230" i="25"/>
  <c r="AE230" i="25" s="1"/>
  <c r="Y230" i="25"/>
  <c r="AF230" i="25" s="1"/>
  <c r="Z230" i="25"/>
  <c r="AG230" i="25"/>
  <c r="AH230" i="25"/>
  <c r="H231" i="25"/>
  <c r="J231" i="25"/>
  <c r="U231" i="25"/>
  <c r="X231" i="25"/>
  <c r="AE231" i="25" s="1"/>
  <c r="Y231" i="25"/>
  <c r="AF231" i="25" s="1"/>
  <c r="Z231" i="25"/>
  <c r="AG231" i="25"/>
  <c r="AH231" i="25"/>
  <c r="H232" i="25"/>
  <c r="J232" i="25"/>
  <c r="U232" i="25"/>
  <c r="X232" i="25"/>
  <c r="AE232" i="25" s="1"/>
  <c r="Y232" i="25"/>
  <c r="AA232" i="25" s="1"/>
  <c r="Z232" i="25"/>
  <c r="AG232" i="25"/>
  <c r="AH232" i="25"/>
  <c r="H233" i="25"/>
  <c r="J233" i="25"/>
  <c r="U233" i="25"/>
  <c r="X233" i="25"/>
  <c r="AE233" i="25" s="1"/>
  <c r="Y233" i="25"/>
  <c r="AA233" i="25" s="1"/>
  <c r="Z233" i="25"/>
  <c r="AG233" i="25"/>
  <c r="AH233" i="25"/>
  <c r="H234" i="25"/>
  <c r="J234" i="25"/>
  <c r="U234" i="25"/>
  <c r="X234" i="25"/>
  <c r="AE234" i="25" s="1"/>
  <c r="Y234" i="25"/>
  <c r="AA234" i="25" s="1"/>
  <c r="Z234" i="25"/>
  <c r="AG234" i="25"/>
  <c r="AH234" i="25"/>
  <c r="H235" i="25"/>
  <c r="J235" i="25"/>
  <c r="U235" i="25"/>
  <c r="X235" i="25"/>
  <c r="AE235" i="25" s="1"/>
  <c r="Y235" i="25"/>
  <c r="AA235" i="25" s="1"/>
  <c r="Z235" i="25"/>
  <c r="AG235" i="25"/>
  <c r="AH235" i="25"/>
  <c r="H236" i="25"/>
  <c r="J236" i="25"/>
  <c r="U236" i="25"/>
  <c r="X236" i="25"/>
  <c r="AE236" i="25" s="1"/>
  <c r="Y236" i="25"/>
  <c r="AF236" i="25" s="1"/>
  <c r="Z236" i="25"/>
  <c r="AG236" i="25"/>
  <c r="AH236" i="25"/>
  <c r="H237" i="25"/>
  <c r="J237" i="25"/>
  <c r="U237" i="25"/>
  <c r="X237" i="25"/>
  <c r="AE237" i="25" s="1"/>
  <c r="Y237" i="25"/>
  <c r="AA237" i="25" s="1"/>
  <c r="Z237" i="25"/>
  <c r="AG237" i="25"/>
  <c r="AH237" i="25"/>
  <c r="H238" i="25"/>
  <c r="J238" i="25"/>
  <c r="U238" i="25"/>
  <c r="X238" i="25"/>
  <c r="AE238" i="25" s="1"/>
  <c r="Y238" i="25"/>
  <c r="AF238" i="25" s="1"/>
  <c r="Z238" i="25"/>
  <c r="AG238" i="25"/>
  <c r="AH238" i="25"/>
  <c r="H239" i="25"/>
  <c r="J239" i="25"/>
  <c r="U239" i="25"/>
  <c r="X239" i="25"/>
  <c r="AE239" i="25" s="1"/>
  <c r="Y239" i="25"/>
  <c r="AA239" i="25" s="1"/>
  <c r="Z239" i="25"/>
  <c r="AG239" i="25"/>
  <c r="AH239" i="25"/>
  <c r="H240" i="25"/>
  <c r="J240" i="25"/>
  <c r="U240" i="25"/>
  <c r="X240" i="25"/>
  <c r="AE240" i="25" s="1"/>
  <c r="Y240" i="25"/>
  <c r="AF240" i="25" s="1"/>
  <c r="Z240" i="25"/>
  <c r="AG240" i="25"/>
  <c r="AH240" i="25"/>
  <c r="H241" i="25"/>
  <c r="J241" i="25"/>
  <c r="U241" i="25"/>
  <c r="X241" i="25"/>
  <c r="AE241" i="25" s="1"/>
  <c r="Y241" i="25"/>
  <c r="AF241" i="25" s="1"/>
  <c r="Z241" i="25"/>
  <c r="AG241" i="25"/>
  <c r="AH241" i="25"/>
  <c r="H242" i="25"/>
  <c r="J242" i="25"/>
  <c r="U242" i="25"/>
  <c r="X242" i="25"/>
  <c r="AE242" i="25" s="1"/>
  <c r="Y242" i="25"/>
  <c r="AF242" i="25" s="1"/>
  <c r="Z242" i="25"/>
  <c r="AG242" i="25"/>
  <c r="AH242" i="25"/>
  <c r="H243" i="25"/>
  <c r="J243" i="25"/>
  <c r="U243" i="25"/>
  <c r="X243" i="25"/>
  <c r="AE243" i="25" s="1"/>
  <c r="Y243" i="25"/>
  <c r="AF243" i="25" s="1"/>
  <c r="Z243" i="25"/>
  <c r="AG243" i="25"/>
  <c r="AH243" i="25"/>
  <c r="H244" i="25"/>
  <c r="J244" i="25"/>
  <c r="U244" i="25"/>
  <c r="X244" i="25"/>
  <c r="AE244" i="25" s="1"/>
  <c r="Y244" i="25"/>
  <c r="AF244" i="25" s="1"/>
  <c r="Z244" i="25"/>
  <c r="AG244" i="25"/>
  <c r="AH244" i="25"/>
  <c r="H245" i="25"/>
  <c r="J245" i="25"/>
  <c r="U245" i="25"/>
  <c r="X245" i="25"/>
  <c r="AE245" i="25" s="1"/>
  <c r="Y245" i="25"/>
  <c r="AF245" i="25" s="1"/>
  <c r="Z245" i="25"/>
  <c r="AG245" i="25"/>
  <c r="AH245" i="25"/>
  <c r="H246" i="25"/>
  <c r="J246" i="25"/>
  <c r="U246" i="25"/>
  <c r="X246" i="25"/>
  <c r="AE246" i="25" s="1"/>
  <c r="Y246" i="25"/>
  <c r="AA246" i="25" s="1"/>
  <c r="Z246" i="25"/>
  <c r="AG246" i="25"/>
  <c r="AH246" i="25"/>
  <c r="H247" i="25"/>
  <c r="J247" i="25"/>
  <c r="U247" i="25"/>
  <c r="X247" i="25"/>
  <c r="AE247" i="25" s="1"/>
  <c r="Y247" i="25"/>
  <c r="AF247" i="25" s="1"/>
  <c r="Z247" i="25"/>
  <c r="AG247" i="25"/>
  <c r="AH247" i="25"/>
  <c r="H248" i="25"/>
  <c r="J248" i="25"/>
  <c r="U248" i="25"/>
  <c r="X248" i="25"/>
  <c r="AE248" i="25" s="1"/>
  <c r="Y248" i="25"/>
  <c r="AA248" i="25" s="1"/>
  <c r="Z248" i="25"/>
  <c r="AG248" i="25"/>
  <c r="AH248" i="25"/>
  <c r="H249" i="25"/>
  <c r="J249" i="25"/>
  <c r="U249" i="25"/>
  <c r="AC249" i="25"/>
  <c r="AG249" i="25"/>
  <c r="AH249" i="25"/>
  <c r="H250" i="25"/>
  <c r="J250" i="25"/>
  <c r="U250" i="25"/>
  <c r="AC250" i="25"/>
  <c r="AG250" i="25"/>
  <c r="AH250" i="25"/>
  <c r="H251" i="25"/>
  <c r="J251" i="25"/>
  <c r="U251" i="25"/>
  <c r="AC251" i="25"/>
  <c r="AG251" i="25"/>
  <c r="AH251" i="25"/>
  <c r="H252" i="25"/>
  <c r="J252" i="25"/>
  <c r="U252" i="25"/>
  <c r="AG252" i="25"/>
  <c r="AH252" i="25"/>
  <c r="X253" i="25"/>
  <c r="Y253" i="25"/>
  <c r="Z253" i="25"/>
  <c r="H259" i="25"/>
  <c r="J259" i="25"/>
  <c r="J260" i="25"/>
  <c r="U260" i="25"/>
  <c r="H260" i="25" s="1"/>
  <c r="X260" i="25"/>
  <c r="AE260" i="25" s="1"/>
  <c r="Y260" i="25"/>
  <c r="AA260" i="25" s="1"/>
  <c r="Z260" i="25"/>
  <c r="AC260" i="25"/>
  <c r="AC261" i="25" s="1"/>
  <c r="AC262" i="25" s="1"/>
  <c r="AC263" i="25" s="1"/>
  <c r="AC264" i="25" s="1"/>
  <c r="AC265" i="25" s="1"/>
  <c r="AC266" i="25" s="1"/>
  <c r="AC267" i="25" s="1"/>
  <c r="AC268" i="25" s="1"/>
  <c r="AC269" i="25" s="1"/>
  <c r="AC270" i="25" s="1"/>
  <c r="AC271" i="25" s="1"/>
  <c r="AC272" i="25" s="1"/>
  <c r="AC273" i="25" s="1"/>
  <c r="AC274" i="25" s="1"/>
  <c r="AC275" i="25" s="1"/>
  <c r="AC276" i="25" s="1"/>
  <c r="AC277" i="25" s="1"/>
  <c r="AC278" i="25" s="1"/>
  <c r="AC279" i="25" s="1"/>
  <c r="AG260" i="25"/>
  <c r="AG259" i="25" s="1"/>
  <c r="AH260" i="25"/>
  <c r="J261" i="25"/>
  <c r="U261" i="25"/>
  <c r="H261" i="25" s="1"/>
  <c r="X261" i="25"/>
  <c r="Y261" i="25"/>
  <c r="Z261" i="25"/>
  <c r="AG261" i="25"/>
  <c r="AH261" i="25"/>
  <c r="J262" i="25"/>
  <c r="U262" i="25"/>
  <c r="H262" i="25" s="1"/>
  <c r="X262" i="25"/>
  <c r="AE262" i="25" s="1"/>
  <c r="Y262" i="25"/>
  <c r="AA262" i="25" s="1"/>
  <c r="Z262" i="25"/>
  <c r="AG262" i="25"/>
  <c r="AH262" i="25"/>
  <c r="J263" i="25"/>
  <c r="U263" i="25"/>
  <c r="H263" i="25" s="1"/>
  <c r="X263" i="25"/>
  <c r="AE263" i="25" s="1"/>
  <c r="Y263" i="25"/>
  <c r="AF263" i="25" s="1"/>
  <c r="Z263" i="25"/>
  <c r="AG263" i="25"/>
  <c r="AH263" i="25"/>
  <c r="J264" i="25"/>
  <c r="U264" i="25"/>
  <c r="H264" i="25" s="1"/>
  <c r="X264" i="25"/>
  <c r="AE264" i="25" s="1"/>
  <c r="Y264" i="25"/>
  <c r="AA264" i="25" s="1"/>
  <c r="Z264" i="25"/>
  <c r="AG264" i="25"/>
  <c r="AH264" i="25"/>
  <c r="J265" i="25"/>
  <c r="U265" i="25"/>
  <c r="H265" i="25" s="1"/>
  <c r="X265" i="25"/>
  <c r="AE265" i="25" s="1"/>
  <c r="Y265" i="25"/>
  <c r="AF265" i="25" s="1"/>
  <c r="Z265" i="25"/>
  <c r="AG265" i="25"/>
  <c r="AH265" i="25"/>
  <c r="J266" i="25"/>
  <c r="U266" i="25"/>
  <c r="H266" i="25" s="1"/>
  <c r="X266" i="25"/>
  <c r="AE266" i="25" s="1"/>
  <c r="Y266" i="25"/>
  <c r="AA266" i="25" s="1"/>
  <c r="Z266" i="25"/>
  <c r="AG266" i="25"/>
  <c r="AH266" i="25"/>
  <c r="J267" i="25"/>
  <c r="U267" i="25"/>
  <c r="H267" i="25" s="1"/>
  <c r="X267" i="25"/>
  <c r="AE267" i="25" s="1"/>
  <c r="Y267" i="25"/>
  <c r="AF267" i="25" s="1"/>
  <c r="Z267" i="25"/>
  <c r="AG267" i="25"/>
  <c r="AH267" i="25"/>
  <c r="J268" i="25"/>
  <c r="U268" i="25"/>
  <c r="H268" i="25" s="1"/>
  <c r="X268" i="25"/>
  <c r="AE268" i="25" s="1"/>
  <c r="Y268" i="25"/>
  <c r="AF268" i="25" s="1"/>
  <c r="Z268" i="25"/>
  <c r="AG268" i="25"/>
  <c r="AH268" i="25"/>
  <c r="J269" i="25"/>
  <c r="U269" i="25"/>
  <c r="H269" i="25" s="1"/>
  <c r="X269" i="25"/>
  <c r="AE269" i="25" s="1"/>
  <c r="Y269" i="25"/>
  <c r="AA269" i="25" s="1"/>
  <c r="Z269" i="25"/>
  <c r="AG269" i="25"/>
  <c r="AH269" i="25"/>
  <c r="J270" i="25"/>
  <c r="U270" i="25"/>
  <c r="H270" i="25" s="1"/>
  <c r="X270" i="25"/>
  <c r="AE270" i="25" s="1"/>
  <c r="Y270" i="25"/>
  <c r="AA270" i="25" s="1"/>
  <c r="Z270" i="25"/>
  <c r="AG270" i="25"/>
  <c r="AH270" i="25"/>
  <c r="J271" i="25"/>
  <c r="U271" i="25"/>
  <c r="H271" i="25" s="1"/>
  <c r="X271" i="25"/>
  <c r="AE271" i="25" s="1"/>
  <c r="Y271" i="25"/>
  <c r="AF271" i="25" s="1"/>
  <c r="Z271" i="25"/>
  <c r="AG271" i="25"/>
  <c r="AH271" i="25"/>
  <c r="J272" i="25"/>
  <c r="U272" i="25"/>
  <c r="H272" i="25" s="1"/>
  <c r="X272" i="25"/>
  <c r="AE272" i="25" s="1"/>
  <c r="Y272" i="25"/>
  <c r="AA272" i="25" s="1"/>
  <c r="Z272" i="25"/>
  <c r="AG272" i="25"/>
  <c r="AH272" i="25"/>
  <c r="J273" i="25"/>
  <c r="U273" i="25"/>
  <c r="H273" i="25" s="1"/>
  <c r="X273" i="25"/>
  <c r="AE273" i="25" s="1"/>
  <c r="Y273" i="25"/>
  <c r="AF273" i="25" s="1"/>
  <c r="Z273" i="25"/>
  <c r="AG273" i="25"/>
  <c r="AH273" i="25"/>
  <c r="J274" i="25"/>
  <c r="U274" i="25"/>
  <c r="H274" i="25" s="1"/>
  <c r="X274" i="25"/>
  <c r="AE274" i="25" s="1"/>
  <c r="Y274" i="25"/>
  <c r="AA274" i="25" s="1"/>
  <c r="Z274" i="25"/>
  <c r="AG274" i="25"/>
  <c r="AH274" i="25"/>
  <c r="J275" i="25"/>
  <c r="U275" i="25"/>
  <c r="H275" i="25" s="1"/>
  <c r="X275" i="25"/>
  <c r="AE275" i="25" s="1"/>
  <c r="Y275" i="25"/>
  <c r="AA275" i="25" s="1"/>
  <c r="Z275" i="25"/>
  <c r="AG275" i="25"/>
  <c r="AH275" i="25"/>
  <c r="J276" i="25"/>
  <c r="U276" i="25"/>
  <c r="H276" i="25" s="1"/>
  <c r="X276" i="25"/>
  <c r="AE276" i="25" s="1"/>
  <c r="Y276" i="25"/>
  <c r="AA276" i="25" s="1"/>
  <c r="Z276" i="25"/>
  <c r="AG276" i="25"/>
  <c r="AH276" i="25"/>
  <c r="J277" i="25"/>
  <c r="U277" i="25"/>
  <c r="H277" i="25" s="1"/>
  <c r="X277" i="25"/>
  <c r="AE277" i="25" s="1"/>
  <c r="Y277" i="25"/>
  <c r="AF277" i="25" s="1"/>
  <c r="Z277" i="25"/>
  <c r="AG277" i="25"/>
  <c r="AH277" i="25"/>
  <c r="J278" i="25"/>
  <c r="U278" i="25"/>
  <c r="H278" i="25" s="1"/>
  <c r="X278" i="25"/>
  <c r="AE278" i="25" s="1"/>
  <c r="Y278" i="25"/>
  <c r="AA278" i="25" s="1"/>
  <c r="Z278" i="25"/>
  <c r="AG278" i="25"/>
  <c r="AH278" i="25"/>
  <c r="J279" i="25"/>
  <c r="U279" i="25"/>
  <c r="H279" i="25" s="1"/>
  <c r="X279" i="25"/>
  <c r="AE279" i="25" s="1"/>
  <c r="Y279" i="25"/>
  <c r="AF279" i="25" s="1"/>
  <c r="Z279" i="25"/>
  <c r="AG279" i="25"/>
  <c r="AH279" i="25"/>
  <c r="J280" i="25"/>
  <c r="U280" i="25"/>
  <c r="H280" i="25" s="1"/>
  <c r="AC280" i="25"/>
  <c r="AG280" i="25"/>
  <c r="AH280" i="25"/>
  <c r="J281" i="25"/>
  <c r="U281" i="25"/>
  <c r="H281" i="25" s="1"/>
  <c r="AC281" i="25"/>
  <c r="AG281" i="25"/>
  <c r="AH281" i="25"/>
  <c r="J282" i="25"/>
  <c r="U282" i="25"/>
  <c r="H282" i="25" s="1"/>
  <c r="AC282" i="25"/>
  <c r="AG282" i="25"/>
  <c r="AH282" i="25"/>
  <c r="J283" i="25"/>
  <c r="U283" i="25"/>
  <c r="H283" i="25" s="1"/>
  <c r="AG283" i="25"/>
  <c r="AH283" i="25"/>
  <c r="X284" i="25"/>
  <c r="Y284" i="25"/>
  <c r="Z284" i="25"/>
  <c r="H290" i="25"/>
  <c r="J290" i="25"/>
  <c r="H291" i="25"/>
  <c r="J291" i="25"/>
  <c r="U291" i="25"/>
  <c r="X291" i="25"/>
  <c r="AE291" i="25" s="1"/>
  <c r="Y291" i="25"/>
  <c r="AA291" i="25" s="1"/>
  <c r="Z291" i="25"/>
  <c r="AC291" i="25"/>
  <c r="AC292" i="25" s="1"/>
  <c r="AG291" i="25"/>
  <c r="AG290" i="25" s="1"/>
  <c r="AH291" i="25"/>
  <c r="H292" i="25"/>
  <c r="J292" i="25"/>
  <c r="U292" i="25"/>
  <c r="X292" i="25"/>
  <c r="Y292" i="25"/>
  <c r="AA292" i="25" s="1"/>
  <c r="Z292" i="25"/>
  <c r="AG292" i="25"/>
  <c r="AH292" i="25"/>
  <c r="H293" i="25"/>
  <c r="J293" i="25"/>
  <c r="U293" i="25"/>
  <c r="X293" i="25"/>
  <c r="AE293" i="25" s="1"/>
  <c r="Y293" i="25"/>
  <c r="AF293" i="25" s="1"/>
  <c r="Z293" i="25"/>
  <c r="AG293" i="25"/>
  <c r="AH293" i="25"/>
  <c r="H294" i="25"/>
  <c r="J294" i="25"/>
  <c r="U294" i="25"/>
  <c r="X294" i="25"/>
  <c r="AE294" i="25" s="1"/>
  <c r="Y294" i="25"/>
  <c r="AA294" i="25" s="1"/>
  <c r="Z294" i="25"/>
  <c r="AG294" i="25"/>
  <c r="AH294" i="25"/>
  <c r="H295" i="25"/>
  <c r="J295" i="25"/>
  <c r="U295" i="25"/>
  <c r="X295" i="25"/>
  <c r="AE295" i="25" s="1"/>
  <c r="Y295" i="25"/>
  <c r="AF295" i="25" s="1"/>
  <c r="Z295" i="25"/>
  <c r="AG295" i="25"/>
  <c r="AH295" i="25"/>
  <c r="H296" i="25"/>
  <c r="J296" i="25"/>
  <c r="U296" i="25"/>
  <c r="X296" i="25"/>
  <c r="AE296" i="25" s="1"/>
  <c r="Y296" i="25"/>
  <c r="AA296" i="25" s="1"/>
  <c r="Z296" i="25"/>
  <c r="AG296" i="25"/>
  <c r="AH296" i="25"/>
  <c r="H297" i="25"/>
  <c r="J297" i="25"/>
  <c r="U297" i="25"/>
  <c r="X297" i="25"/>
  <c r="AE297" i="25" s="1"/>
  <c r="Y297" i="25"/>
  <c r="AF297" i="25" s="1"/>
  <c r="Z297" i="25"/>
  <c r="AG297" i="25"/>
  <c r="AH297" i="25"/>
  <c r="H298" i="25"/>
  <c r="J298" i="25"/>
  <c r="U298" i="25"/>
  <c r="X298" i="25"/>
  <c r="AE298" i="25" s="1"/>
  <c r="Y298" i="25"/>
  <c r="AF298" i="25" s="1"/>
  <c r="Z298" i="25"/>
  <c r="AG298" i="25"/>
  <c r="AH298" i="25"/>
  <c r="H299" i="25"/>
  <c r="J299" i="25"/>
  <c r="U299" i="25"/>
  <c r="X299" i="25"/>
  <c r="AE299" i="25" s="1"/>
  <c r="Y299" i="25"/>
  <c r="AF299" i="25" s="1"/>
  <c r="Z299" i="25"/>
  <c r="AG299" i="25"/>
  <c r="AH299" i="25"/>
  <c r="H300" i="25"/>
  <c r="J300" i="25"/>
  <c r="U300" i="25"/>
  <c r="X300" i="25"/>
  <c r="AE300" i="25" s="1"/>
  <c r="Y300" i="25"/>
  <c r="AA300" i="25" s="1"/>
  <c r="Z300" i="25"/>
  <c r="AG300" i="25"/>
  <c r="AH300" i="25"/>
  <c r="H301" i="25"/>
  <c r="J301" i="25"/>
  <c r="U301" i="25"/>
  <c r="X301" i="25"/>
  <c r="AE301" i="25" s="1"/>
  <c r="Y301" i="25"/>
  <c r="AF301" i="25" s="1"/>
  <c r="Z301" i="25"/>
  <c r="AG301" i="25"/>
  <c r="AH301" i="25"/>
  <c r="H302" i="25"/>
  <c r="J302" i="25"/>
  <c r="U302" i="25"/>
  <c r="X302" i="25"/>
  <c r="AE302" i="25" s="1"/>
  <c r="Y302" i="25"/>
  <c r="AA302" i="25" s="1"/>
  <c r="Z302" i="25"/>
  <c r="AG302" i="25"/>
  <c r="AH302" i="25"/>
  <c r="H303" i="25"/>
  <c r="J303" i="25"/>
  <c r="U303" i="25"/>
  <c r="X303" i="25"/>
  <c r="AE303" i="25" s="1"/>
  <c r="Y303" i="25"/>
  <c r="AF303" i="25" s="1"/>
  <c r="Z303" i="25"/>
  <c r="AG303" i="25"/>
  <c r="AH303" i="25"/>
  <c r="H304" i="25"/>
  <c r="J304" i="25"/>
  <c r="U304" i="25"/>
  <c r="X304" i="25"/>
  <c r="AE304" i="25" s="1"/>
  <c r="Y304" i="25"/>
  <c r="AF304" i="25" s="1"/>
  <c r="Z304" i="25"/>
  <c r="AG304" i="25"/>
  <c r="AH304" i="25"/>
  <c r="H305" i="25"/>
  <c r="J305" i="25"/>
  <c r="U305" i="25"/>
  <c r="X305" i="25"/>
  <c r="AE305" i="25" s="1"/>
  <c r="Y305" i="25"/>
  <c r="AF305" i="25" s="1"/>
  <c r="Z305" i="25"/>
  <c r="AG305" i="25"/>
  <c r="AH305" i="25"/>
  <c r="H306" i="25"/>
  <c r="J306" i="25"/>
  <c r="U306" i="25"/>
  <c r="X306" i="25"/>
  <c r="Y306" i="25"/>
  <c r="AA306" i="25" s="1"/>
  <c r="Z306" i="25"/>
  <c r="AG306" i="25"/>
  <c r="AH306" i="25"/>
  <c r="H307" i="25"/>
  <c r="J307" i="25"/>
  <c r="U307" i="25"/>
  <c r="X307" i="25"/>
  <c r="AE307" i="25" s="1"/>
  <c r="Y307" i="25"/>
  <c r="AA307" i="25" s="1"/>
  <c r="Z307" i="25"/>
  <c r="AG307" i="25"/>
  <c r="AH307" i="25"/>
  <c r="H308" i="25"/>
  <c r="J308" i="25"/>
  <c r="U308" i="25"/>
  <c r="X308" i="25"/>
  <c r="AE308" i="25" s="1"/>
  <c r="Y308" i="25"/>
  <c r="AF308" i="25" s="1"/>
  <c r="Z308" i="25"/>
  <c r="AG308" i="25"/>
  <c r="AH308" i="25"/>
  <c r="H309" i="25"/>
  <c r="J309" i="25"/>
  <c r="U309" i="25"/>
  <c r="X309" i="25"/>
  <c r="AE309" i="25" s="1"/>
  <c r="Y309" i="25"/>
  <c r="AF309" i="25" s="1"/>
  <c r="Z309" i="25"/>
  <c r="AG309" i="25"/>
  <c r="AH309" i="25"/>
  <c r="H310" i="25"/>
  <c r="J310" i="25"/>
  <c r="U310" i="25"/>
  <c r="X310" i="25"/>
  <c r="AE310" i="25" s="1"/>
  <c r="Y310" i="25"/>
  <c r="AA310" i="25" s="1"/>
  <c r="Z310" i="25"/>
  <c r="AG310" i="25"/>
  <c r="AH310" i="25"/>
  <c r="H311" i="25"/>
  <c r="J311" i="25"/>
  <c r="U311" i="25"/>
  <c r="AC311" i="25"/>
  <c r="AG311" i="25"/>
  <c r="AH311" i="25"/>
  <c r="H312" i="25"/>
  <c r="J312" i="25"/>
  <c r="U312" i="25"/>
  <c r="AC312" i="25"/>
  <c r="AG312" i="25"/>
  <c r="AH312" i="25"/>
  <c r="H313" i="25"/>
  <c r="J313" i="25"/>
  <c r="U313" i="25"/>
  <c r="AC313" i="25"/>
  <c r="AG313" i="25"/>
  <c r="AH313" i="25"/>
  <c r="H314" i="25"/>
  <c r="J314" i="25"/>
  <c r="U314" i="25"/>
  <c r="AG314" i="25"/>
  <c r="AH314" i="25"/>
  <c r="X315" i="25"/>
  <c r="Y315" i="25"/>
  <c r="Z315" i="25"/>
  <c r="A1" i="24"/>
  <c r="B15" i="24"/>
  <c r="D15" i="24"/>
  <c r="B16" i="24"/>
  <c r="A35" i="24"/>
  <c r="A37" i="24"/>
  <c r="A40" i="24"/>
  <c r="A41" i="24"/>
  <c r="A42" i="24"/>
  <c r="B29" i="24"/>
  <c r="C32" i="24"/>
  <c r="C33" i="24"/>
  <c r="A34" i="24"/>
  <c r="C34" i="24"/>
  <c r="B34" i="24"/>
  <c r="C35" i="24"/>
  <c r="A36" i="24"/>
  <c r="C36" i="24"/>
  <c r="C37" i="24"/>
  <c r="C38" i="24"/>
  <c r="A39" i="24"/>
  <c r="B39" i="24"/>
  <c r="C39" i="24"/>
  <c r="C40" i="24"/>
  <c r="C41" i="24"/>
  <c r="A43" i="24"/>
  <c r="A81" i="7" l="1"/>
  <c r="A138" i="6"/>
  <c r="AB278" i="25"/>
  <c r="AD278" i="25" s="1"/>
  <c r="G278" i="25" s="1"/>
  <c r="K278" i="25" s="1"/>
  <c r="AA297" i="25"/>
  <c r="AB297" i="25" s="1"/>
  <c r="AB17" i="25"/>
  <c r="AB300" i="25"/>
  <c r="AA268" i="25"/>
  <c r="AB268" i="25" s="1"/>
  <c r="AD268" i="25" s="1"/>
  <c r="G268" i="25" s="1"/>
  <c r="K268" i="25" s="1"/>
  <c r="AF169" i="25"/>
  <c r="AF234" i="25"/>
  <c r="AB74" i="25"/>
  <c r="AD74" i="25" s="1"/>
  <c r="G74" i="25" s="1"/>
  <c r="AA175" i="25"/>
  <c r="AB175" i="25" s="1"/>
  <c r="AD175" i="25" s="1"/>
  <c r="G175" i="25" s="1"/>
  <c r="AB145" i="25"/>
  <c r="AD145" i="25" s="1"/>
  <c r="G145" i="25" s="1"/>
  <c r="F145" i="25" s="1"/>
  <c r="AA151" i="25"/>
  <c r="AA236" i="25"/>
  <c r="AB236" i="25" s="1"/>
  <c r="AD236" i="25" s="1"/>
  <c r="G236" i="25" s="1"/>
  <c r="AB239" i="25"/>
  <c r="AD239" i="25" s="1"/>
  <c r="G239" i="25" s="1"/>
  <c r="K239" i="25" s="1"/>
  <c r="I239" i="25" s="1"/>
  <c r="AB151" i="25"/>
  <c r="AD151" i="25" s="1"/>
  <c r="G151" i="25" s="1"/>
  <c r="AA178" i="25"/>
  <c r="AB178" i="25" s="1"/>
  <c r="AD178" i="25" s="1"/>
  <c r="G178" i="25" s="1"/>
  <c r="AF262" i="25"/>
  <c r="AA238" i="25"/>
  <c r="AB238" i="25" s="1"/>
  <c r="AD238" i="25" s="1"/>
  <c r="G238" i="25" s="1"/>
  <c r="AA304" i="25"/>
  <c r="AB304" i="25" s="1"/>
  <c r="AF306" i="25"/>
  <c r="AF155" i="25"/>
  <c r="AB174" i="25"/>
  <c r="AD174" i="25" s="1"/>
  <c r="G174" i="25" s="1"/>
  <c r="AB296" i="25"/>
  <c r="AB276" i="25"/>
  <c r="AD276" i="25" s="1"/>
  <c r="G276" i="25" s="1"/>
  <c r="AB93" i="25"/>
  <c r="AB213" i="25"/>
  <c r="AB307" i="25"/>
  <c r="AF294" i="25"/>
  <c r="AA148" i="25"/>
  <c r="AB148" i="25" s="1"/>
  <c r="AD148" i="25" s="1"/>
  <c r="G148" i="25" s="1"/>
  <c r="AA124" i="25"/>
  <c r="AB124" i="25" s="1"/>
  <c r="AB121" i="25"/>
  <c r="AD121" i="25" s="1"/>
  <c r="G121" i="25" s="1"/>
  <c r="K121" i="25" s="1"/>
  <c r="AB26" i="25"/>
  <c r="AB183" i="25"/>
  <c r="AB89" i="25"/>
  <c r="AD89" i="25" s="1"/>
  <c r="G89" i="25" s="1"/>
  <c r="AA265" i="25"/>
  <c r="AB265" i="25" s="1"/>
  <c r="AD265" i="25" s="1"/>
  <c r="G265" i="25" s="1"/>
  <c r="AA186" i="25"/>
  <c r="AB186" i="25" s="1"/>
  <c r="AF122" i="25"/>
  <c r="AF107" i="25"/>
  <c r="AF27" i="25"/>
  <c r="AB235" i="25"/>
  <c r="AD235" i="25" s="1"/>
  <c r="G235" i="25" s="1"/>
  <c r="AB176" i="25"/>
  <c r="AD176" i="25" s="1"/>
  <c r="G176" i="25" s="1"/>
  <c r="AA149" i="25"/>
  <c r="AB149" i="25" s="1"/>
  <c r="AD149" i="25" s="1"/>
  <c r="G149" i="25" s="1"/>
  <c r="K149" i="25" s="1"/>
  <c r="AB87" i="25"/>
  <c r="AD87" i="25" s="1"/>
  <c r="G87" i="25" s="1"/>
  <c r="AF272" i="25"/>
  <c r="AB108" i="25"/>
  <c r="AD108" i="25" s="1"/>
  <c r="G108" i="25" s="1"/>
  <c r="AF18" i="25"/>
  <c r="AF270" i="25"/>
  <c r="AF114" i="25"/>
  <c r="AB23" i="25"/>
  <c r="AA167" i="25"/>
  <c r="AB167" i="25" s="1"/>
  <c r="AD167" i="25" s="1"/>
  <c r="G167" i="25" s="1"/>
  <c r="AB75" i="25"/>
  <c r="AD75" i="25" s="1"/>
  <c r="G75" i="25" s="1"/>
  <c r="K75" i="25" s="1"/>
  <c r="L75" i="25" s="1"/>
  <c r="AF205" i="25"/>
  <c r="AF153" i="25"/>
  <c r="AF147" i="25"/>
  <c r="AB115" i="25"/>
  <c r="AD115" i="25" s="1"/>
  <c r="G115" i="25" s="1"/>
  <c r="AB107" i="25"/>
  <c r="AD107" i="25" s="1"/>
  <c r="G107" i="25" s="1"/>
  <c r="AF79" i="25"/>
  <c r="AA240" i="25"/>
  <c r="AB240" i="25" s="1"/>
  <c r="AD240" i="25" s="1"/>
  <c r="G240" i="25" s="1"/>
  <c r="K240" i="25" s="1"/>
  <c r="I240" i="25" s="1"/>
  <c r="AA211" i="25"/>
  <c r="AB211" i="25" s="1"/>
  <c r="AA182" i="25"/>
  <c r="AB182" i="25" s="1"/>
  <c r="AA171" i="25"/>
  <c r="AB171" i="25" s="1"/>
  <c r="AD171" i="25" s="1"/>
  <c r="G171" i="25" s="1"/>
  <c r="AA138" i="25"/>
  <c r="AB138" i="25" s="1"/>
  <c r="AD138" i="25" s="1"/>
  <c r="G138" i="25" s="1"/>
  <c r="F138" i="25" s="1"/>
  <c r="AF117" i="25"/>
  <c r="AA15" i="25"/>
  <c r="AB15" i="25" s="1"/>
  <c r="AD15" i="25" s="1"/>
  <c r="G15" i="25" s="1"/>
  <c r="K15" i="25" s="1"/>
  <c r="I15" i="25" s="1"/>
  <c r="AB217" i="25"/>
  <c r="AB202" i="25"/>
  <c r="AD202" i="25" s="1"/>
  <c r="G202" i="25" s="1"/>
  <c r="AB111" i="25"/>
  <c r="AD111" i="25" s="1"/>
  <c r="G111" i="25" s="1"/>
  <c r="K111" i="25" s="1"/>
  <c r="L111" i="25" s="1"/>
  <c r="AB85" i="25"/>
  <c r="AD85" i="25" s="1"/>
  <c r="G85" i="25" s="1"/>
  <c r="X66" i="25"/>
  <c r="AE66" i="25" s="1"/>
  <c r="AB27" i="25"/>
  <c r="AB18" i="25"/>
  <c r="AF266" i="25"/>
  <c r="AA263" i="25"/>
  <c r="AB263" i="25" s="1"/>
  <c r="AD263" i="25" s="1"/>
  <c r="G263" i="25" s="1"/>
  <c r="AF248" i="25"/>
  <c r="AF209" i="25"/>
  <c r="AA203" i="25"/>
  <c r="AB203" i="25" s="1"/>
  <c r="AD203" i="25" s="1"/>
  <c r="G203" i="25" s="1"/>
  <c r="AA200" i="25"/>
  <c r="AB200" i="25" s="1"/>
  <c r="AD200" i="25" s="1"/>
  <c r="G200" i="25" s="1"/>
  <c r="K200" i="25" s="1"/>
  <c r="AA80" i="25"/>
  <c r="AB80" i="25" s="1"/>
  <c r="AD80" i="25" s="1"/>
  <c r="G80" i="25" s="1"/>
  <c r="K80" i="25" s="1"/>
  <c r="AB79" i="25"/>
  <c r="AD79" i="25" s="1"/>
  <c r="G79" i="25" s="1"/>
  <c r="AA31" i="25"/>
  <c r="AB31" i="25" s="1"/>
  <c r="AB294" i="25"/>
  <c r="AB260" i="25"/>
  <c r="AD260" i="25" s="1"/>
  <c r="G260" i="25" s="1"/>
  <c r="AF183" i="25"/>
  <c r="AA118" i="25"/>
  <c r="AB118" i="25" s="1"/>
  <c r="AD118" i="25" s="1"/>
  <c r="G118" i="25" s="1"/>
  <c r="AB19" i="25"/>
  <c r="AB233" i="25"/>
  <c r="AD233" i="25" s="1"/>
  <c r="G233" i="25" s="1"/>
  <c r="AB215" i="25"/>
  <c r="B94" i="25"/>
  <c r="B125" i="25" s="1"/>
  <c r="F127" i="25" s="1"/>
  <c r="AF74" i="25"/>
  <c r="AF145" i="25"/>
  <c r="AF292" i="25"/>
  <c r="AB291" i="25"/>
  <c r="AD291" i="25" s="1"/>
  <c r="G291" i="25" s="1"/>
  <c r="AF274" i="25"/>
  <c r="AF264" i="25"/>
  <c r="AA242" i="25"/>
  <c r="AB242" i="25" s="1"/>
  <c r="AD242" i="25" s="1"/>
  <c r="G242" i="25" s="1"/>
  <c r="AF235" i="25"/>
  <c r="AA216" i="25"/>
  <c r="AB216" i="25" s="1"/>
  <c r="AA204" i="25"/>
  <c r="AB204" i="25" s="1"/>
  <c r="AA201" i="25"/>
  <c r="AB201" i="25" s="1"/>
  <c r="AD201" i="25" s="1"/>
  <c r="G201" i="25" s="1"/>
  <c r="K201" i="25" s="1"/>
  <c r="AB92" i="25"/>
  <c r="AD92" i="25" s="1"/>
  <c r="G92" i="25" s="1"/>
  <c r="AF84" i="25"/>
  <c r="AF81" i="25"/>
  <c r="AF17" i="25"/>
  <c r="AA303" i="25"/>
  <c r="AB303" i="25" s="1"/>
  <c r="AF296" i="25"/>
  <c r="AA277" i="25"/>
  <c r="AB277" i="25" s="1"/>
  <c r="AD277" i="25" s="1"/>
  <c r="G277" i="25" s="1"/>
  <c r="AF246" i="25"/>
  <c r="AF213" i="25"/>
  <c r="AF137" i="25"/>
  <c r="AF93" i="25"/>
  <c r="AF87" i="25"/>
  <c r="AF26" i="25"/>
  <c r="AB310" i="25"/>
  <c r="AB306" i="25"/>
  <c r="AB292" i="25"/>
  <c r="AD292" i="25" s="1"/>
  <c r="G292" i="25" s="1"/>
  <c r="AA271" i="25"/>
  <c r="AB271" i="25" s="1"/>
  <c r="AD271" i="25" s="1"/>
  <c r="G271" i="25" s="1"/>
  <c r="AB210" i="25"/>
  <c r="AB181" i="25"/>
  <c r="AD181" i="25" s="1"/>
  <c r="G181" i="25" s="1"/>
  <c r="AA140" i="25"/>
  <c r="AB140" i="25" s="1"/>
  <c r="AD140" i="25" s="1"/>
  <c r="G140" i="25" s="1"/>
  <c r="K140" i="25" s="1"/>
  <c r="I140" i="25" s="1"/>
  <c r="AA90" i="25"/>
  <c r="AB90" i="25" s="1"/>
  <c r="AD90" i="25" s="1"/>
  <c r="G90" i="25" s="1"/>
  <c r="AB81" i="25"/>
  <c r="AD81" i="25" s="1"/>
  <c r="G81" i="25" s="1"/>
  <c r="K81" i="25" s="1"/>
  <c r="I81" i="25" s="1"/>
  <c r="R159" i="25"/>
  <c r="R190" i="25" s="1"/>
  <c r="R221" i="25" s="1"/>
  <c r="R252" i="25" s="1"/>
  <c r="R283" i="25" s="1"/>
  <c r="R314" i="25" s="1"/>
  <c r="S128" i="25"/>
  <c r="AF276" i="25"/>
  <c r="AB246" i="25"/>
  <c r="AA298" i="25"/>
  <c r="AB298" i="25" s="1"/>
  <c r="AA214" i="25"/>
  <c r="AB214" i="25" s="1"/>
  <c r="AF181" i="25"/>
  <c r="AF174" i="25"/>
  <c r="AA170" i="25"/>
  <c r="AB170" i="25" s="1"/>
  <c r="AD170" i="25" s="1"/>
  <c r="G170" i="25" s="1"/>
  <c r="AF142" i="25"/>
  <c r="AA123" i="25"/>
  <c r="AB123" i="25" s="1"/>
  <c r="AD123" i="25" s="1"/>
  <c r="G123" i="25" s="1"/>
  <c r="K123" i="25" s="1"/>
  <c r="I123" i="25" s="1"/>
  <c r="AF108" i="25"/>
  <c r="AA88" i="25"/>
  <c r="AB88" i="25" s="1"/>
  <c r="AD88" i="25" s="1"/>
  <c r="G88" i="25" s="1"/>
  <c r="K88" i="25" s="1"/>
  <c r="Y66" i="25"/>
  <c r="AF66" i="25" s="1"/>
  <c r="AA24" i="25"/>
  <c r="AB24" i="25" s="1"/>
  <c r="AA16" i="25"/>
  <c r="AB16" i="25" s="1"/>
  <c r="AB302" i="25"/>
  <c r="AA293" i="25"/>
  <c r="AB293" i="25" s="1"/>
  <c r="AF269" i="25"/>
  <c r="AA231" i="25"/>
  <c r="AB231" i="25" s="1"/>
  <c r="AD231" i="25" s="1"/>
  <c r="G231" i="25" s="1"/>
  <c r="AF215" i="25"/>
  <c r="AB184" i="25"/>
  <c r="AF150" i="25"/>
  <c r="AB119" i="25"/>
  <c r="AD119" i="25" s="1"/>
  <c r="G119" i="25" s="1"/>
  <c r="F119" i="25" s="1"/>
  <c r="AA112" i="25"/>
  <c r="AB112" i="25" s="1"/>
  <c r="AD112" i="25" s="1"/>
  <c r="G112" i="25" s="1"/>
  <c r="K112" i="25" s="1"/>
  <c r="P97" i="25"/>
  <c r="Z97" i="25" s="1"/>
  <c r="AF92" i="25"/>
  <c r="AF85" i="25"/>
  <c r="AB77" i="25"/>
  <c r="AD77" i="25" s="1"/>
  <c r="G77" i="25" s="1"/>
  <c r="K77" i="25" s="1"/>
  <c r="I77" i="25" s="1"/>
  <c r="AF61" i="25"/>
  <c r="AA308" i="25"/>
  <c r="AB308" i="25" s="1"/>
  <c r="AA273" i="25"/>
  <c r="AB273" i="25" s="1"/>
  <c r="AD273" i="25" s="1"/>
  <c r="G273" i="25" s="1"/>
  <c r="AB269" i="25"/>
  <c r="AD269" i="25" s="1"/>
  <c r="G269" i="25" s="1"/>
  <c r="AA243" i="25"/>
  <c r="AB243" i="25" s="1"/>
  <c r="AB237" i="25"/>
  <c r="AD237" i="25" s="1"/>
  <c r="G237" i="25" s="1"/>
  <c r="AF232" i="25"/>
  <c r="AA143" i="25"/>
  <c r="AB143" i="25" s="1"/>
  <c r="AD143" i="25" s="1"/>
  <c r="G143" i="25" s="1"/>
  <c r="K143" i="25" s="1"/>
  <c r="AF109" i="25"/>
  <c r="AF89" i="25"/>
  <c r="AB84" i="25"/>
  <c r="AD84" i="25" s="1"/>
  <c r="G84" i="25" s="1"/>
  <c r="AF55" i="25"/>
  <c r="AF47" i="25"/>
  <c r="AF35" i="25"/>
  <c r="AA29" i="25"/>
  <c r="AB29" i="25" s="1"/>
  <c r="AA21" i="25"/>
  <c r="AB21" i="25" s="1"/>
  <c r="AA13" i="25"/>
  <c r="AB13" i="25" s="1"/>
  <c r="AD13" i="25" s="1"/>
  <c r="G13" i="25" s="1"/>
  <c r="D35" i="27"/>
  <c r="AF278" i="25"/>
  <c r="AB274" i="25"/>
  <c r="AD274" i="25" s="1"/>
  <c r="G274" i="25" s="1"/>
  <c r="K274" i="25" s="1"/>
  <c r="I274" i="25" s="1"/>
  <c r="AF239" i="25"/>
  <c r="AF233" i="25"/>
  <c r="AF300" i="25"/>
  <c r="AB262" i="25"/>
  <c r="AD262" i="25" s="1"/>
  <c r="G262" i="25" s="1"/>
  <c r="AB232" i="25"/>
  <c r="AD232" i="25" s="1"/>
  <c r="G232" i="25" s="1"/>
  <c r="AB172" i="25"/>
  <c r="AD172" i="25" s="1"/>
  <c r="G172" i="25" s="1"/>
  <c r="K172" i="25" s="1"/>
  <c r="AB147" i="25"/>
  <c r="AD147" i="25" s="1"/>
  <c r="G147" i="25" s="1"/>
  <c r="AF144" i="25"/>
  <c r="AB117" i="25"/>
  <c r="AD117" i="25" s="1"/>
  <c r="G117" i="25" s="1"/>
  <c r="F117" i="25" s="1"/>
  <c r="AA110" i="25"/>
  <c r="AB110" i="25" s="1"/>
  <c r="AD110" i="25" s="1"/>
  <c r="G110" i="25" s="1"/>
  <c r="K110" i="25" s="1"/>
  <c r="I110" i="25" s="1"/>
  <c r="AB109" i="25"/>
  <c r="AD109" i="25" s="1"/>
  <c r="G109" i="25" s="1"/>
  <c r="K109" i="25" s="1"/>
  <c r="L109" i="25" s="1"/>
  <c r="AF106" i="25"/>
  <c r="AA82" i="25"/>
  <c r="AB82" i="25" s="1"/>
  <c r="AD82" i="25" s="1"/>
  <c r="G82" i="25" s="1"/>
  <c r="AF75" i="25"/>
  <c r="AB35" i="25"/>
  <c r="AD35" i="25" s="1"/>
  <c r="G35" i="25" s="1"/>
  <c r="K35" i="25" s="1"/>
  <c r="L35" i="25" s="1"/>
  <c r="AB270" i="25"/>
  <c r="AD270" i="25" s="1"/>
  <c r="G270" i="25" s="1"/>
  <c r="AF260" i="25"/>
  <c r="AB248" i="25"/>
  <c r="AA208" i="25"/>
  <c r="AB208" i="25" s="1"/>
  <c r="AF19" i="25"/>
  <c r="AA301" i="25"/>
  <c r="AB301" i="25" s="1"/>
  <c r="AB152" i="25"/>
  <c r="AD152" i="25" s="1"/>
  <c r="G152" i="25" s="1"/>
  <c r="AA141" i="25"/>
  <c r="AB141" i="25" s="1"/>
  <c r="AD141" i="25" s="1"/>
  <c r="G141" i="25" s="1"/>
  <c r="K141" i="25" s="1"/>
  <c r="I141" i="25" s="1"/>
  <c r="AF111" i="25"/>
  <c r="AA76" i="25"/>
  <c r="AB76" i="25" s="1"/>
  <c r="AD76" i="25" s="1"/>
  <c r="G76" i="25" s="1"/>
  <c r="K76" i="25" s="1"/>
  <c r="AF23" i="25"/>
  <c r="AE306" i="25"/>
  <c r="AB205" i="25"/>
  <c r="AB169" i="25"/>
  <c r="AD169" i="25" s="1"/>
  <c r="G169" i="25" s="1"/>
  <c r="F169" i="25" s="1"/>
  <c r="AB137" i="25"/>
  <c r="AD137" i="25" s="1"/>
  <c r="G137" i="25" s="1"/>
  <c r="K137" i="25" s="1"/>
  <c r="AB114" i="25"/>
  <c r="AD114" i="25" s="1"/>
  <c r="G114" i="25" s="1"/>
  <c r="AB106" i="25"/>
  <c r="AD106" i="25" s="1"/>
  <c r="G106" i="25" s="1"/>
  <c r="AB153" i="25"/>
  <c r="AD153" i="25" s="1"/>
  <c r="G153" i="25" s="1"/>
  <c r="K153" i="25" s="1"/>
  <c r="AB122" i="25"/>
  <c r="AD122" i="25" s="1"/>
  <c r="G122" i="25" s="1"/>
  <c r="Z66" i="25"/>
  <c r="AD45" i="25"/>
  <c r="G45" i="25" s="1"/>
  <c r="K45" i="25" s="1"/>
  <c r="G46" i="25"/>
  <c r="K46" i="25" s="1"/>
  <c r="L46" i="25" s="1"/>
  <c r="AD48" i="25"/>
  <c r="AD52" i="25"/>
  <c r="AD46" i="25"/>
  <c r="AB177" i="25"/>
  <c r="AD177" i="25" s="1"/>
  <c r="G177" i="25" s="1"/>
  <c r="K177" i="25" s="1"/>
  <c r="AD61" i="25"/>
  <c r="AD59" i="25"/>
  <c r="B44" i="24"/>
  <c r="G48" i="25"/>
  <c r="F48" i="25" s="1"/>
  <c r="G61" i="25"/>
  <c r="F61" i="25" s="1"/>
  <c r="G59" i="25"/>
  <c r="K59" i="25" s="1"/>
  <c r="L59" i="25" s="1"/>
  <c r="G52" i="25"/>
  <c r="F52" i="25" s="1"/>
  <c r="AC293" i="25"/>
  <c r="AC294" i="25" s="1"/>
  <c r="AC295" i="25" s="1"/>
  <c r="AC296" i="25" s="1"/>
  <c r="AC297" i="25" s="1"/>
  <c r="AC298" i="25" s="1"/>
  <c r="AC299" i="25" s="1"/>
  <c r="AC300" i="25" s="1"/>
  <c r="AC301" i="25" s="1"/>
  <c r="AC302" i="25" s="1"/>
  <c r="AF310" i="25"/>
  <c r="AA309" i="25"/>
  <c r="AB309" i="25" s="1"/>
  <c r="AF302" i="25"/>
  <c r="AF291" i="25"/>
  <c r="AF261" i="25"/>
  <c r="AA261" i="25"/>
  <c r="AB261" i="25" s="1"/>
  <c r="AD261" i="25" s="1"/>
  <c r="G261" i="25" s="1"/>
  <c r="AC243" i="25"/>
  <c r="AC244" i="25" s="1"/>
  <c r="AC245" i="25" s="1"/>
  <c r="AC246" i="25" s="1"/>
  <c r="AC247" i="25" s="1"/>
  <c r="AC248" i="25" s="1"/>
  <c r="AF307" i="25"/>
  <c r="AA305" i="25"/>
  <c r="AB305" i="25" s="1"/>
  <c r="AA299" i="25"/>
  <c r="AB299" i="25" s="1"/>
  <c r="AE292" i="25"/>
  <c r="AB266" i="25"/>
  <c r="AD266" i="25" s="1"/>
  <c r="G266" i="25" s="1"/>
  <c r="K266" i="25" s="1"/>
  <c r="I266" i="25" s="1"/>
  <c r="AB275" i="25"/>
  <c r="AD275" i="25" s="1"/>
  <c r="G275" i="25" s="1"/>
  <c r="AB272" i="25"/>
  <c r="AD272" i="25" s="1"/>
  <c r="G272" i="25" s="1"/>
  <c r="AB264" i="25"/>
  <c r="AD264" i="25" s="1"/>
  <c r="G264" i="25" s="1"/>
  <c r="AA295" i="25"/>
  <c r="AB295" i="25" s="1"/>
  <c r="AA279" i="25"/>
  <c r="AB279" i="25" s="1"/>
  <c r="AD279" i="25" s="1"/>
  <c r="G279" i="25" s="1"/>
  <c r="B283" i="25"/>
  <c r="AC204" i="25"/>
  <c r="AC205" i="25" s="1"/>
  <c r="AC206" i="25" s="1"/>
  <c r="AC207" i="25" s="1"/>
  <c r="AC208" i="25" s="1"/>
  <c r="AC209" i="25" s="1"/>
  <c r="AC210" i="25" s="1"/>
  <c r="AC211" i="25" s="1"/>
  <c r="AF275" i="25"/>
  <c r="AE229" i="25"/>
  <c r="AF217" i="25"/>
  <c r="AA212" i="25"/>
  <c r="AB212" i="25" s="1"/>
  <c r="AC182" i="25"/>
  <c r="AC183" i="25" s="1"/>
  <c r="AC184" i="25" s="1"/>
  <c r="AC185" i="25" s="1"/>
  <c r="AC186" i="25" s="1"/>
  <c r="AA267" i="25"/>
  <c r="AB267" i="25" s="1"/>
  <c r="AD267" i="25" s="1"/>
  <c r="G267" i="25" s="1"/>
  <c r="AA245" i="25"/>
  <c r="AB245" i="25" s="1"/>
  <c r="AF207" i="25"/>
  <c r="AA207" i="25"/>
  <c r="AB207" i="25" s="1"/>
  <c r="AA230" i="25"/>
  <c r="AB230" i="25" s="1"/>
  <c r="AD230" i="25" s="1"/>
  <c r="G230" i="25" s="1"/>
  <c r="AF210" i="25"/>
  <c r="AA247" i="25"/>
  <c r="AB247" i="25" s="1"/>
  <c r="AA241" i="25"/>
  <c r="AB241" i="25" s="1"/>
  <c r="AD241" i="25" s="1"/>
  <c r="G241" i="25" s="1"/>
  <c r="AA244" i="25"/>
  <c r="AB244" i="25" s="1"/>
  <c r="AF237" i="25"/>
  <c r="AF202" i="25"/>
  <c r="AC154" i="25"/>
  <c r="AC155" i="25" s="1"/>
  <c r="AC93" i="25"/>
  <c r="AA229" i="25"/>
  <c r="AB234" i="25"/>
  <c r="AD234" i="25" s="1"/>
  <c r="G234" i="25" s="1"/>
  <c r="AA206" i="25"/>
  <c r="AB206" i="25" s="1"/>
  <c r="AF206" i="25"/>
  <c r="AC124" i="25"/>
  <c r="AE261" i="25"/>
  <c r="AF229" i="25"/>
  <c r="AB209" i="25"/>
  <c r="AB168" i="25"/>
  <c r="AD168" i="25" s="1"/>
  <c r="G168" i="25" s="1"/>
  <c r="AF198" i="25"/>
  <c r="AF184" i="25"/>
  <c r="AF177" i="25"/>
  <c r="AF172" i="25"/>
  <c r="AB155" i="25"/>
  <c r="AA180" i="25"/>
  <c r="AB180" i="25" s="1"/>
  <c r="AD180" i="25" s="1"/>
  <c r="G180" i="25" s="1"/>
  <c r="AE177" i="25"/>
  <c r="AF176" i="25"/>
  <c r="AA199" i="25"/>
  <c r="AB199" i="25" s="1"/>
  <c r="AD199" i="25" s="1"/>
  <c r="G199" i="25" s="1"/>
  <c r="K199" i="25" s="1"/>
  <c r="AA185" i="25"/>
  <c r="AB185" i="25" s="1"/>
  <c r="AA179" i="25"/>
  <c r="AB179" i="25" s="1"/>
  <c r="AD179" i="25" s="1"/>
  <c r="G179" i="25" s="1"/>
  <c r="K179" i="25" s="1"/>
  <c r="AA173" i="25"/>
  <c r="AB173" i="25" s="1"/>
  <c r="AD173" i="25" s="1"/>
  <c r="G173" i="25" s="1"/>
  <c r="AA154" i="25"/>
  <c r="AB154" i="25" s="1"/>
  <c r="AB150" i="25"/>
  <c r="AD150" i="25" s="1"/>
  <c r="G150" i="25" s="1"/>
  <c r="AB144" i="25"/>
  <c r="AD144" i="25" s="1"/>
  <c r="G144" i="25" s="1"/>
  <c r="AF139" i="25"/>
  <c r="AE136" i="25"/>
  <c r="AA116" i="25"/>
  <c r="AB116" i="25" s="1"/>
  <c r="AD116" i="25" s="1"/>
  <c r="G116" i="25" s="1"/>
  <c r="AF116" i="25"/>
  <c r="AF152" i="25"/>
  <c r="AA198" i="25"/>
  <c r="AA146" i="25"/>
  <c r="AB146" i="25" s="1"/>
  <c r="AD146" i="25" s="1"/>
  <c r="G146" i="25" s="1"/>
  <c r="K146" i="25" s="1"/>
  <c r="AB142" i="25"/>
  <c r="AD142" i="25" s="1"/>
  <c r="G142" i="25" s="1"/>
  <c r="AA136" i="25"/>
  <c r="AE199" i="25"/>
  <c r="AB139" i="25"/>
  <c r="AD139" i="25" s="1"/>
  <c r="G139" i="25" s="1"/>
  <c r="K139" i="25" s="1"/>
  <c r="AE124" i="25"/>
  <c r="AF168" i="25"/>
  <c r="AA113" i="25"/>
  <c r="AB113" i="25" s="1"/>
  <c r="AD113" i="25" s="1"/>
  <c r="G113" i="25" s="1"/>
  <c r="K113" i="25" s="1"/>
  <c r="AF113" i="25"/>
  <c r="AA120" i="25"/>
  <c r="AB120" i="25" s="1"/>
  <c r="AD120" i="25" s="1"/>
  <c r="G120" i="25" s="1"/>
  <c r="AF86" i="25"/>
  <c r="AA86" i="25"/>
  <c r="AB86" i="25" s="1"/>
  <c r="AD86" i="25" s="1"/>
  <c r="G86" i="25" s="1"/>
  <c r="AB57" i="25"/>
  <c r="AD57" i="25" s="1"/>
  <c r="G57" i="25" s="1"/>
  <c r="K57" i="25" s="1"/>
  <c r="I57" i="25" s="1"/>
  <c r="AA105" i="25"/>
  <c r="AF121" i="25"/>
  <c r="AF119" i="25"/>
  <c r="AF91" i="25"/>
  <c r="AA91" i="25"/>
  <c r="AB91" i="25" s="1"/>
  <c r="AD91" i="25" s="1"/>
  <c r="G91" i="25" s="1"/>
  <c r="K91" i="25" s="1"/>
  <c r="I91" i="25" s="1"/>
  <c r="AD55" i="25"/>
  <c r="G55" i="25" s="1"/>
  <c r="K55" i="25" s="1"/>
  <c r="AA66" i="25"/>
  <c r="AB66" i="25" s="1"/>
  <c r="AD66" i="25" s="1"/>
  <c r="G66" i="25" s="1"/>
  <c r="K66" i="25" s="1"/>
  <c r="AA60" i="25"/>
  <c r="AB60" i="25" s="1"/>
  <c r="AD60" i="25" s="1"/>
  <c r="G60" i="25" s="1"/>
  <c r="K60" i="25" s="1"/>
  <c r="I60" i="25" s="1"/>
  <c r="AF60" i="25"/>
  <c r="AF105" i="25"/>
  <c r="AF78" i="25"/>
  <c r="AA78" i="25"/>
  <c r="AB78" i="25" s="1"/>
  <c r="AD78" i="25" s="1"/>
  <c r="G78" i="25" s="1"/>
  <c r="AF77" i="25"/>
  <c r="AF58" i="25"/>
  <c r="AA58" i="25"/>
  <c r="AB58" i="25" s="1"/>
  <c r="AD58" i="25" s="1"/>
  <c r="G58" i="25" s="1"/>
  <c r="AB53" i="25"/>
  <c r="AD53" i="25" s="1"/>
  <c r="G53" i="25" s="1"/>
  <c r="AF49" i="25"/>
  <c r="AE77" i="25"/>
  <c r="AF57" i="25"/>
  <c r="AA54" i="25"/>
  <c r="AB54" i="25" s="1"/>
  <c r="AD54" i="25" s="1"/>
  <c r="G54" i="25" s="1"/>
  <c r="AD51" i="25"/>
  <c r="G51" i="25" s="1"/>
  <c r="K51" i="25" s="1"/>
  <c r="AA44" i="25"/>
  <c r="AB44" i="25" s="1"/>
  <c r="AD44" i="25" s="1"/>
  <c r="G44" i="25" s="1"/>
  <c r="AD43" i="25"/>
  <c r="G43" i="25" s="1"/>
  <c r="K43" i="25" s="1"/>
  <c r="I43" i="25" s="1"/>
  <c r="F64" i="25"/>
  <c r="F65" i="25"/>
  <c r="F66" i="25"/>
  <c r="AB49" i="25"/>
  <c r="AD49" i="25" s="1"/>
  <c r="G49" i="25" s="1"/>
  <c r="AF30" i="25"/>
  <c r="AA30" i="25"/>
  <c r="AB30" i="25" s="1"/>
  <c r="AB25" i="25"/>
  <c r="P6" i="27"/>
  <c r="AA83" i="25"/>
  <c r="AB83" i="25" s="1"/>
  <c r="AD83" i="25" s="1"/>
  <c r="G83" i="25" s="1"/>
  <c r="K83" i="25" s="1"/>
  <c r="AB47" i="25"/>
  <c r="AD47" i="25" s="1"/>
  <c r="G47" i="25" s="1"/>
  <c r="K47" i="25" s="1"/>
  <c r="I47" i="25" s="1"/>
  <c r="AC16" i="25"/>
  <c r="AC17" i="25" s="1"/>
  <c r="AC18" i="25" s="1"/>
  <c r="AC19" i="25" s="1"/>
  <c r="AC20" i="25" s="1"/>
  <c r="AC21" i="25" s="1"/>
  <c r="AC22" i="25" s="1"/>
  <c r="AC23" i="25" s="1"/>
  <c r="O6" i="27"/>
  <c r="X6" i="27"/>
  <c r="Q6" i="27"/>
  <c r="AD62" i="25"/>
  <c r="G62" i="25" s="1"/>
  <c r="AD56" i="25"/>
  <c r="G56" i="25" s="1"/>
  <c r="AA50" i="25"/>
  <c r="AB50" i="25" s="1"/>
  <c r="AD50" i="25" s="1"/>
  <c r="G50" i="25" s="1"/>
  <c r="AA28" i="25"/>
  <c r="AB28" i="25" s="1"/>
  <c r="AA20" i="25"/>
  <c r="AB20" i="25" s="1"/>
  <c r="AA12" i="25"/>
  <c r="AA22" i="25"/>
  <c r="AB22" i="25" s="1"/>
  <c r="AA14" i="25"/>
  <c r="AB14" i="25" s="1"/>
  <c r="AD14" i="25" s="1"/>
  <c r="G14" i="25" s="1"/>
  <c r="K14" i="25" s="1"/>
  <c r="I14" i="25" s="1"/>
  <c r="AF12" i="25"/>
  <c r="D36" i="27"/>
  <c r="A82" i="7" l="1"/>
  <c r="A139" i="6"/>
  <c r="K61" i="25"/>
  <c r="L61" i="25" s="1"/>
  <c r="AD93" i="25"/>
  <c r="G93" i="25" s="1"/>
  <c r="K93" i="25" s="1"/>
  <c r="L93" i="25" s="1"/>
  <c r="B70" i="17" s="1"/>
  <c r="F45" i="25"/>
  <c r="K48" i="25"/>
  <c r="I48" i="25" s="1"/>
  <c r="F128" i="25"/>
  <c r="F126" i="25"/>
  <c r="F177" i="25"/>
  <c r="F97" i="25"/>
  <c r="F95" i="25"/>
  <c r="AD186" i="25"/>
  <c r="G186" i="25" s="1"/>
  <c r="K186" i="25" s="1"/>
  <c r="L186" i="25" s="1"/>
  <c r="B73" i="17" s="1"/>
  <c r="F46" i="25"/>
  <c r="F96" i="25"/>
  <c r="F94" i="25"/>
  <c r="B156" i="25"/>
  <c r="B187" i="25" s="1"/>
  <c r="F125" i="25"/>
  <c r="F171" i="25"/>
  <c r="K171" i="25"/>
  <c r="I171" i="25" s="1"/>
  <c r="K52" i="25"/>
  <c r="I52" i="25" s="1"/>
  <c r="K145" i="25"/>
  <c r="I145" i="25" s="1"/>
  <c r="F112" i="25"/>
  <c r="F147" i="25"/>
  <c r="K147" i="25"/>
  <c r="I147" i="25" s="1"/>
  <c r="K138" i="25"/>
  <c r="L138" i="25" s="1"/>
  <c r="F237" i="25"/>
  <c r="K237" i="25"/>
  <c r="L237" i="25" s="1"/>
  <c r="F115" i="25"/>
  <c r="K115" i="25"/>
  <c r="L115" i="25" s="1"/>
  <c r="K106" i="25"/>
  <c r="L106" i="25" s="1"/>
  <c r="F106" i="25"/>
  <c r="F232" i="25"/>
  <c r="K232" i="25"/>
  <c r="L232" i="25" s="1"/>
  <c r="F170" i="25"/>
  <c r="K170" i="25"/>
  <c r="I170" i="25" s="1"/>
  <c r="K148" i="25"/>
  <c r="I148" i="25" s="1"/>
  <c r="F148" i="25"/>
  <c r="K235" i="25"/>
  <c r="I235" i="25" s="1"/>
  <c r="F235" i="25"/>
  <c r="F270" i="25"/>
  <c r="K270" i="25"/>
  <c r="I270" i="25" s="1"/>
  <c r="F262" i="25"/>
  <c r="K262" i="25"/>
  <c r="L262" i="25" s="1"/>
  <c r="K231" i="25"/>
  <c r="F231" i="25"/>
  <c r="AD210" i="25"/>
  <c r="G210" i="25" s="1"/>
  <c r="K210" i="25" s="1"/>
  <c r="L210" i="25" s="1"/>
  <c r="X97" i="25"/>
  <c r="AE97" i="25" s="1"/>
  <c r="P128" i="25"/>
  <c r="Z128" i="25" s="1"/>
  <c r="K119" i="25"/>
  <c r="I119" i="25" s="1"/>
  <c r="F140" i="25"/>
  <c r="AD248" i="25"/>
  <c r="G248" i="25" s="1"/>
  <c r="F248" i="25" s="1"/>
  <c r="Y97" i="25"/>
  <c r="AF97" i="25" s="1"/>
  <c r="K117" i="25"/>
  <c r="L117" i="25" s="1"/>
  <c r="AD183" i="25"/>
  <c r="G183" i="25" s="1"/>
  <c r="K183" i="25" s="1"/>
  <c r="F159" i="25"/>
  <c r="S159" i="25"/>
  <c r="S190" i="25" s="1"/>
  <c r="S221" i="25" s="1"/>
  <c r="S252" i="25" s="1"/>
  <c r="S283" i="25" s="1"/>
  <c r="S314" i="25" s="1"/>
  <c r="F109" i="25"/>
  <c r="I45" i="25"/>
  <c r="L45" i="25"/>
  <c r="F84" i="25"/>
  <c r="K84" i="25"/>
  <c r="L84" i="25" s="1"/>
  <c r="F111" i="25"/>
  <c r="I111" i="25"/>
  <c r="AD185" i="25"/>
  <c r="G185" i="25" s="1"/>
  <c r="K185" i="25" s="1"/>
  <c r="I185" i="25" s="1"/>
  <c r="I75" i="25"/>
  <c r="K169" i="25"/>
  <c r="I169" i="25" s="1"/>
  <c r="K114" i="25"/>
  <c r="I114" i="25" s="1"/>
  <c r="F114" i="25"/>
  <c r="L114" i="25"/>
  <c r="AD209" i="25"/>
  <c r="G209" i="25" s="1"/>
  <c r="F209" i="25" s="1"/>
  <c r="F75" i="25"/>
  <c r="AD182" i="25"/>
  <c r="G182" i="25" s="1"/>
  <c r="F182" i="25" s="1"/>
  <c r="F172" i="25"/>
  <c r="AD206" i="25"/>
  <c r="G206" i="25" s="1"/>
  <c r="F206" i="25" s="1"/>
  <c r="AD204" i="25"/>
  <c r="G204" i="25" s="1"/>
  <c r="F204" i="25" s="1"/>
  <c r="F239" i="25"/>
  <c r="AD247" i="25"/>
  <c r="G247" i="25" s="1"/>
  <c r="F247" i="25" s="1"/>
  <c r="L140" i="25"/>
  <c r="AD244" i="25"/>
  <c r="G244" i="25" s="1"/>
  <c r="K244" i="25" s="1"/>
  <c r="AD207" i="25"/>
  <c r="G207" i="25" s="1"/>
  <c r="K207" i="25" s="1"/>
  <c r="I207" i="25" s="1"/>
  <c r="I200" i="25"/>
  <c r="L200" i="25"/>
  <c r="F200" i="25"/>
  <c r="AD295" i="25"/>
  <c r="G295" i="25" s="1"/>
  <c r="K295" i="25" s="1"/>
  <c r="F240" i="25"/>
  <c r="L240" i="25"/>
  <c r="K238" i="25"/>
  <c r="L238" i="25" s="1"/>
  <c r="F238" i="25"/>
  <c r="I177" i="25"/>
  <c r="L177" i="25"/>
  <c r="K233" i="25"/>
  <c r="L233" i="25" s="1"/>
  <c r="F233" i="25"/>
  <c r="AD299" i="25"/>
  <c r="G299" i="25" s="1"/>
  <c r="K299" i="25" s="1"/>
  <c r="AD293" i="25"/>
  <c r="G293" i="25" s="1"/>
  <c r="F293" i="25" s="1"/>
  <c r="AD300" i="25"/>
  <c r="G300" i="25" s="1"/>
  <c r="F300" i="25" s="1"/>
  <c r="AD154" i="25"/>
  <c r="G154" i="25" s="1"/>
  <c r="K154" i="25" s="1"/>
  <c r="I154" i="25" s="1"/>
  <c r="AD298" i="25"/>
  <c r="G298" i="25" s="1"/>
  <c r="K298" i="25" s="1"/>
  <c r="I298" i="25" s="1"/>
  <c r="AD155" i="25"/>
  <c r="G155" i="25" s="1"/>
  <c r="K155" i="25" s="1"/>
  <c r="L155" i="25" s="1"/>
  <c r="B72" i="17" s="1"/>
  <c r="AD297" i="25"/>
  <c r="G297" i="25" s="1"/>
  <c r="F297" i="25" s="1"/>
  <c r="AD296" i="25"/>
  <c r="G296" i="25" s="1"/>
  <c r="K296" i="25" s="1"/>
  <c r="I296" i="25" s="1"/>
  <c r="AD301" i="25"/>
  <c r="G301" i="25" s="1"/>
  <c r="F301" i="25" s="1"/>
  <c r="AD208" i="25"/>
  <c r="G208" i="25" s="1"/>
  <c r="K208" i="25" s="1"/>
  <c r="I208" i="25" s="1"/>
  <c r="AD294" i="25"/>
  <c r="G294" i="25" s="1"/>
  <c r="K294" i="25" s="1"/>
  <c r="I294" i="25" s="1"/>
  <c r="I66" i="25"/>
  <c r="I46" i="25"/>
  <c r="L172" i="25"/>
  <c r="I172" i="25"/>
  <c r="I112" i="25"/>
  <c r="L112" i="25"/>
  <c r="I35" i="25"/>
  <c r="F59" i="25"/>
  <c r="I199" i="25"/>
  <c r="F141" i="25"/>
  <c r="K264" i="25"/>
  <c r="I264" i="25" s="1"/>
  <c r="L141" i="25"/>
  <c r="L137" i="25"/>
  <c r="I137" i="25"/>
  <c r="F137" i="25"/>
  <c r="L239" i="25"/>
  <c r="I268" i="25"/>
  <c r="AD23" i="25"/>
  <c r="G23" i="25" s="1"/>
  <c r="AC24" i="25"/>
  <c r="F142" i="25"/>
  <c r="K142" i="25"/>
  <c r="I142" i="25" s="1"/>
  <c r="K144" i="25"/>
  <c r="L144" i="25" s="1"/>
  <c r="F144" i="25"/>
  <c r="F173" i="25"/>
  <c r="K180" i="25"/>
  <c r="L180" i="25" s="1"/>
  <c r="F180" i="25"/>
  <c r="I139" i="25"/>
  <c r="F202" i="25"/>
  <c r="K202" i="25"/>
  <c r="L202" i="25" s="1"/>
  <c r="F230" i="25"/>
  <c r="K175" i="25"/>
  <c r="L175" i="25" s="1"/>
  <c r="F175" i="25"/>
  <c r="F267" i="25"/>
  <c r="K267" i="25"/>
  <c r="I267" i="25" s="1"/>
  <c r="K230" i="25"/>
  <c r="L230" i="25" s="1"/>
  <c r="I278" i="25"/>
  <c r="F49" i="25"/>
  <c r="F120" i="25"/>
  <c r="F14" i="25"/>
  <c r="L14" i="25"/>
  <c r="F44" i="25"/>
  <c r="K44" i="25"/>
  <c r="I44" i="25" s="1"/>
  <c r="I83" i="25"/>
  <c r="F107" i="25"/>
  <c r="L149" i="25"/>
  <c r="F149" i="25"/>
  <c r="F93" i="25"/>
  <c r="K116" i="25"/>
  <c r="I116" i="25" s="1"/>
  <c r="F116" i="25"/>
  <c r="L179" i="25"/>
  <c r="F179" i="25"/>
  <c r="K107" i="25"/>
  <c r="L107" i="25" s="1"/>
  <c r="F151" i="25"/>
  <c r="K151" i="25"/>
  <c r="L151" i="25" s="1"/>
  <c r="F178" i="25"/>
  <c r="K178" i="25"/>
  <c r="I178" i="25" s="1"/>
  <c r="F236" i="25"/>
  <c r="K236" i="25"/>
  <c r="L236" i="25" s="1"/>
  <c r="F176" i="25"/>
  <c r="F261" i="25"/>
  <c r="K261" i="25"/>
  <c r="I261" i="25" s="1"/>
  <c r="K53" i="25"/>
  <c r="I53" i="25" s="1"/>
  <c r="F53" i="25"/>
  <c r="F90" i="25"/>
  <c r="K90" i="25"/>
  <c r="I90" i="25" s="1"/>
  <c r="K152" i="25"/>
  <c r="I152" i="25" s="1"/>
  <c r="F152" i="25"/>
  <c r="F13" i="25"/>
  <c r="K13" i="25"/>
  <c r="L13" i="25" s="1"/>
  <c r="F146" i="25"/>
  <c r="L146" i="25"/>
  <c r="I146" i="25"/>
  <c r="AD22" i="25"/>
  <c r="G22" i="25" s="1"/>
  <c r="F62" i="25"/>
  <c r="K62" i="25"/>
  <c r="L62" i="25" s="1"/>
  <c r="B69" i="17" s="1"/>
  <c r="AD16" i="25"/>
  <c r="G16" i="25" s="1"/>
  <c r="K74" i="25"/>
  <c r="I74" i="25" s="1"/>
  <c r="F74" i="25"/>
  <c r="AD18" i="25"/>
  <c r="G18" i="25" s="1"/>
  <c r="F58" i="25"/>
  <c r="K58" i="25"/>
  <c r="I58" i="25" s="1"/>
  <c r="F85" i="25"/>
  <c r="I109" i="25"/>
  <c r="F118" i="25"/>
  <c r="K118" i="25"/>
  <c r="I118" i="25" s="1"/>
  <c r="K150" i="25"/>
  <c r="I150" i="25" s="1"/>
  <c r="F150" i="25"/>
  <c r="F123" i="25"/>
  <c r="L123" i="25"/>
  <c r="K176" i="25"/>
  <c r="I176" i="25" s="1"/>
  <c r="I179" i="25"/>
  <c r="F273" i="25"/>
  <c r="K273" i="25"/>
  <c r="I273" i="25" s="1"/>
  <c r="AD243" i="25"/>
  <c r="G243" i="25" s="1"/>
  <c r="F260" i="25"/>
  <c r="K277" i="25"/>
  <c r="L277" i="25" s="1"/>
  <c r="F277" i="25"/>
  <c r="K78" i="25"/>
  <c r="I78" i="25" s="1"/>
  <c r="F78" i="25"/>
  <c r="F143" i="25"/>
  <c r="L143" i="25"/>
  <c r="I143" i="25"/>
  <c r="AD17" i="25"/>
  <c r="G17" i="25" s="1"/>
  <c r="L51" i="25"/>
  <c r="F51" i="25"/>
  <c r="AD21" i="25"/>
  <c r="G21" i="25" s="1"/>
  <c r="L60" i="25"/>
  <c r="F60" i="25"/>
  <c r="F91" i="25"/>
  <c r="L91" i="25"/>
  <c r="I59" i="25"/>
  <c r="L88" i="25"/>
  <c r="F88" i="25"/>
  <c r="I88" i="25"/>
  <c r="I51" i="25"/>
  <c r="F86" i="25"/>
  <c r="K86" i="25"/>
  <c r="I86" i="25" s="1"/>
  <c r="AD124" i="25"/>
  <c r="G124" i="25" s="1"/>
  <c r="K120" i="25"/>
  <c r="I120" i="25" s="1"/>
  <c r="F82" i="25"/>
  <c r="K82" i="25"/>
  <c r="I82" i="25" s="1"/>
  <c r="K173" i="25"/>
  <c r="L173" i="25" s="1"/>
  <c r="K92" i="25"/>
  <c r="I92" i="25" s="1"/>
  <c r="F92" i="25"/>
  <c r="K181" i="25"/>
  <c r="I181" i="25" s="1"/>
  <c r="F181" i="25"/>
  <c r="K263" i="25"/>
  <c r="L263" i="25" s="1"/>
  <c r="F263" i="25"/>
  <c r="E35" i="27"/>
  <c r="E36" i="27"/>
  <c r="E37" i="27"/>
  <c r="AB12" i="25"/>
  <c r="L47" i="25"/>
  <c r="F47" i="25"/>
  <c r="F54" i="25"/>
  <c r="K54" i="25"/>
  <c r="L54" i="25" s="1"/>
  <c r="K108" i="25"/>
  <c r="I108" i="25" s="1"/>
  <c r="F108" i="25"/>
  <c r="F89" i="25"/>
  <c r="L80" i="25"/>
  <c r="F80" i="25"/>
  <c r="I80" i="25"/>
  <c r="L57" i="25"/>
  <c r="F57" i="25"/>
  <c r="L121" i="25"/>
  <c r="F121" i="25"/>
  <c r="F199" i="25"/>
  <c r="L199" i="25"/>
  <c r="K234" i="25"/>
  <c r="I234" i="25" s="1"/>
  <c r="F234" i="25"/>
  <c r="I149" i="25"/>
  <c r="F241" i="25"/>
  <c r="K241" i="25"/>
  <c r="I241" i="25" s="1"/>
  <c r="F264" i="25"/>
  <c r="L268" i="25"/>
  <c r="F268" i="25"/>
  <c r="AD20" i="25"/>
  <c r="G20" i="25" s="1"/>
  <c r="F83" i="25"/>
  <c r="L83" i="25"/>
  <c r="L66" i="25"/>
  <c r="AB105" i="25"/>
  <c r="K49" i="25"/>
  <c r="L49" i="25" s="1"/>
  <c r="L81" i="25"/>
  <c r="F81" i="25"/>
  <c r="K79" i="25"/>
  <c r="L79" i="25" s="1"/>
  <c r="F79" i="25"/>
  <c r="AB136" i="25"/>
  <c r="F168" i="25"/>
  <c r="K174" i="25"/>
  <c r="I174" i="25" s="1"/>
  <c r="F174" i="25"/>
  <c r="B314" i="25"/>
  <c r="F279" i="25"/>
  <c r="K279" i="25"/>
  <c r="L279" i="25" s="1"/>
  <c r="B76" i="17" s="1"/>
  <c r="K271" i="25"/>
  <c r="L271" i="25" s="1"/>
  <c r="F271" i="25"/>
  <c r="F272" i="25"/>
  <c r="L266" i="25"/>
  <c r="F266" i="25"/>
  <c r="K242" i="25"/>
  <c r="L242" i="25" s="1"/>
  <c r="F242" i="25"/>
  <c r="K260" i="25"/>
  <c r="L260" i="25" s="1"/>
  <c r="F276" i="25"/>
  <c r="K276" i="25"/>
  <c r="L276" i="25" s="1"/>
  <c r="F55" i="25"/>
  <c r="L55" i="25"/>
  <c r="K87" i="25"/>
  <c r="I87" i="25" s="1"/>
  <c r="F87" i="25"/>
  <c r="F203" i="25"/>
  <c r="K203" i="25"/>
  <c r="I203" i="25" s="1"/>
  <c r="F275" i="25"/>
  <c r="K275" i="25"/>
  <c r="I275" i="25" s="1"/>
  <c r="F265" i="25"/>
  <c r="K265" i="25"/>
  <c r="I265" i="25" s="1"/>
  <c r="K269" i="25"/>
  <c r="I269" i="25" s="1"/>
  <c r="F269" i="25"/>
  <c r="F278" i="25"/>
  <c r="L278" i="25"/>
  <c r="K292" i="25"/>
  <c r="I292" i="25" s="1"/>
  <c r="F292" i="25"/>
  <c r="AD19" i="25"/>
  <c r="G19" i="25" s="1"/>
  <c r="F139" i="25"/>
  <c r="L139" i="25"/>
  <c r="AB198" i="25"/>
  <c r="F167" i="25"/>
  <c r="K167" i="25"/>
  <c r="I167" i="25" s="1"/>
  <c r="K122" i="25"/>
  <c r="L122" i="25" s="1"/>
  <c r="F122" i="25"/>
  <c r="F153" i="25"/>
  <c r="L153" i="25"/>
  <c r="F50" i="25"/>
  <c r="K50" i="25"/>
  <c r="I50" i="25" s="1"/>
  <c r="F56" i="25"/>
  <c r="K56" i="25"/>
  <c r="I56" i="25" s="1"/>
  <c r="L15" i="25"/>
  <c r="F15" i="25"/>
  <c r="I55" i="25"/>
  <c r="L43" i="25"/>
  <c r="F43" i="25"/>
  <c r="F77" i="25"/>
  <c r="L77" i="25"/>
  <c r="K85" i="25"/>
  <c r="I85" i="25" s="1"/>
  <c r="L110" i="25"/>
  <c r="F110" i="25"/>
  <c r="F76" i="25"/>
  <c r="L76" i="25"/>
  <c r="I76" i="25"/>
  <c r="L113" i="25"/>
  <c r="F113" i="25"/>
  <c r="I113" i="25"/>
  <c r="K89" i="25"/>
  <c r="I89" i="25" s="1"/>
  <c r="I153" i="25"/>
  <c r="K168" i="25"/>
  <c r="L168" i="25" s="1"/>
  <c r="I121" i="25"/>
  <c r="AD184" i="25"/>
  <c r="G184" i="25" s="1"/>
  <c r="AB229" i="25"/>
  <c r="L201" i="25"/>
  <c r="F201" i="25"/>
  <c r="I201" i="25"/>
  <c r="AD245" i="25"/>
  <c r="G245" i="25" s="1"/>
  <c r="AC212" i="25"/>
  <c r="AC213" i="25" s="1"/>
  <c r="AD211" i="25"/>
  <c r="G211" i="25" s="1"/>
  <c r="AD205" i="25"/>
  <c r="G205" i="25" s="1"/>
  <c r="F291" i="25"/>
  <c r="K291" i="25"/>
  <c r="I291" i="25" s="1"/>
  <c r="AD246" i="25"/>
  <c r="G246" i="25" s="1"/>
  <c r="K272" i="25"/>
  <c r="L272" i="25" s="1"/>
  <c r="L274" i="25"/>
  <c r="F274" i="25"/>
  <c r="AD302" i="25"/>
  <c r="G302" i="25" s="1"/>
  <c r="AC303" i="25"/>
  <c r="A83" i="7" l="1"/>
  <c r="A140" i="6"/>
  <c r="L231" i="25"/>
  <c r="I231" i="25"/>
  <c r="F156" i="25"/>
  <c r="I61" i="25"/>
  <c r="I175" i="25"/>
  <c r="I115" i="25"/>
  <c r="L154" i="25"/>
  <c r="L171" i="25"/>
  <c r="L48" i="25"/>
  <c r="L145" i="25"/>
  <c r="I117" i="25"/>
  <c r="F157" i="25"/>
  <c r="F158" i="25"/>
  <c r="K209" i="25"/>
  <c r="L209" i="25" s="1"/>
  <c r="F186" i="25"/>
  <c r="I262" i="25"/>
  <c r="I238" i="25"/>
  <c r="L264" i="25"/>
  <c r="K206" i="25"/>
  <c r="L206" i="25" s="1"/>
  <c r="I106" i="25"/>
  <c r="F183" i="25"/>
  <c r="F154" i="25"/>
  <c r="L52" i="25"/>
  <c r="L148" i="25"/>
  <c r="F210" i="25"/>
  <c r="L147" i="25"/>
  <c r="L183" i="25"/>
  <c r="L270" i="25"/>
  <c r="L185" i="25"/>
  <c r="L170" i="25"/>
  <c r="K248" i="25"/>
  <c r="I248" i="25" s="1"/>
  <c r="I233" i="25"/>
  <c r="F294" i="25"/>
  <c r="F244" i="25"/>
  <c r="I202" i="25"/>
  <c r="I232" i="25"/>
  <c r="K247" i="25"/>
  <c r="I247" i="25" s="1"/>
  <c r="I183" i="25"/>
  <c r="K204" i="25"/>
  <c r="I204" i="25" s="1"/>
  <c r="F207" i="25"/>
  <c r="I138" i="25"/>
  <c r="F185" i="25"/>
  <c r="L119" i="25"/>
  <c r="L235" i="25"/>
  <c r="AA97" i="25"/>
  <c r="AB97" i="25" s="1"/>
  <c r="AD97" i="25" s="1"/>
  <c r="G97" i="25" s="1"/>
  <c r="P159" i="25"/>
  <c r="X128" i="25"/>
  <c r="AE128" i="25" s="1"/>
  <c r="Y128" i="25"/>
  <c r="AF128" i="25" s="1"/>
  <c r="K293" i="25"/>
  <c r="L293" i="25" s="1"/>
  <c r="I237" i="25"/>
  <c r="I244" i="25"/>
  <c r="K182" i="25"/>
  <c r="L182" i="25" s="1"/>
  <c r="K301" i="25"/>
  <c r="I301" i="25" s="1"/>
  <c r="L296" i="25"/>
  <c r="F187" i="25"/>
  <c r="B218" i="25"/>
  <c r="F189" i="25"/>
  <c r="F188" i="25"/>
  <c r="F190" i="25"/>
  <c r="L244" i="25"/>
  <c r="K297" i="25"/>
  <c r="I297" i="25" s="1"/>
  <c r="L169" i="25"/>
  <c r="I84" i="25"/>
  <c r="L299" i="25"/>
  <c r="I299" i="25"/>
  <c r="F298" i="25"/>
  <c r="F299" i="25"/>
  <c r="I180" i="25"/>
  <c r="L275" i="25"/>
  <c r="L207" i="25"/>
  <c r="K300" i="25"/>
  <c r="I300" i="25" s="1"/>
  <c r="I186" i="25"/>
  <c r="F296" i="25"/>
  <c r="L234" i="25"/>
  <c r="L291" i="25"/>
  <c r="F208" i="25"/>
  <c r="L295" i="25"/>
  <c r="F295" i="25"/>
  <c r="I295" i="25"/>
  <c r="L82" i="25"/>
  <c r="I210" i="25"/>
  <c r="L50" i="25"/>
  <c r="I173" i="25"/>
  <c r="L74" i="25"/>
  <c r="L294" i="25"/>
  <c r="F155" i="25"/>
  <c r="L174" i="25"/>
  <c r="I276" i="25"/>
  <c r="I271" i="25"/>
  <c r="I13" i="25"/>
  <c r="L267" i="25"/>
  <c r="L292" i="25"/>
  <c r="L118" i="25"/>
  <c r="L181" i="25"/>
  <c r="I107" i="25"/>
  <c r="L176" i="25"/>
  <c r="L89" i="25"/>
  <c r="L87" i="25"/>
  <c r="I168" i="25"/>
  <c r="I242" i="25"/>
  <c r="I62" i="25"/>
  <c r="L56" i="25"/>
  <c r="I122" i="25"/>
  <c r="L203" i="25"/>
  <c r="L241" i="25"/>
  <c r="L208" i="25"/>
  <c r="I263" i="25"/>
  <c r="I279" i="25"/>
  <c r="L85" i="25"/>
  <c r="I151" i="25"/>
  <c r="L116" i="25"/>
  <c r="L44" i="25"/>
  <c r="I144" i="25"/>
  <c r="L142" i="25"/>
  <c r="L265" i="25"/>
  <c r="L86" i="25"/>
  <c r="X32" i="25"/>
  <c r="Y32" i="25"/>
  <c r="AA32" i="25" s="1"/>
  <c r="P63" i="25"/>
  <c r="Z32" i="25"/>
  <c r="X33" i="25"/>
  <c r="AE33" i="25" s="1"/>
  <c r="Y33" i="25"/>
  <c r="AF33" i="25" s="1"/>
  <c r="Z33" i="25"/>
  <c r="P64" i="25"/>
  <c r="F205" i="25"/>
  <c r="K205" i="25"/>
  <c r="L205" i="25" s="1"/>
  <c r="AC304" i="25"/>
  <c r="AD303" i="25"/>
  <c r="G303" i="25" s="1"/>
  <c r="AD229" i="25"/>
  <c r="G229" i="25" s="1"/>
  <c r="L298" i="25"/>
  <c r="L273" i="25"/>
  <c r="L58" i="25"/>
  <c r="L152" i="25"/>
  <c r="F302" i="25"/>
  <c r="K302" i="25"/>
  <c r="L302" i="25" s="1"/>
  <c r="K124" i="25"/>
  <c r="L124" i="25" s="1"/>
  <c r="B71" i="17" s="1"/>
  <c r="F124" i="25"/>
  <c r="I277" i="25"/>
  <c r="I230" i="25"/>
  <c r="AD105" i="25"/>
  <c r="G105" i="25" s="1"/>
  <c r="K16" i="25"/>
  <c r="L16" i="25" s="1"/>
  <c r="F16" i="25"/>
  <c r="I236" i="25"/>
  <c r="L120" i="25"/>
  <c r="I272" i="25"/>
  <c r="F211" i="25"/>
  <c r="K211" i="25"/>
  <c r="L211" i="25" s="1"/>
  <c r="AD198" i="25"/>
  <c r="G198" i="25" s="1"/>
  <c r="AC214" i="25"/>
  <c r="AD213" i="25"/>
  <c r="G213" i="25" s="1"/>
  <c r="K245" i="25"/>
  <c r="L245" i="25" s="1"/>
  <c r="F245" i="25"/>
  <c r="K184" i="25"/>
  <c r="I184" i="25" s="1"/>
  <c r="F184" i="25"/>
  <c r="L269" i="25"/>
  <c r="K20" i="25"/>
  <c r="I20" i="25" s="1"/>
  <c r="F20" i="25"/>
  <c r="L108" i="25"/>
  <c r="AD12" i="25"/>
  <c r="G12" i="25" s="1"/>
  <c r="AD212" i="25"/>
  <c r="G212" i="25" s="1"/>
  <c r="I79" i="25"/>
  <c r="L167" i="25"/>
  <c r="F19" i="25"/>
  <c r="K19" i="25"/>
  <c r="I19" i="25" s="1"/>
  <c r="AD136" i="25"/>
  <c r="G136" i="25" s="1"/>
  <c r="F17" i="25"/>
  <c r="K17" i="25"/>
  <c r="L17" i="25" s="1"/>
  <c r="L78" i="25"/>
  <c r="K243" i="25"/>
  <c r="L243" i="25" s="1"/>
  <c r="F243" i="25"/>
  <c r="K18" i="25"/>
  <c r="I18" i="25" s="1"/>
  <c r="F18" i="25"/>
  <c r="L90" i="25"/>
  <c r="L178" i="25"/>
  <c r="I93" i="25"/>
  <c r="AC25" i="25"/>
  <c r="AD24" i="25"/>
  <c r="G24" i="25" s="1"/>
  <c r="F23" i="25"/>
  <c r="K23" i="25"/>
  <c r="L23" i="25" s="1"/>
  <c r="F246" i="25"/>
  <c r="K246" i="25"/>
  <c r="I246" i="25" s="1"/>
  <c r="I155" i="25"/>
  <c r="L92" i="25"/>
  <c r="L150" i="25"/>
  <c r="I49" i="25"/>
  <c r="L53" i="25"/>
  <c r="Y34" i="25"/>
  <c r="AF34" i="25" s="1"/>
  <c r="P65" i="25"/>
  <c r="Z34" i="25"/>
  <c r="X34" i="25"/>
  <c r="AE34" i="25" s="1"/>
  <c r="I54" i="25"/>
  <c r="I260" i="25"/>
  <c r="F21" i="25"/>
  <c r="K21" i="25"/>
  <c r="I21" i="25" s="1"/>
  <c r="F22" i="25"/>
  <c r="K22" i="25"/>
  <c r="I22" i="25" s="1"/>
  <c r="L261" i="25"/>
  <c r="A84" i="7" l="1"/>
  <c r="A141" i="6"/>
  <c r="A85" i="7" s="1"/>
  <c r="I209" i="25"/>
  <c r="AA33" i="25"/>
  <c r="AB33" i="25" s="1"/>
  <c r="AD33" i="25" s="1"/>
  <c r="G33" i="25" s="1"/>
  <c r="K33" i="25" s="1"/>
  <c r="I33" i="25" s="1"/>
  <c r="I206" i="25"/>
  <c r="L204" i="25"/>
  <c r="L247" i="25"/>
  <c r="L300" i="25"/>
  <c r="L297" i="25"/>
  <c r="AA128" i="25"/>
  <c r="AB128" i="25" s="1"/>
  <c r="AD128" i="25" s="1"/>
  <c r="G128" i="25" s="1"/>
  <c r="L301" i="25"/>
  <c r="I182" i="25"/>
  <c r="L248" i="25"/>
  <c r="B75" i="17" s="1"/>
  <c r="Z159" i="25"/>
  <c r="P190" i="25"/>
  <c r="X159" i="25"/>
  <c r="AE159" i="25" s="1"/>
  <c r="Y159" i="25"/>
  <c r="AF159" i="25" s="1"/>
  <c r="I293" i="25"/>
  <c r="F221" i="25"/>
  <c r="F218" i="25"/>
  <c r="F220" i="25"/>
  <c r="F219" i="25"/>
  <c r="B249" i="25"/>
  <c r="K97" i="25"/>
  <c r="L97" i="25" s="1"/>
  <c r="L184" i="25"/>
  <c r="I211" i="25"/>
  <c r="I17" i="25"/>
  <c r="L20" i="25"/>
  <c r="I124" i="25"/>
  <c r="L18" i="25"/>
  <c r="I16" i="25"/>
  <c r="I243" i="25"/>
  <c r="L246" i="25"/>
  <c r="I23" i="25"/>
  <c r="L22" i="25"/>
  <c r="I205" i="25"/>
  <c r="L21" i="25"/>
  <c r="L19" i="25"/>
  <c r="I245" i="25"/>
  <c r="F198" i="25"/>
  <c r="K198" i="25"/>
  <c r="I198" i="25" s="1"/>
  <c r="F105" i="25"/>
  <c r="K105" i="25"/>
  <c r="I105" i="25" s="1"/>
  <c r="Z11" i="25"/>
  <c r="K24" i="25"/>
  <c r="L24" i="25" s="1"/>
  <c r="F24" i="25"/>
  <c r="F212" i="25"/>
  <c r="K212" i="25"/>
  <c r="I212" i="25" s="1"/>
  <c r="I302" i="25"/>
  <c r="F229" i="25"/>
  <c r="K229" i="25"/>
  <c r="L229" i="25" s="1"/>
  <c r="Y63" i="25"/>
  <c r="AA63" i="25" s="1"/>
  <c r="Z63" i="25"/>
  <c r="P94" i="25"/>
  <c r="X63" i="25"/>
  <c r="Z65" i="25"/>
  <c r="P96" i="25"/>
  <c r="Y65" i="25"/>
  <c r="AF65" i="25" s="1"/>
  <c r="X65" i="25"/>
  <c r="AE65" i="25" s="1"/>
  <c r="AC215" i="25"/>
  <c r="AD214" i="25"/>
  <c r="G214" i="25" s="1"/>
  <c r="AC26" i="25"/>
  <c r="AD25" i="25"/>
  <c r="G25" i="25" s="1"/>
  <c r="K12" i="25"/>
  <c r="I12" i="25" s="1"/>
  <c r="F12" i="25"/>
  <c r="AB32" i="25"/>
  <c r="K136" i="25"/>
  <c r="L136" i="25" s="1"/>
  <c r="F136" i="25"/>
  <c r="F303" i="25"/>
  <c r="K303" i="25"/>
  <c r="L303" i="25" s="1"/>
  <c r="Y64" i="25"/>
  <c r="AF64" i="25" s="1"/>
  <c r="P95" i="25"/>
  <c r="Z64" i="25"/>
  <c r="AA64" i="25"/>
  <c r="X64" i="25"/>
  <c r="AE64" i="25" s="1"/>
  <c r="AF32" i="25"/>
  <c r="Y11" i="25"/>
  <c r="F213" i="25"/>
  <c r="K213" i="25"/>
  <c r="L213" i="25" s="1"/>
  <c r="AC305" i="25"/>
  <c r="AD304" i="25"/>
  <c r="G304" i="25" s="1"/>
  <c r="AE32" i="25"/>
  <c r="X11" i="25"/>
  <c r="AA34" i="25"/>
  <c r="AB34" i="25" s="1"/>
  <c r="AD34" i="25" s="1"/>
  <c r="G34" i="25" s="1"/>
  <c r="AA159" i="25" l="1"/>
  <c r="AB159" i="25" s="1"/>
  <c r="AD159" i="25" s="1"/>
  <c r="G159" i="25" s="1"/>
  <c r="K159" i="25" s="1"/>
  <c r="I159" i="25" s="1"/>
  <c r="F249" i="25"/>
  <c r="F251" i="25"/>
  <c r="F252" i="25"/>
  <c r="F250" i="25"/>
  <c r="B280" i="25"/>
  <c r="K128" i="25"/>
  <c r="I128" i="25" s="1"/>
  <c r="I97" i="25"/>
  <c r="Z190" i="25"/>
  <c r="Y190" i="25"/>
  <c r="AF190" i="25" s="1"/>
  <c r="X190" i="25"/>
  <c r="AE190" i="25" s="1"/>
  <c r="P221" i="25"/>
  <c r="L198" i="25"/>
  <c r="L12" i="25"/>
  <c r="L212" i="25"/>
  <c r="I24" i="25"/>
  <c r="I303" i="25"/>
  <c r="AA11" i="25"/>
  <c r="AA65" i="25"/>
  <c r="AB65" i="25" s="1"/>
  <c r="AD65" i="25" s="1"/>
  <c r="G65" i="25" s="1"/>
  <c r="AB63" i="25"/>
  <c r="AD32" i="25"/>
  <c r="G32" i="25" s="1"/>
  <c r="AB11" i="25"/>
  <c r="F214" i="25"/>
  <c r="K214" i="25"/>
  <c r="I214" i="25" s="1"/>
  <c r="F304" i="25"/>
  <c r="K304" i="25"/>
  <c r="L304" i="25" s="1"/>
  <c r="AD215" i="25"/>
  <c r="G215" i="25" s="1"/>
  <c r="AC216" i="25"/>
  <c r="Z96" i="25"/>
  <c r="P127" i="25"/>
  <c r="X96" i="25"/>
  <c r="AE96" i="25" s="1"/>
  <c r="Y96" i="25"/>
  <c r="AF96" i="25" s="1"/>
  <c r="AF63" i="25"/>
  <c r="Y42" i="25"/>
  <c r="L33" i="25"/>
  <c r="AC306" i="25"/>
  <c r="AD305" i="25"/>
  <c r="G305" i="25" s="1"/>
  <c r="AB64" i="25"/>
  <c r="AD64" i="25" s="1"/>
  <c r="G64" i="25" s="1"/>
  <c r="I136" i="25"/>
  <c r="I229" i="25"/>
  <c r="I213" i="25"/>
  <c r="P126" i="25"/>
  <c r="Y95" i="25"/>
  <c r="AF95" i="25" s="1"/>
  <c r="Z95" i="25"/>
  <c r="X95" i="25"/>
  <c r="AE95" i="25" s="1"/>
  <c r="AE63" i="25"/>
  <c r="X42" i="25"/>
  <c r="K25" i="25"/>
  <c r="L25" i="25" s="1"/>
  <c r="F25" i="25"/>
  <c r="P125" i="25"/>
  <c r="X94" i="25"/>
  <c r="Y94" i="25"/>
  <c r="Z94" i="25"/>
  <c r="K34" i="25"/>
  <c r="I34" i="25" s="1"/>
  <c r="AC27" i="25"/>
  <c r="AD26" i="25"/>
  <c r="G26" i="25" s="1"/>
  <c r="Z42" i="25"/>
  <c r="L105" i="25"/>
  <c r="L159" i="25" l="1"/>
  <c r="L34" i="25"/>
  <c r="L128" i="25"/>
  <c r="AA96" i="25"/>
  <c r="AB96" i="25" s="1"/>
  <c r="AD96" i="25" s="1"/>
  <c r="G96" i="25" s="1"/>
  <c r="F281" i="25"/>
  <c r="F280" i="25"/>
  <c r="F282" i="25"/>
  <c r="F283" i="25"/>
  <c r="B311" i="25"/>
  <c r="Y221" i="25"/>
  <c r="AF221" i="25" s="1"/>
  <c r="X221" i="25"/>
  <c r="AE221" i="25" s="1"/>
  <c r="P252" i="25"/>
  <c r="Z221" i="25"/>
  <c r="AA42" i="25"/>
  <c r="AA190" i="25"/>
  <c r="AB190" i="25" s="1"/>
  <c r="AD190" i="25" s="1"/>
  <c r="G190" i="25" s="1"/>
  <c r="AA95" i="25"/>
  <c r="AB95" i="25" s="1"/>
  <c r="AD95" i="25" s="1"/>
  <c r="G95" i="25" s="1"/>
  <c r="K95" i="25" s="1"/>
  <c r="I25" i="25"/>
  <c r="L214" i="25"/>
  <c r="I304" i="25"/>
  <c r="AC28" i="25"/>
  <c r="AD27" i="25"/>
  <c r="G27" i="25" s="1"/>
  <c r="P157" i="25"/>
  <c r="Y126" i="25"/>
  <c r="AF126" i="25" s="1"/>
  <c r="Z126" i="25"/>
  <c r="X126" i="25"/>
  <c r="AE126" i="25" s="1"/>
  <c r="K305" i="25"/>
  <c r="L305" i="25" s="1"/>
  <c r="F305" i="25"/>
  <c r="AC307" i="25"/>
  <c r="AD306" i="25"/>
  <c r="G306" i="25" s="1"/>
  <c r="X127" i="25"/>
  <c r="AE127" i="25" s="1"/>
  <c r="Y127" i="25"/>
  <c r="AF127" i="25" s="1"/>
  <c r="Z127" i="25"/>
  <c r="P158" i="25"/>
  <c r="Z73" i="25"/>
  <c r="K32" i="25"/>
  <c r="I32" i="25" s="1"/>
  <c r="AC217" i="25"/>
  <c r="AD217" i="25" s="1"/>
  <c r="G217" i="25" s="1"/>
  <c r="AD216" i="25"/>
  <c r="G216" i="25" s="1"/>
  <c r="AE94" i="25"/>
  <c r="X73" i="25"/>
  <c r="F215" i="25"/>
  <c r="K215" i="25"/>
  <c r="I215" i="25" s="1"/>
  <c r="K65" i="25"/>
  <c r="L65" i="25" s="1"/>
  <c r="AF94" i="25"/>
  <c r="Y73" i="25"/>
  <c r="P156" i="25"/>
  <c r="Y125" i="25"/>
  <c r="AA125" i="25" s="1"/>
  <c r="Z125" i="25"/>
  <c r="X125" i="25"/>
  <c r="AD63" i="25"/>
  <c r="G63" i="25" s="1"/>
  <c r="AB42" i="25"/>
  <c r="F26" i="25"/>
  <c r="K26" i="25"/>
  <c r="I26" i="25" s="1"/>
  <c r="AA94" i="25"/>
  <c r="K64" i="25"/>
  <c r="L64" i="25" s="1"/>
  <c r="AA221" i="25" l="1"/>
  <c r="AB221" i="25" s="1"/>
  <c r="AD221" i="25" s="1"/>
  <c r="G221" i="25" s="1"/>
  <c r="K221" i="25" s="1"/>
  <c r="L221" i="25" s="1"/>
  <c r="K190" i="25"/>
  <c r="L190" i="25" s="1"/>
  <c r="K96" i="25"/>
  <c r="L96" i="25" s="1"/>
  <c r="Z252" i="25"/>
  <c r="Y252" i="25"/>
  <c r="AF252" i="25" s="1"/>
  <c r="P283" i="25"/>
  <c r="X252" i="25"/>
  <c r="AE252" i="25" s="1"/>
  <c r="F313" i="25"/>
  <c r="F312" i="25"/>
  <c r="F314" i="25"/>
  <c r="F311" i="25"/>
  <c r="Z104" i="25"/>
  <c r="I65" i="25"/>
  <c r="I95" i="25"/>
  <c r="L95" i="25"/>
  <c r="L215" i="25"/>
  <c r="L32" i="25"/>
  <c r="AE125" i="25"/>
  <c r="X104" i="25"/>
  <c r="Y158" i="25"/>
  <c r="AF158" i="25" s="1"/>
  <c r="Z158" i="25"/>
  <c r="P189" i="25"/>
  <c r="X158" i="25"/>
  <c r="AE158" i="25" s="1"/>
  <c r="AA126" i="25"/>
  <c r="AB126" i="25" s="1"/>
  <c r="AD126" i="25" s="1"/>
  <c r="G126" i="25" s="1"/>
  <c r="AF125" i="25"/>
  <c r="Y104" i="25"/>
  <c r="Z157" i="25"/>
  <c r="X157" i="25"/>
  <c r="AE157" i="25" s="1"/>
  <c r="P188" i="25"/>
  <c r="Y157" i="25"/>
  <c r="AF157" i="25" s="1"/>
  <c r="F27" i="25"/>
  <c r="K27" i="25"/>
  <c r="L27" i="25" s="1"/>
  <c r="D21" i="24"/>
  <c r="I64" i="25"/>
  <c r="L26" i="25"/>
  <c r="Y156" i="25"/>
  <c r="AA156" i="25" s="1"/>
  <c r="Z156" i="25"/>
  <c r="X156" i="25"/>
  <c r="P187" i="25"/>
  <c r="AA127" i="25"/>
  <c r="AB127" i="25" s="1"/>
  <c r="AD127" i="25" s="1"/>
  <c r="G127" i="25" s="1"/>
  <c r="I305" i="25"/>
  <c r="AC29" i="25"/>
  <c r="AD28" i="25"/>
  <c r="G28" i="25" s="1"/>
  <c r="F216" i="25"/>
  <c r="K216" i="25"/>
  <c r="L216" i="25" s="1"/>
  <c r="F306" i="25"/>
  <c r="K306" i="25"/>
  <c r="L306" i="25" s="1"/>
  <c r="AB125" i="25"/>
  <c r="K63" i="25"/>
  <c r="K67" i="25" s="1"/>
  <c r="G67" i="25"/>
  <c r="F42" i="25" s="1"/>
  <c r="G42" i="25" s="1"/>
  <c r="F217" i="25"/>
  <c r="K217" i="25"/>
  <c r="I217" i="25" s="1"/>
  <c r="AC308" i="25"/>
  <c r="AD307" i="25"/>
  <c r="G307" i="25" s="1"/>
  <c r="AB94" i="25"/>
  <c r="AA73" i="25"/>
  <c r="D25" i="24"/>
  <c r="AA252" i="25" l="1"/>
  <c r="AB252" i="25" s="1"/>
  <c r="AD252" i="25" s="1"/>
  <c r="G252" i="25" s="1"/>
  <c r="K252" i="25" s="1"/>
  <c r="I27" i="25"/>
  <c r="I221" i="25"/>
  <c r="Z135" i="25"/>
  <c r="P314" i="25"/>
  <c r="Y283" i="25"/>
  <c r="AF283" i="25" s="1"/>
  <c r="Z283" i="25"/>
  <c r="X283" i="25"/>
  <c r="AE283" i="25" s="1"/>
  <c r="I190" i="25"/>
  <c r="AA157" i="25"/>
  <c r="AB157" i="25" s="1"/>
  <c r="AD157" i="25" s="1"/>
  <c r="G157" i="25" s="1"/>
  <c r="I96" i="25"/>
  <c r="I306" i="25"/>
  <c r="L217" i="25"/>
  <c r="B74" i="17" s="1"/>
  <c r="I216" i="25"/>
  <c r="AF156" i="25"/>
  <c r="Y135" i="25"/>
  <c r="X189" i="25"/>
  <c r="AE189" i="25" s="1"/>
  <c r="Z189" i="25"/>
  <c r="P220" i="25"/>
  <c r="Y189" i="25"/>
  <c r="AF189" i="25" s="1"/>
  <c r="K42" i="25"/>
  <c r="I42" i="25" s="1"/>
  <c r="K28" i="25"/>
  <c r="L28" i="25" s="1"/>
  <c r="F28" i="25"/>
  <c r="AB156" i="25"/>
  <c r="AD94" i="25"/>
  <c r="G94" i="25" s="1"/>
  <c r="AB73" i="25"/>
  <c r="I63" i="25"/>
  <c r="I67" i="25" s="1"/>
  <c r="AC30" i="25"/>
  <c r="AD29" i="25"/>
  <c r="G29" i="25" s="1"/>
  <c r="Y188" i="25"/>
  <c r="AF188" i="25" s="1"/>
  <c r="Z188" i="25"/>
  <c r="P219" i="25"/>
  <c r="X188" i="25"/>
  <c r="AE188" i="25" s="1"/>
  <c r="K126" i="25"/>
  <c r="I126" i="25" s="1"/>
  <c r="K127" i="25"/>
  <c r="L127" i="25" s="1"/>
  <c r="Z187" i="25"/>
  <c r="P218" i="25"/>
  <c r="X187" i="25"/>
  <c r="Y187" i="25"/>
  <c r="AA187" i="25" s="1"/>
  <c r="L63" i="25"/>
  <c r="L67" i="25" s="1"/>
  <c r="AA104" i="25"/>
  <c r="AE156" i="25"/>
  <c r="X135" i="25"/>
  <c r="F307" i="25"/>
  <c r="K307" i="25"/>
  <c r="I307" i="25" s="1"/>
  <c r="AC309" i="25"/>
  <c r="AD308" i="25"/>
  <c r="G308" i="25" s="1"/>
  <c r="AD125" i="25"/>
  <c r="G125" i="25" s="1"/>
  <c r="AB104" i="25"/>
  <c r="AA158" i="25"/>
  <c r="AB158" i="25" s="1"/>
  <c r="AD158" i="25" s="1"/>
  <c r="G158" i="25" s="1"/>
  <c r="I252" i="25" l="1"/>
  <c r="L252" i="25"/>
  <c r="AA283" i="25"/>
  <c r="AB283" i="25" s="1"/>
  <c r="AD283" i="25" s="1"/>
  <c r="G283" i="25" s="1"/>
  <c r="AA188" i="25"/>
  <c r="AB188" i="25" s="1"/>
  <c r="AD188" i="25" s="1"/>
  <c r="G188" i="25" s="1"/>
  <c r="K188" i="25" s="1"/>
  <c r="L188" i="25" s="1"/>
  <c r="Z166" i="25"/>
  <c r="Y314" i="25"/>
  <c r="AF314" i="25" s="1"/>
  <c r="X314" i="25"/>
  <c r="AE314" i="25" s="1"/>
  <c r="Z314" i="25"/>
  <c r="AA189" i="25"/>
  <c r="AB189" i="25" s="1"/>
  <c r="AD189" i="25" s="1"/>
  <c r="G189" i="25" s="1"/>
  <c r="L307" i="25"/>
  <c r="I127" i="25"/>
  <c r="L126" i="25"/>
  <c r="AE187" i="25"/>
  <c r="X166" i="25"/>
  <c r="AD156" i="25"/>
  <c r="G156" i="25" s="1"/>
  <c r="AB135" i="25"/>
  <c r="F308" i="25"/>
  <c r="K308" i="25"/>
  <c r="L308" i="25" s="1"/>
  <c r="AC310" i="25"/>
  <c r="AD310" i="25" s="1"/>
  <c r="G310" i="25" s="1"/>
  <c r="AD309" i="25"/>
  <c r="G309" i="25" s="1"/>
  <c r="P249" i="25"/>
  <c r="Y218" i="25"/>
  <c r="AA218" i="25" s="1"/>
  <c r="Z218" i="25"/>
  <c r="X218" i="25"/>
  <c r="I28" i="25"/>
  <c r="Z220" i="25"/>
  <c r="X220" i="25"/>
  <c r="AE220" i="25" s="1"/>
  <c r="Y220" i="25"/>
  <c r="AF220" i="25" s="1"/>
  <c r="P251" i="25"/>
  <c r="K125" i="25"/>
  <c r="K129" i="25" s="1"/>
  <c r="G129" i="25"/>
  <c r="F104" i="25" s="1"/>
  <c r="G104" i="25" s="1"/>
  <c r="AB187" i="25"/>
  <c r="K157" i="25"/>
  <c r="L157" i="25" s="1"/>
  <c r="F29" i="25"/>
  <c r="K29" i="25"/>
  <c r="L29" i="25" s="1"/>
  <c r="AC31" i="25"/>
  <c r="AD31" i="25" s="1"/>
  <c r="G31" i="25" s="1"/>
  <c r="AD30" i="25"/>
  <c r="G30" i="25" s="1"/>
  <c r="Y219" i="25"/>
  <c r="AF219" i="25" s="1"/>
  <c r="Z219" i="25"/>
  <c r="P250" i="25"/>
  <c r="X219" i="25"/>
  <c r="AE219" i="25" s="1"/>
  <c r="L42" i="25"/>
  <c r="B68" i="17" s="1"/>
  <c r="K94" i="25"/>
  <c r="K98" i="25" s="1"/>
  <c r="G98" i="25"/>
  <c r="F73" i="25" s="1"/>
  <c r="G73" i="25" s="1"/>
  <c r="K158" i="25"/>
  <c r="L158" i="25" s="1"/>
  <c r="AF187" i="25"/>
  <c r="Y166" i="25"/>
  <c r="AA135" i="25"/>
  <c r="I158" i="25" l="1"/>
  <c r="I125" i="25"/>
  <c r="I129" i="25" s="1"/>
  <c r="K283" i="25"/>
  <c r="L283" i="25" s="1"/>
  <c r="AA166" i="25"/>
  <c r="I94" i="25"/>
  <c r="I98" i="25" s="1"/>
  <c r="AA314" i="25"/>
  <c r="AB314" i="25" s="1"/>
  <c r="AD314" i="25" s="1"/>
  <c r="G314" i="25" s="1"/>
  <c r="K314" i="25" s="1"/>
  <c r="I314" i="25" s="1"/>
  <c r="L94" i="25"/>
  <c r="L98" i="25" s="1"/>
  <c r="Z197" i="25"/>
  <c r="I29" i="25"/>
  <c r="I188" i="25"/>
  <c r="AB218" i="25"/>
  <c r="AE218" i="25"/>
  <c r="X197" i="25"/>
  <c r="I308" i="25"/>
  <c r="I157" i="25"/>
  <c r="K73" i="25"/>
  <c r="L73" i="25" s="1"/>
  <c r="F30" i="25"/>
  <c r="K30" i="25"/>
  <c r="I30" i="25" s="1"/>
  <c r="AF218" i="25"/>
  <c r="Y197" i="25"/>
  <c r="D33" i="24"/>
  <c r="AA219" i="25"/>
  <c r="AB219" i="25" s="1"/>
  <c r="AD219" i="25" s="1"/>
  <c r="G219" i="25" s="1"/>
  <c r="L125" i="25"/>
  <c r="L129" i="25" s="1"/>
  <c r="K156" i="25"/>
  <c r="K160" i="25" s="1"/>
  <c r="G160" i="25"/>
  <c r="F135" i="25" s="1"/>
  <c r="G135" i="25" s="1"/>
  <c r="Z251" i="25"/>
  <c r="P282" i="25"/>
  <c r="Y251" i="25"/>
  <c r="AF251" i="25" s="1"/>
  <c r="X251" i="25"/>
  <c r="AE251" i="25" s="1"/>
  <c r="F31" i="25"/>
  <c r="K31" i="25"/>
  <c r="G36" i="25"/>
  <c r="F11" i="25" s="1"/>
  <c r="G11" i="25" s="1"/>
  <c r="K189" i="25"/>
  <c r="I189" i="25" s="1"/>
  <c r="P280" i="25"/>
  <c r="Y249" i="25"/>
  <c r="AA249" i="25" s="1"/>
  <c r="Z249" i="25"/>
  <c r="X249" i="25"/>
  <c r="Z250" i="25"/>
  <c r="P281" i="25"/>
  <c r="Y250" i="25"/>
  <c r="AF250" i="25" s="1"/>
  <c r="X250" i="25"/>
  <c r="AE250" i="25" s="1"/>
  <c r="AD187" i="25"/>
  <c r="G187" i="25" s="1"/>
  <c r="AB166" i="25"/>
  <c r="AA220" i="25"/>
  <c r="AB220" i="25" s="1"/>
  <c r="AD220" i="25" s="1"/>
  <c r="G220" i="25" s="1"/>
  <c r="F309" i="25"/>
  <c r="K309" i="25"/>
  <c r="L309" i="25" s="1"/>
  <c r="K104" i="25"/>
  <c r="L104" i="25" s="1"/>
  <c r="F310" i="25"/>
  <c r="K310" i="25"/>
  <c r="I310" i="25" s="1"/>
  <c r="L314" i="25" l="1"/>
  <c r="I283" i="25"/>
  <c r="AA251" i="25"/>
  <c r="AB251" i="25" s="1"/>
  <c r="AD251" i="25" s="1"/>
  <c r="G251" i="25" s="1"/>
  <c r="K251" i="25" s="1"/>
  <c r="L251" i="25" s="1"/>
  <c r="L310" i="25"/>
  <c r="I156" i="25"/>
  <c r="I160" i="25" s="1"/>
  <c r="L30" i="25"/>
  <c r="AA250" i="25"/>
  <c r="AB250" i="25" s="1"/>
  <c r="AD250" i="25" s="1"/>
  <c r="G250" i="25" s="1"/>
  <c r="K250" i="25" s="1"/>
  <c r="I250" i="25" s="1"/>
  <c r="L156" i="25"/>
  <c r="L160" i="25" s="1"/>
  <c r="L189" i="25"/>
  <c r="I309" i="25"/>
  <c r="K36" i="25"/>
  <c r="D34" i="24"/>
  <c r="AB249" i="25"/>
  <c r="D35" i="24"/>
  <c r="K135" i="25"/>
  <c r="I135" i="25" s="1"/>
  <c r="I104" i="25"/>
  <c r="P311" i="25"/>
  <c r="X280" i="25"/>
  <c r="Z280" i="25"/>
  <c r="Y280" i="25"/>
  <c r="AA280" i="25" s="1"/>
  <c r="L31" i="25"/>
  <c r="K187" i="25"/>
  <c r="K191" i="25" s="1"/>
  <c r="G191" i="25"/>
  <c r="F166" i="25" s="1"/>
  <c r="G166" i="25" s="1"/>
  <c r="AF249" i="25"/>
  <c r="Y228" i="25"/>
  <c r="P312" i="25"/>
  <c r="X281" i="25"/>
  <c r="AE281" i="25" s="1"/>
  <c r="Y281" i="25"/>
  <c r="AF281" i="25" s="1"/>
  <c r="Z281" i="25"/>
  <c r="K219" i="25"/>
  <c r="L219" i="25" s="1"/>
  <c r="AA197" i="25"/>
  <c r="I73" i="25"/>
  <c r="AD218" i="25"/>
  <c r="G218" i="25" s="1"/>
  <c r="AB197" i="25"/>
  <c r="K220" i="25"/>
  <c r="L220" i="25" s="1"/>
  <c r="AE249" i="25"/>
  <c r="X228" i="25"/>
  <c r="K11" i="25"/>
  <c r="I11" i="25" s="1"/>
  <c r="Z282" i="25"/>
  <c r="P313" i="25"/>
  <c r="X282" i="25"/>
  <c r="AE282" i="25" s="1"/>
  <c r="Y282" i="25"/>
  <c r="AF282" i="25" s="1"/>
  <c r="Z228" i="25"/>
  <c r="I31" i="25"/>
  <c r="I36" i="25" s="1"/>
  <c r="L36" i="25" l="1"/>
  <c r="AA282" i="25"/>
  <c r="AB282" i="25" s="1"/>
  <c r="AD282" i="25" s="1"/>
  <c r="G282" i="25" s="1"/>
  <c r="K282" i="25" s="1"/>
  <c r="L282" i="25" s="1"/>
  <c r="AA228" i="25"/>
  <c r="L135" i="25"/>
  <c r="I187" i="25"/>
  <c r="I191" i="25" s="1"/>
  <c r="L11" i="25"/>
  <c r="AA281" i="25"/>
  <c r="AB281" i="25" s="1"/>
  <c r="AD281" i="25" s="1"/>
  <c r="G281" i="25" s="1"/>
  <c r="K281" i="25" s="1"/>
  <c r="L281" i="25" s="1"/>
  <c r="I219" i="25"/>
  <c r="I220" i="25"/>
  <c r="L250" i="25"/>
  <c r="L187" i="25"/>
  <c r="L191" i="25" s="1"/>
  <c r="I251" i="25"/>
  <c r="K218" i="25"/>
  <c r="I218" i="25" s="1"/>
  <c r="G222" i="25"/>
  <c r="F197" i="25" s="1"/>
  <c r="G197" i="25" s="1"/>
  <c r="Z312" i="25"/>
  <c r="X312" i="25"/>
  <c r="AE312" i="25" s="1"/>
  <c r="Y312" i="25"/>
  <c r="AF312" i="25" s="1"/>
  <c r="AF280" i="25"/>
  <c r="Y259" i="25"/>
  <c r="Z259" i="25"/>
  <c r="AE280" i="25"/>
  <c r="X259" i="25"/>
  <c r="K166" i="25"/>
  <c r="L166" i="25" s="1"/>
  <c r="X311" i="25"/>
  <c r="Y311" i="25"/>
  <c r="Z311" i="25"/>
  <c r="AB280" i="25"/>
  <c r="Y313" i="25"/>
  <c r="AF313" i="25" s="1"/>
  <c r="Z313" i="25"/>
  <c r="X313" i="25"/>
  <c r="AE313" i="25" s="1"/>
  <c r="AD249" i="25"/>
  <c r="G249" i="25" s="1"/>
  <c r="AB228" i="25"/>
  <c r="B67" i="17" l="1"/>
  <c r="B77" i="17" s="1"/>
  <c r="D32" i="24"/>
  <c r="I222" i="25"/>
  <c r="AA259" i="25"/>
  <c r="I281" i="25"/>
  <c r="AA313" i="25"/>
  <c r="AB313" i="25" s="1"/>
  <c r="AD313" i="25" s="1"/>
  <c r="G313" i="25" s="1"/>
  <c r="K313" i="25" s="1"/>
  <c r="I313" i="25" s="1"/>
  <c r="I166" i="25"/>
  <c r="AA312" i="25"/>
  <c r="AB312" i="25" s="1"/>
  <c r="AD312" i="25" s="1"/>
  <c r="G312" i="25" s="1"/>
  <c r="K312" i="25" s="1"/>
  <c r="L312" i="25" s="1"/>
  <c r="Z290" i="25"/>
  <c r="K222" i="25"/>
  <c r="L218" i="25"/>
  <c r="L222" i="25" s="1"/>
  <c r="I282" i="25"/>
  <c r="D37" i="24"/>
  <c r="AF311" i="25"/>
  <c r="Y290" i="25"/>
  <c r="AE311" i="25"/>
  <c r="X290" i="25"/>
  <c r="K197" i="25"/>
  <c r="L197" i="25" s="1"/>
  <c r="K249" i="25"/>
  <c r="K253" i="25" s="1"/>
  <c r="G253" i="25"/>
  <c r="F228" i="25" s="1"/>
  <c r="G228" i="25" s="1"/>
  <c r="AA311" i="25"/>
  <c r="AD280" i="25"/>
  <c r="G280" i="25" s="1"/>
  <c r="AB259" i="25"/>
  <c r="I197" i="25" l="1"/>
  <c r="I312" i="25"/>
  <c r="L249" i="25"/>
  <c r="L253" i="25" s="1"/>
  <c r="L313" i="25"/>
  <c r="K280" i="25"/>
  <c r="K284" i="25" s="1"/>
  <c r="G284" i="25"/>
  <c r="F259" i="25" s="1"/>
  <c r="G259" i="25" s="1"/>
  <c r="AB311" i="25"/>
  <c r="AA290" i="25"/>
  <c r="K228" i="25"/>
  <c r="I228" i="25" s="1"/>
  <c r="I249" i="25"/>
  <c r="I253" i="25" s="1"/>
  <c r="D38" i="24"/>
  <c r="D36" i="24"/>
  <c r="K259" i="25" l="1"/>
  <c r="I259" i="25" s="1"/>
  <c r="I280" i="25"/>
  <c r="I284" i="25" s="1"/>
  <c r="L280" i="25"/>
  <c r="L284" i="25" s="1"/>
  <c r="L228" i="25"/>
  <c r="AD311" i="25"/>
  <c r="G311" i="25" s="1"/>
  <c r="AB290" i="25"/>
  <c r="L259" i="25" l="1"/>
  <c r="D39" i="24"/>
  <c r="D40" i="24"/>
  <c r="K311" i="25"/>
  <c r="K315" i="25" s="1"/>
  <c r="G315" i="25"/>
  <c r="F290" i="25" s="1"/>
  <c r="G290" i="25" s="1"/>
  <c r="L311" i="25" l="1"/>
  <c r="L315" i="25" s="1"/>
  <c r="K290" i="25"/>
  <c r="L290" i="25" s="1"/>
  <c r="I311" i="25"/>
  <c r="I315" i="25" s="1"/>
  <c r="D41" i="24" l="1"/>
  <c r="D42" i="24" s="1"/>
  <c r="I290" i="25"/>
  <c r="B39" i="17" l="1"/>
  <c r="B27" i="15"/>
  <c r="B28" i="15"/>
  <c r="B29" i="15"/>
  <c r="B30" i="15"/>
  <c r="B26" i="15"/>
  <c r="M12" i="15"/>
  <c r="M11" i="15"/>
  <c r="L11" i="15"/>
  <c r="K11" i="15"/>
  <c r="J11" i="15"/>
  <c r="I11" i="15"/>
  <c r="H11" i="15"/>
  <c r="G11" i="15"/>
  <c r="F11" i="15"/>
  <c r="E11" i="15"/>
  <c r="F11" i="7"/>
  <c r="G11" i="7"/>
  <c r="H11" i="7"/>
  <c r="I11" i="7"/>
  <c r="J11" i="7"/>
  <c r="K11" i="7"/>
  <c r="L11" i="7"/>
  <c r="M11" i="7"/>
  <c r="E11" i="7"/>
  <c r="C12" i="7"/>
  <c r="O43" i="7" s="1"/>
  <c r="M9" i="7" l="1"/>
  <c r="F9" i="7"/>
  <c r="I9" i="7"/>
  <c r="J9" i="7"/>
  <c r="K9" i="7"/>
  <c r="L9" i="7"/>
  <c r="E9" i="7"/>
  <c r="G9" i="7"/>
  <c r="H9" i="7"/>
  <c r="K12" i="7"/>
  <c r="G12" i="7"/>
  <c r="F12" i="7"/>
  <c r="J12" i="7"/>
  <c r="I12" i="7"/>
  <c r="H12" i="7"/>
  <c r="L12" i="7"/>
  <c r="E12" i="7"/>
  <c r="M12" i="7"/>
  <c r="E12" i="15"/>
  <c r="F12" i="15"/>
  <c r="H12" i="15"/>
  <c r="I12" i="15"/>
  <c r="G12" i="15"/>
  <c r="J12" i="15"/>
  <c r="K12" i="15"/>
  <c r="L12" i="15"/>
  <c r="O66" i="7" l="1"/>
  <c r="O67" i="7"/>
  <c r="O68" i="7"/>
  <c r="O69" i="7"/>
  <c r="O70" i="7"/>
  <c r="O71" i="7"/>
  <c r="O72" i="7"/>
  <c r="O73" i="7"/>
  <c r="O62" i="7"/>
  <c r="O63" i="7"/>
  <c r="O64" i="7"/>
  <c r="O65" i="7"/>
  <c r="O55" i="7"/>
  <c r="O54" i="7"/>
  <c r="O53" i="7"/>
  <c r="O52" i="7" s="1"/>
  <c r="O85" i="7"/>
  <c r="O50" i="7"/>
  <c r="O76" i="7"/>
  <c r="O77" i="7"/>
  <c r="O83" i="7"/>
  <c r="O88" i="7"/>
  <c r="O87" i="7" s="1"/>
  <c r="O84" i="7"/>
  <c r="O58" i="7"/>
  <c r="O59" i="7"/>
  <c r="O49" i="7"/>
  <c r="O48" i="7"/>
  <c r="O47" i="7"/>
  <c r="O46" i="7"/>
  <c r="O42" i="7"/>
  <c r="O41" i="7"/>
  <c r="O40" i="7"/>
  <c r="O28" i="7"/>
  <c r="O39" i="7"/>
  <c r="O38" i="7"/>
  <c r="O35" i="7"/>
  <c r="O34" i="7"/>
  <c r="O33" i="7"/>
  <c r="O30" i="7"/>
  <c r="O29" i="7"/>
  <c r="O23" i="7"/>
  <c r="O21" i="7"/>
  <c r="O18" i="7"/>
  <c r="O17" i="7" s="1"/>
  <c r="F5" i="19"/>
  <c r="F6" i="19"/>
  <c r="F7" i="19"/>
  <c r="F8" i="19"/>
  <c r="F9" i="19"/>
  <c r="E5" i="19"/>
  <c r="E6" i="19"/>
  <c r="E7" i="19"/>
  <c r="E8" i="19"/>
  <c r="E9" i="19"/>
  <c r="E4" i="19"/>
  <c r="D5" i="19"/>
  <c r="D6" i="19"/>
  <c r="D7" i="19"/>
  <c r="D8" i="19"/>
  <c r="D9" i="19"/>
  <c r="D4" i="19"/>
  <c r="D11" i="19" l="1"/>
  <c r="O32" i="7"/>
  <c r="O37" i="7"/>
  <c r="O20" i="7"/>
  <c r="O75" i="7"/>
  <c r="O57" i="7"/>
  <c r="O45" i="7"/>
  <c r="O61" i="7"/>
  <c r="G10" i="21"/>
  <c r="G59" i="21"/>
  <c r="F59" i="21"/>
  <c r="E59" i="21"/>
  <c r="D59" i="21"/>
  <c r="G58" i="21"/>
  <c r="F58" i="21"/>
  <c r="E58" i="21"/>
  <c r="D58" i="21"/>
  <c r="G57" i="21"/>
  <c r="F57" i="21"/>
  <c r="E57" i="21"/>
  <c r="D57" i="21"/>
  <c r="G56" i="21"/>
  <c r="F56" i="21"/>
  <c r="E56" i="21"/>
  <c r="D56" i="21"/>
  <c r="G55" i="21"/>
  <c r="F55" i="21"/>
  <c r="E55" i="21"/>
  <c r="D55" i="21"/>
  <c r="D22" i="21"/>
  <c r="C22" i="21"/>
  <c r="G19" i="21"/>
  <c r="F19" i="21"/>
  <c r="F23" i="21" s="1"/>
  <c r="E19" i="21"/>
  <c r="E18" i="21" s="1"/>
  <c r="D19" i="21"/>
  <c r="D18" i="21" s="1"/>
  <c r="C19" i="21"/>
  <c r="C18" i="21" s="1"/>
  <c r="G13" i="21"/>
  <c r="F13" i="21"/>
  <c r="E13" i="21"/>
  <c r="D13" i="21"/>
  <c r="C13" i="21"/>
  <c r="I13" i="21" s="1"/>
  <c r="G12" i="21"/>
  <c r="F12" i="21"/>
  <c r="E12" i="21"/>
  <c r="D12" i="21"/>
  <c r="C12" i="21"/>
  <c r="G11" i="21"/>
  <c r="F11" i="21"/>
  <c r="E11" i="21"/>
  <c r="D11" i="21"/>
  <c r="C11" i="21"/>
  <c r="F10" i="21"/>
  <c r="E10" i="21"/>
  <c r="D10" i="21"/>
  <c r="C10" i="21"/>
  <c r="I9" i="21"/>
  <c r="H9" i="21"/>
  <c r="G8" i="21"/>
  <c r="F8" i="21"/>
  <c r="E8" i="21"/>
  <c r="D8" i="21"/>
  <c r="C8" i="21"/>
  <c r="G49" i="21"/>
  <c r="F49" i="21"/>
  <c r="E49" i="21"/>
  <c r="D49" i="21"/>
  <c r="C49" i="21"/>
  <c r="G47" i="21"/>
  <c r="G6" i="21" s="1"/>
  <c r="G17" i="21" s="1"/>
  <c r="G27" i="21" s="1"/>
  <c r="F47" i="21"/>
  <c r="F6" i="21" s="1"/>
  <c r="F17" i="21" s="1"/>
  <c r="F27" i="21" s="1"/>
  <c r="E47" i="21"/>
  <c r="E6" i="21" s="1"/>
  <c r="E17" i="21" s="1"/>
  <c r="E27" i="21" s="1"/>
  <c r="D47" i="21"/>
  <c r="D6" i="21" s="1"/>
  <c r="D17" i="21" s="1"/>
  <c r="D27" i="21" s="1"/>
  <c r="C47" i="21"/>
  <c r="C6" i="21" s="1"/>
  <c r="C17" i="21" s="1"/>
  <c r="C27" i="21" s="1"/>
  <c r="F33" i="21" l="1"/>
  <c r="C20" i="21"/>
  <c r="D32" i="21"/>
  <c r="C23" i="21"/>
  <c r="H49" i="21"/>
  <c r="E31" i="21"/>
  <c r="D20" i="21"/>
  <c r="D30" i="21" s="1"/>
  <c r="E23" i="21"/>
  <c r="E33" i="21" s="1"/>
  <c r="C21" i="21"/>
  <c r="C31" i="21" s="1"/>
  <c r="D29" i="21"/>
  <c r="E65" i="21"/>
  <c r="E75" i="21" s="1"/>
  <c r="I11" i="21"/>
  <c r="E21" i="21"/>
  <c r="E29" i="21"/>
  <c r="C30" i="21"/>
  <c r="E22" i="21"/>
  <c r="E28" i="21"/>
  <c r="E20" i="21"/>
  <c r="E30" i="21" s="1"/>
  <c r="C29" i="21"/>
  <c r="D65" i="21"/>
  <c r="D75" i="21" s="1"/>
  <c r="F18" i="21"/>
  <c r="F20" i="21"/>
  <c r="F30" i="21" s="1"/>
  <c r="F22" i="21"/>
  <c r="F32" i="21" s="1"/>
  <c r="F29" i="21"/>
  <c r="D21" i="21"/>
  <c r="D23" i="21"/>
  <c r="D33" i="21" s="1"/>
  <c r="H11" i="21"/>
  <c r="D67" i="21" s="1"/>
  <c r="D77" i="21" s="1"/>
  <c r="H13" i="21"/>
  <c r="E67" i="21"/>
  <c r="E77" i="21" s="1"/>
  <c r="G65" i="21"/>
  <c r="G75" i="21" s="1"/>
  <c r="H19" i="21"/>
  <c r="F21" i="21"/>
  <c r="F31" i="21" s="1"/>
  <c r="F65" i="21"/>
  <c r="F75" i="21" s="1"/>
  <c r="C33" i="21"/>
  <c r="C28" i="21"/>
  <c r="I8" i="21"/>
  <c r="H8" i="21"/>
  <c r="E64" i="21" s="1"/>
  <c r="I12" i="21"/>
  <c r="H12" i="21"/>
  <c r="E68" i="21" s="1"/>
  <c r="E78" i="21" s="1"/>
  <c r="E32" i="21"/>
  <c r="D28" i="21"/>
  <c r="C32" i="21"/>
  <c r="I10" i="21"/>
  <c r="H10" i="21"/>
  <c r="E66" i="21" s="1"/>
  <c r="E76" i="21" s="1"/>
  <c r="F28" i="21"/>
  <c r="G23" i="21"/>
  <c r="G33" i="21" s="1"/>
  <c r="G20" i="21"/>
  <c r="G30" i="21" s="1"/>
  <c r="G29" i="21"/>
  <c r="G21" i="21"/>
  <c r="G22" i="21"/>
  <c r="G32" i="21" s="1"/>
  <c r="I19" i="21"/>
  <c r="G18" i="21"/>
  <c r="G28" i="21" s="1"/>
  <c r="J44" i="6" l="1"/>
  <c r="C26" i="7"/>
  <c r="C27" i="7"/>
  <c r="J45" i="6"/>
  <c r="F67" i="21"/>
  <c r="F77" i="21" s="1"/>
  <c r="H22" i="21"/>
  <c r="G67" i="21"/>
  <c r="G77" i="21" s="1"/>
  <c r="H30" i="21"/>
  <c r="H21" i="21"/>
  <c r="D68" i="21"/>
  <c r="D78" i="21" s="1"/>
  <c r="H33" i="21"/>
  <c r="F64" i="21"/>
  <c r="F74" i="21" s="1"/>
  <c r="H29" i="21"/>
  <c r="D66" i="21"/>
  <c r="D76" i="21" s="1"/>
  <c r="D31" i="21"/>
  <c r="H31" i="21" s="1"/>
  <c r="D64" i="21"/>
  <c r="I23" i="21"/>
  <c r="I18" i="21"/>
  <c r="G68" i="21"/>
  <c r="G78" i="21" s="1"/>
  <c r="E69" i="21"/>
  <c r="E74" i="21"/>
  <c r="E79" i="21" s="1"/>
  <c r="F68" i="21"/>
  <c r="F78" i="21" s="1"/>
  <c r="I20" i="21"/>
  <c r="H20" i="21"/>
  <c r="H28" i="21"/>
  <c r="G66" i="21"/>
  <c r="G76" i="21" s="1"/>
  <c r="F66" i="21"/>
  <c r="F76" i="21" s="1"/>
  <c r="H18" i="21"/>
  <c r="H23" i="21"/>
  <c r="G31" i="21"/>
  <c r="I21" i="21"/>
  <c r="H32" i="21"/>
  <c r="G64" i="21"/>
  <c r="I22" i="21"/>
  <c r="D27" i="7" l="1"/>
  <c r="N27" i="7"/>
  <c r="O27" i="7"/>
  <c r="N26" i="7"/>
  <c r="D26" i="7"/>
  <c r="O26" i="7"/>
  <c r="D69" i="21"/>
  <c r="F69" i="21"/>
  <c r="D74" i="21"/>
  <c r="D79" i="21" s="1"/>
  <c r="G69" i="21"/>
  <c r="G74" i="21"/>
  <c r="G79" i="21" s="1"/>
  <c r="E85" i="21"/>
  <c r="D87" i="21"/>
  <c r="E87" i="21"/>
  <c r="D85" i="21"/>
  <c r="G88" i="21"/>
  <c r="G86" i="21"/>
  <c r="G84" i="21"/>
  <c r="D88" i="21"/>
  <c r="E88" i="21"/>
  <c r="D86" i="21"/>
  <c r="E84" i="21"/>
  <c r="F88" i="21"/>
  <c r="F84" i="21"/>
  <c r="G85" i="21"/>
  <c r="F85" i="21"/>
  <c r="D84" i="21"/>
  <c r="E86" i="21"/>
  <c r="F86" i="21"/>
  <c r="G87" i="21"/>
  <c r="F87" i="21"/>
  <c r="F79" i="21"/>
  <c r="N25" i="7" l="1"/>
  <c r="N4" i="7" s="1"/>
  <c r="D25" i="7"/>
  <c r="P10" i="7" s="1"/>
  <c r="O25" i="7"/>
  <c r="O4" i="7" s="1"/>
  <c r="F11" i="16" s="1"/>
  <c r="F12" i="16" s="1"/>
  <c r="F10" i="16" s="1"/>
  <c r="F13" i="16" s="1"/>
  <c r="E89" i="21"/>
  <c r="F89" i="21"/>
  <c r="D89" i="21"/>
  <c r="G89" i="21"/>
  <c r="P12" i="7" l="1"/>
  <c r="P3" i="7"/>
  <c r="P6" i="7"/>
  <c r="B9" i="18"/>
  <c r="AO5" i="18" s="1"/>
  <c r="M4" i="18"/>
  <c r="N4" i="18" s="1"/>
  <c r="O4" i="18" s="1"/>
  <c r="P4" i="18" s="1"/>
  <c r="Q4" i="18" s="1"/>
  <c r="R4" i="18" s="1"/>
  <c r="S4" i="18" s="1"/>
  <c r="T4" i="18" s="1"/>
  <c r="U4" i="18" s="1"/>
  <c r="V4" i="18" s="1"/>
  <c r="W4" i="18" s="1"/>
  <c r="X4" i="18" s="1"/>
  <c r="Y4" i="18" s="1"/>
  <c r="Z4" i="18" s="1"/>
  <c r="AA4" i="18" s="1"/>
  <c r="AB4" i="18" s="1"/>
  <c r="AC4" i="18" s="1"/>
  <c r="AD4" i="18" s="1"/>
  <c r="AE4" i="18" s="1"/>
  <c r="AF4" i="18" s="1"/>
  <c r="AG4" i="18" s="1"/>
  <c r="AH4" i="18" s="1"/>
  <c r="I6" i="18"/>
  <c r="H6" i="18"/>
  <c r="AU5" i="18"/>
  <c r="AT5" i="18"/>
  <c r="AS5" i="18"/>
  <c r="AR5" i="18"/>
  <c r="AQ5" i="18"/>
  <c r="AP5" i="18"/>
  <c r="AM5" i="18"/>
  <c r="AL5" i="18"/>
  <c r="AK5" i="18"/>
  <c r="AJ5" i="18"/>
  <c r="AI5" i="18"/>
  <c r="AH5" i="18"/>
  <c r="AE5" i="18"/>
  <c r="AD5" i="18"/>
  <c r="AC5" i="18"/>
  <c r="AB5" i="18"/>
  <c r="AA5" i="18"/>
  <c r="Z5" i="18"/>
  <c r="Z6" i="18" s="1"/>
  <c r="W5" i="18"/>
  <c r="V5" i="18"/>
  <c r="U5" i="18"/>
  <c r="T5" i="18"/>
  <c r="S5" i="18"/>
  <c r="R5" i="18"/>
  <c r="O5" i="18"/>
  <c r="N5" i="18"/>
  <c r="M5" i="18"/>
  <c r="L5" i="18"/>
  <c r="K5" i="18"/>
  <c r="J5" i="18"/>
  <c r="J6" i="18" s="1"/>
  <c r="I5" i="18"/>
  <c r="H5" i="18"/>
  <c r="G5" i="18"/>
  <c r="G6" i="18" s="1"/>
  <c r="L4" i="18"/>
  <c r="I4" i="18"/>
  <c r="H4" i="18"/>
  <c r="G4" i="18"/>
  <c r="L3" i="18"/>
  <c r="K3" i="18"/>
  <c r="K4" i="18" s="1"/>
  <c r="J3" i="18"/>
  <c r="J4" i="18" s="1"/>
  <c r="I3" i="18"/>
  <c r="H3" i="18"/>
  <c r="G3" i="18"/>
  <c r="B3" i="18"/>
  <c r="J80" i="15"/>
  <c r="K80" i="15"/>
  <c r="M80" i="15"/>
  <c r="J81" i="15"/>
  <c r="K81" i="15"/>
  <c r="M81" i="15"/>
  <c r="J82" i="15"/>
  <c r="K82" i="15"/>
  <c r="M82" i="15"/>
  <c r="J83" i="15"/>
  <c r="K83" i="15"/>
  <c r="M83" i="15"/>
  <c r="J84" i="15"/>
  <c r="K84" i="15"/>
  <c r="M84" i="15"/>
  <c r="J85" i="15"/>
  <c r="K85" i="15"/>
  <c r="M85" i="15"/>
  <c r="J86" i="15"/>
  <c r="K86" i="15"/>
  <c r="M86" i="15"/>
  <c r="J87" i="15"/>
  <c r="K87" i="15"/>
  <c r="M87" i="15"/>
  <c r="J88" i="15"/>
  <c r="K88" i="15"/>
  <c r="M88" i="15"/>
  <c r="J89" i="15"/>
  <c r="K89" i="15"/>
  <c r="M89" i="15"/>
  <c r="J90" i="15"/>
  <c r="K90" i="15"/>
  <c r="M90" i="15"/>
  <c r="J91" i="15"/>
  <c r="K91" i="15"/>
  <c r="M91" i="15"/>
  <c r="J92" i="15"/>
  <c r="K92" i="15"/>
  <c r="M92" i="15"/>
  <c r="J93" i="15"/>
  <c r="K93" i="15"/>
  <c r="M93" i="15"/>
  <c r="F80" i="15"/>
  <c r="L80" i="15" s="1"/>
  <c r="G80" i="15"/>
  <c r="H80" i="15"/>
  <c r="F81" i="15"/>
  <c r="L81" i="15" s="1"/>
  <c r="G81" i="15"/>
  <c r="H81" i="15"/>
  <c r="F82" i="15"/>
  <c r="L82" i="15" s="1"/>
  <c r="G82" i="15"/>
  <c r="H82" i="15"/>
  <c r="F83" i="15"/>
  <c r="L83" i="15" s="1"/>
  <c r="G83" i="15"/>
  <c r="H83" i="15"/>
  <c r="F84" i="15"/>
  <c r="L84" i="15" s="1"/>
  <c r="G84" i="15"/>
  <c r="H84" i="15"/>
  <c r="F85" i="15"/>
  <c r="L85" i="15" s="1"/>
  <c r="G85" i="15"/>
  <c r="H85" i="15"/>
  <c r="F86" i="15"/>
  <c r="L86" i="15" s="1"/>
  <c r="G86" i="15"/>
  <c r="H86" i="15"/>
  <c r="F87" i="15"/>
  <c r="L87" i="15" s="1"/>
  <c r="G87" i="15"/>
  <c r="H87" i="15"/>
  <c r="F88" i="15"/>
  <c r="L88" i="15" s="1"/>
  <c r="G88" i="15"/>
  <c r="H88" i="15"/>
  <c r="F89" i="15"/>
  <c r="L89" i="15" s="1"/>
  <c r="G89" i="15"/>
  <c r="H89" i="15"/>
  <c r="F90" i="15"/>
  <c r="L90" i="15" s="1"/>
  <c r="G90" i="15"/>
  <c r="H90" i="15"/>
  <c r="F91" i="15"/>
  <c r="L91" i="15" s="1"/>
  <c r="G91" i="15"/>
  <c r="H91" i="15"/>
  <c r="F92" i="15"/>
  <c r="L92" i="15" s="1"/>
  <c r="G92" i="15"/>
  <c r="H92" i="15"/>
  <c r="F93" i="15"/>
  <c r="L93" i="15" s="1"/>
  <c r="G93" i="15"/>
  <c r="H93" i="15"/>
  <c r="N31" i="15"/>
  <c r="O31" i="15" s="1"/>
  <c r="D27" i="15"/>
  <c r="D28" i="15"/>
  <c r="D29" i="15"/>
  <c r="D30" i="15"/>
  <c r="N26" i="15"/>
  <c r="D26" i="15"/>
  <c r="D25" i="15" s="1"/>
  <c r="N30" i="15"/>
  <c r="N29" i="15"/>
  <c r="N28" i="15"/>
  <c r="N27" i="15"/>
  <c r="AI4" i="18" l="1"/>
  <c r="AJ4" i="18" s="1"/>
  <c r="AK4" i="18" s="1"/>
  <c r="AL4" i="18" s="1"/>
  <c r="AM4" i="18" s="1"/>
  <c r="AN4" i="18" s="1"/>
  <c r="AO4" i="18" s="1"/>
  <c r="AH6" i="18"/>
  <c r="R6" i="18"/>
  <c r="AI6" i="18"/>
  <c r="M6" i="18"/>
  <c r="W6" i="18"/>
  <c r="N6" i="18"/>
  <c r="AJ6" i="18"/>
  <c r="O6" i="18"/>
  <c r="AA6" i="18"/>
  <c r="AK6" i="18"/>
  <c r="AL6" i="18"/>
  <c r="AC6" i="18"/>
  <c r="AM6" i="18"/>
  <c r="K6" i="18"/>
  <c r="U6" i="18"/>
  <c r="AE6" i="18"/>
  <c r="AB6" i="18"/>
  <c r="S6" i="18"/>
  <c r="G7" i="18"/>
  <c r="T6" i="18"/>
  <c r="AD6" i="18"/>
  <c r="L6" i="18"/>
  <c r="V6" i="18"/>
  <c r="P5" i="18"/>
  <c r="P6" i="18" s="1"/>
  <c r="X5" i="18"/>
  <c r="X6" i="18" s="1"/>
  <c r="AF5" i="18"/>
  <c r="AF6" i="18" s="1"/>
  <c r="AN5" i="18"/>
  <c r="AN6" i="18" s="1"/>
  <c r="AV5" i="18"/>
  <c r="Q5" i="18"/>
  <c r="Q6" i="18" s="1"/>
  <c r="Y5" i="18"/>
  <c r="Y6" i="18" s="1"/>
  <c r="AG5" i="18"/>
  <c r="AG6" i="18" s="1"/>
  <c r="N25" i="15"/>
  <c r="G8" i="18" l="1"/>
  <c r="H7" i="18"/>
  <c r="AP4" i="18"/>
  <c r="AO6" i="18"/>
  <c r="E23" i="15"/>
  <c r="C23" i="15"/>
  <c r="B23" i="15"/>
  <c r="E22" i="15"/>
  <c r="C22" i="15"/>
  <c r="B22" i="15"/>
  <c r="E21" i="15"/>
  <c r="C21" i="15"/>
  <c r="B21" i="15"/>
  <c r="A20" i="15"/>
  <c r="E18" i="15"/>
  <c r="C18" i="15"/>
  <c r="B18" i="15"/>
  <c r="A18" i="15"/>
  <c r="A17" i="15"/>
  <c r="E55" i="17"/>
  <c r="F55" i="17"/>
  <c r="G55" i="17"/>
  <c r="H55" i="17"/>
  <c r="I55" i="17"/>
  <c r="J55" i="17"/>
  <c r="K55" i="17"/>
  <c r="L55" i="17"/>
  <c r="M55" i="17"/>
  <c r="N55" i="17"/>
  <c r="O55" i="17"/>
  <c r="F56" i="17"/>
  <c r="G56" i="17"/>
  <c r="H56" i="17"/>
  <c r="I56" i="17"/>
  <c r="J56" i="17"/>
  <c r="K56" i="17"/>
  <c r="L56" i="17"/>
  <c r="M56" i="17"/>
  <c r="N56" i="17"/>
  <c r="O56" i="17"/>
  <c r="F57" i="17"/>
  <c r="G57" i="17"/>
  <c r="H57" i="17"/>
  <c r="I57" i="17"/>
  <c r="J57" i="17"/>
  <c r="K57" i="17"/>
  <c r="L57" i="17"/>
  <c r="M57" i="17"/>
  <c r="N57" i="17"/>
  <c r="O57" i="17"/>
  <c r="G58" i="17"/>
  <c r="H58" i="17"/>
  <c r="I58" i="17"/>
  <c r="J58" i="17"/>
  <c r="K58" i="17"/>
  <c r="L58" i="17"/>
  <c r="M58" i="17"/>
  <c r="N58" i="17"/>
  <c r="O58" i="17"/>
  <c r="J59" i="17"/>
  <c r="K59" i="17"/>
  <c r="L59" i="17"/>
  <c r="M59" i="17"/>
  <c r="N59" i="17"/>
  <c r="O59" i="17"/>
  <c r="D60" i="17"/>
  <c r="E60" i="17"/>
  <c r="G60" i="17"/>
  <c r="K60" i="17"/>
  <c r="L60" i="17"/>
  <c r="M60" i="17"/>
  <c r="N60" i="17"/>
  <c r="O60" i="17"/>
  <c r="D61" i="17"/>
  <c r="E61" i="17"/>
  <c r="F61" i="17"/>
  <c r="G61" i="17"/>
  <c r="I61" i="17"/>
  <c r="K61" i="17"/>
  <c r="L61" i="17"/>
  <c r="M61" i="17"/>
  <c r="N61" i="17"/>
  <c r="O61" i="17"/>
  <c r="F49" i="17"/>
  <c r="G49" i="17"/>
  <c r="H49" i="17"/>
  <c r="I49" i="17"/>
  <c r="J49" i="17"/>
  <c r="K49" i="17"/>
  <c r="L49" i="17"/>
  <c r="M49" i="17"/>
  <c r="N49" i="17"/>
  <c r="O49" i="17"/>
  <c r="A49" i="17"/>
  <c r="O18" i="15" l="1"/>
  <c r="N18" i="15"/>
  <c r="I7" i="18"/>
  <c r="H8" i="18"/>
  <c r="AQ4" i="18"/>
  <c r="AP6" i="18"/>
  <c r="D18" i="15"/>
  <c r="D17" i="15" s="1"/>
  <c r="D21" i="15"/>
  <c r="D23" i="15"/>
  <c r="K62" i="17"/>
  <c r="N62" i="17"/>
  <c r="O62" i="17"/>
  <c r="M62" i="17"/>
  <c r="L62" i="17"/>
  <c r="D22" i="15"/>
  <c r="D20" i="15" l="1"/>
  <c r="AR4" i="18"/>
  <c r="AQ6" i="18"/>
  <c r="J7" i="18"/>
  <c r="I8" i="18"/>
  <c r="M79" i="15"/>
  <c r="K79" i="15"/>
  <c r="J79" i="15"/>
  <c r="H79" i="15"/>
  <c r="G79" i="15"/>
  <c r="F79" i="15"/>
  <c r="L79" i="15" s="1"/>
  <c r="M73" i="15"/>
  <c r="M74" i="15" s="1"/>
  <c r="L73" i="15"/>
  <c r="L74" i="15" s="1"/>
  <c r="K73" i="15"/>
  <c r="K74" i="15" s="1"/>
  <c r="J73" i="15"/>
  <c r="J74" i="15" s="1"/>
  <c r="H73" i="15"/>
  <c r="H74" i="15" s="1"/>
  <c r="G73" i="15"/>
  <c r="G74" i="15" s="1"/>
  <c r="F73" i="15"/>
  <c r="F74" i="15" s="1"/>
  <c r="D46" i="15"/>
  <c r="D47" i="15"/>
  <c r="D48" i="15"/>
  <c r="D40" i="15"/>
  <c r="D41" i="15"/>
  <c r="D42" i="15"/>
  <c r="D43" i="15"/>
  <c r="D44" i="15"/>
  <c r="D45" i="15"/>
  <c r="N79" i="15" l="1"/>
  <c r="AS4" i="18"/>
  <c r="AR6" i="18"/>
  <c r="J8" i="18"/>
  <c r="K7" i="18"/>
  <c r="N82" i="15"/>
  <c r="N88" i="15"/>
  <c r="N90" i="15"/>
  <c r="N81" i="15"/>
  <c r="N92" i="15"/>
  <c r="N91" i="15"/>
  <c r="N93" i="15"/>
  <c r="N80" i="15"/>
  <c r="N83" i="15"/>
  <c r="N86" i="15"/>
  <c r="N85" i="15"/>
  <c r="N89" i="15"/>
  <c r="N87" i="15"/>
  <c r="N84" i="15"/>
  <c r="L7" i="18" l="1"/>
  <c r="K8" i="18"/>
  <c r="AT4" i="18"/>
  <c r="AS6" i="18"/>
  <c r="N78" i="15"/>
  <c r="N74" i="15"/>
  <c r="M13" i="15"/>
  <c r="L13" i="15"/>
  <c r="K13" i="15"/>
  <c r="J13" i="15"/>
  <c r="I13" i="15"/>
  <c r="H13" i="15"/>
  <c r="G13" i="15"/>
  <c r="F13" i="15"/>
  <c r="AU4" i="18" l="1"/>
  <c r="AT6" i="18"/>
  <c r="L8" i="18"/>
  <c r="M7" i="18"/>
  <c r="N22" i="15"/>
  <c r="N23" i="15"/>
  <c r="N17" i="15"/>
  <c r="N21" i="15"/>
  <c r="E13" i="15"/>
  <c r="N42" i="15"/>
  <c r="N44" i="15"/>
  <c r="N46" i="15"/>
  <c r="N45" i="15"/>
  <c r="N40" i="15"/>
  <c r="N41" i="15"/>
  <c r="N48" i="15"/>
  <c r="N43" i="15"/>
  <c r="N47" i="15"/>
  <c r="M8" i="18" l="1"/>
  <c r="N7" i="18"/>
  <c r="AV4" i="18"/>
  <c r="AV6" i="18" s="1"/>
  <c r="AU6" i="18"/>
  <c r="O80" i="15"/>
  <c r="O82" i="15"/>
  <c r="O81" i="15"/>
  <c r="O83" i="15"/>
  <c r="O90" i="15"/>
  <c r="O91" i="15"/>
  <c r="O93" i="15"/>
  <c r="O87" i="15"/>
  <c r="O85" i="15"/>
  <c r="O88" i="15"/>
  <c r="O92" i="15"/>
  <c r="O84" i="15"/>
  <c r="O86" i="15"/>
  <c r="O89" i="15"/>
  <c r="O26" i="15"/>
  <c r="O79" i="15"/>
  <c r="N20" i="15"/>
  <c r="O44" i="15" l="1"/>
  <c r="B14" i="18"/>
  <c r="B13" i="18"/>
  <c r="N8" i="18"/>
  <c r="O7" i="18"/>
  <c r="O28" i="15"/>
  <c r="O29" i="15"/>
  <c r="O30" i="15"/>
  <c r="O27" i="15"/>
  <c r="O47" i="15"/>
  <c r="O43" i="15"/>
  <c r="O40" i="15"/>
  <c r="O41" i="15"/>
  <c r="O46" i="15"/>
  <c r="O22" i="15"/>
  <c r="O42" i="15"/>
  <c r="O48" i="15"/>
  <c r="O23" i="15"/>
  <c r="O21" i="15"/>
  <c r="O45" i="15"/>
  <c r="O17" i="15"/>
  <c r="O78" i="15"/>
  <c r="O74" i="15"/>
  <c r="D50" i="15"/>
  <c r="P11" i="15" s="1"/>
  <c r="D39" i="15"/>
  <c r="D38" i="15"/>
  <c r="D37" i="15"/>
  <c r="D36" i="15"/>
  <c r="D35" i="15"/>
  <c r="D34" i="15"/>
  <c r="D33" i="15" s="1"/>
  <c r="P10" i="15" s="1"/>
  <c r="M15" i="15"/>
  <c r="L15" i="15"/>
  <c r="K15" i="15"/>
  <c r="J15" i="15"/>
  <c r="I15" i="15"/>
  <c r="H15" i="15"/>
  <c r="G15" i="15"/>
  <c r="C54" i="14"/>
  <c r="C53" i="14"/>
  <c r="C52" i="14"/>
  <c r="C51" i="14"/>
  <c r="C49" i="14"/>
  <c r="O25" i="15" l="1"/>
  <c r="O8" i="18"/>
  <c r="P7" i="18"/>
  <c r="O20" i="15"/>
  <c r="G13" i="7"/>
  <c r="P8" i="18" l="1"/>
  <c r="Q7" i="18"/>
  <c r="Q8" i="18" l="1"/>
  <c r="R7" i="18"/>
  <c r="R8" i="18" l="1"/>
  <c r="S7" i="18"/>
  <c r="A21" i="15" l="1"/>
  <c r="T7" i="18"/>
  <c r="S8" i="18"/>
  <c r="A22" i="15" l="1"/>
  <c r="T8" i="18"/>
  <c r="U7" i="18"/>
  <c r="A23" i="15" l="1"/>
  <c r="U8" i="18"/>
  <c r="V7" i="18"/>
  <c r="V8" i="18" l="1"/>
  <c r="W7" i="18"/>
  <c r="W8" i="18" l="1"/>
  <c r="X7" i="18"/>
  <c r="Y7" i="18" l="1"/>
  <c r="X8" i="18"/>
  <c r="Z7" i="18" l="1"/>
  <c r="Y8" i="18"/>
  <c r="Z8" i="18" l="1"/>
  <c r="AA7" i="18"/>
  <c r="AB7" i="18" l="1"/>
  <c r="H13" i="7"/>
  <c r="AC7" i="18" l="1"/>
  <c r="AB8" i="18"/>
  <c r="AA8" i="18"/>
  <c r="I13" i="7"/>
  <c r="AD7" i="18" l="1"/>
  <c r="J13" i="7"/>
  <c r="AE7" i="18" l="1"/>
  <c r="AC8" i="18"/>
  <c r="K13" i="7"/>
  <c r="AF7" i="18" l="1"/>
  <c r="AD8" i="18"/>
  <c r="L13" i="7"/>
  <c r="AG7" i="18" l="1"/>
  <c r="AE8" i="18"/>
  <c r="M13" i="7"/>
  <c r="AH7" i="18" l="1"/>
  <c r="AF8" i="18"/>
  <c r="F15" i="16"/>
  <c r="H15" i="16" s="1"/>
  <c r="F21" i="16"/>
  <c r="N34" i="15"/>
  <c r="N37" i="15"/>
  <c r="N35" i="15"/>
  <c r="N36" i="15"/>
  <c r="N38" i="15"/>
  <c r="N39" i="15"/>
  <c r="E13" i="7"/>
  <c r="F13" i="7"/>
  <c r="AI7" i="18" l="1"/>
  <c r="AG8" i="18"/>
  <c r="N33" i="15"/>
  <c r="P12" i="15" s="1"/>
  <c r="N50" i="15"/>
  <c r="P13" i="15" s="1"/>
  <c r="O38" i="15"/>
  <c r="O37" i="15"/>
  <c r="O36" i="15"/>
  <c r="O35" i="15"/>
  <c r="O34" i="15"/>
  <c r="O39" i="15"/>
  <c r="AJ7" i="18" l="1"/>
  <c r="AI8" i="18"/>
  <c r="AH8" i="18"/>
  <c r="N4" i="15"/>
  <c r="O33" i="15"/>
  <c r="O50" i="15"/>
  <c r="AK7" i="18" l="1"/>
  <c r="O4" i="15"/>
  <c r="P6" i="15" l="1"/>
  <c r="P3" i="15"/>
  <c r="AL7" i="18"/>
  <c r="AJ8" i="18"/>
  <c r="H31" i="16"/>
  <c r="H30" i="16"/>
  <c r="F14" i="16"/>
  <c r="H14" i="16" s="1"/>
  <c r="H21" i="16"/>
  <c r="H33" i="16"/>
  <c r="F35" i="16"/>
  <c r="H28" i="16"/>
  <c r="C35" i="17" l="1"/>
  <c r="C58" i="17" s="1"/>
  <c r="C53" i="17"/>
  <c r="C31" i="17"/>
  <c r="C54" i="17" s="1"/>
  <c r="C32" i="17"/>
  <c r="C55" i="17" s="1"/>
  <c r="C27" i="17"/>
  <c r="C28" i="17"/>
  <c r="C33" i="17"/>
  <c r="C56" i="17" s="1"/>
  <c r="C34" i="17"/>
  <c r="C57" i="17" s="1"/>
  <c r="C36" i="17"/>
  <c r="C59" i="17" s="1"/>
  <c r="C38" i="17"/>
  <c r="C37" i="17"/>
  <c r="C60" i="17" s="1"/>
  <c r="AM7" i="18"/>
  <c r="AL8" i="18" s="1"/>
  <c r="AK8" i="18"/>
  <c r="G35" i="16"/>
  <c r="G31" i="16"/>
  <c r="G33" i="16"/>
  <c r="G28" i="16"/>
  <c r="G21" i="16"/>
  <c r="G14" i="16"/>
  <c r="G30" i="16"/>
  <c r="F20" i="16"/>
  <c r="H20" i="16" s="1"/>
  <c r="G15" i="16"/>
  <c r="AM8" i="18" l="1"/>
  <c r="AN7" i="18"/>
  <c r="F27" i="16"/>
  <c r="G20" i="16"/>
  <c r="AN8" i="18" l="1"/>
  <c r="AO7" i="18"/>
  <c r="G27" i="16"/>
  <c r="H27" i="16"/>
  <c r="F29" i="16"/>
  <c r="AP7" i="18" l="1"/>
  <c r="AO8" i="18"/>
  <c r="H29" i="16"/>
  <c r="G29" i="16"/>
  <c r="F32" i="16"/>
  <c r="AQ7" i="18" l="1"/>
  <c r="AP8" i="18" s="1"/>
  <c r="F34" i="16"/>
  <c r="H32" i="16"/>
  <c r="G32" i="16"/>
  <c r="AR7" i="18" l="1"/>
  <c r="AQ8" i="18" s="1"/>
  <c r="F36" i="16"/>
  <c r="H34" i="16"/>
  <c r="G34" i="16"/>
  <c r="AS7" i="18" l="1"/>
  <c r="H36" i="16"/>
  <c r="G36" i="16"/>
  <c r="AS8" i="18" l="1"/>
  <c r="AT7" i="18"/>
  <c r="AR8" i="18"/>
  <c r="AU7" i="18" l="1"/>
  <c r="AV7" i="18" l="1"/>
  <c r="B15" i="18" s="1"/>
  <c r="AT8" i="18"/>
  <c r="AU8" i="18" l="1"/>
  <c r="C61" i="17" l="1"/>
  <c r="C26" i="17"/>
  <c r="D55" i="17"/>
  <c r="D58" i="17"/>
  <c r="E57" i="17" l="1"/>
  <c r="D57" i="17"/>
  <c r="H60" i="17"/>
  <c r="F60" i="17"/>
  <c r="J61" i="17"/>
  <c r="H61" i="17"/>
  <c r="E58" i="17"/>
  <c r="F58" i="17"/>
  <c r="I60" i="17"/>
  <c r="J60" i="17"/>
  <c r="C49" i="17"/>
  <c r="C39" i="17"/>
  <c r="D56" i="17"/>
  <c r="E56" i="17"/>
  <c r="D59" i="17"/>
  <c r="G59" i="17"/>
  <c r="G62" i="17" s="1"/>
  <c r="E59" i="17"/>
  <c r="I59" i="17"/>
  <c r="H59" i="17"/>
  <c r="F59" i="17"/>
  <c r="H62" i="17" l="1"/>
  <c r="J62" i="17"/>
  <c r="F62" i="17"/>
  <c r="D49" i="17"/>
  <c r="D62" i="17" s="1"/>
  <c r="E49" i="17"/>
  <c r="E62" i="17" s="1"/>
  <c r="I62"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Edvar Spadette Junior</author>
  </authors>
  <commentList>
    <comment ref="O7" authorId="0" shapeId="0" xr:uid="{5107D65D-B3A5-48AE-9454-30CA9CB7D516}">
      <text>
        <r>
          <rPr>
            <b/>
            <sz val="9"/>
            <color indexed="81"/>
            <rFont val="Segoe UI"/>
            <family val="2"/>
          </rPr>
          <t>Edvar Spadette Junior:</t>
        </r>
        <r>
          <rPr>
            <sz val="9"/>
            <color indexed="81"/>
            <rFont val="Segoe UI"/>
            <family val="2"/>
          </rPr>
          <t xml:space="preserve">
</t>
        </r>
        <r>
          <rPr>
            <b/>
            <u/>
            <sz val="9"/>
            <color indexed="81"/>
            <rFont val="Segoe UI"/>
            <family val="2"/>
          </rPr>
          <t>Valor mínimo de margem de contribuição da BU: 45%%</t>
        </r>
        <r>
          <rPr>
            <sz val="9"/>
            <color indexed="81"/>
            <rFont val="Segoe UI"/>
            <family val="2"/>
          </rPr>
          <t xml:space="preserve">
Para novas vendas sempre tentar conseguir com o target com o cliente para vendas serem realizadas relativas aos ganhos aferidos e não ao custo.</t>
        </r>
      </text>
    </comment>
    <comment ref="A8" authorId="0" shapeId="0" xr:uid="{D398FD8C-1E96-476B-A84F-8A89C398106D}">
      <text>
        <r>
          <rPr>
            <b/>
            <sz val="9"/>
            <color indexed="81"/>
            <rFont val="Segoe UI"/>
            <family val="2"/>
          </rPr>
          <t>Edvar Spadette Junior:</t>
        </r>
        <r>
          <rPr>
            <sz val="9"/>
            <color indexed="81"/>
            <rFont val="Segoe UI"/>
            <family val="2"/>
          </rPr>
          <t xml:space="preserve">
Vem da planilha custo real equipe</t>
        </r>
      </text>
    </comment>
    <comment ref="E8" authorId="0" shapeId="0" xr:uid="{A3821FFA-8ABC-4043-A32F-7591B930B916}">
      <text>
        <r>
          <rPr>
            <b/>
            <sz val="9"/>
            <color indexed="81"/>
            <rFont val="Segoe UI"/>
            <family val="2"/>
          </rPr>
          <t>Edvar Spadette Junior:</t>
        </r>
        <r>
          <rPr>
            <sz val="9"/>
            <color indexed="81"/>
            <rFont val="Segoe UI"/>
            <family val="2"/>
          </rPr>
          <t xml:space="preserve">
Utilizado em projetos completos de automação que teremos hh de desenvolvimen to e campo</t>
        </r>
      </text>
    </comment>
    <comment ref="F8" authorId="0" shapeId="0" xr:uid="{012D64BC-5DF0-4E74-91C2-50740B783AC6}">
      <text>
        <r>
          <rPr>
            <b/>
            <sz val="9"/>
            <color indexed="81"/>
            <rFont val="Segoe UI"/>
            <family val="2"/>
          </rPr>
          <t>Edvar Spadette Junior:</t>
        </r>
        <r>
          <rPr>
            <sz val="9"/>
            <color indexed="81"/>
            <rFont val="Segoe UI"/>
            <family val="2"/>
          </rPr>
          <t xml:space="preserve">
Utilizado em projetos completos de automação que teremos hh de desenvolvimen to e campo</t>
        </r>
      </text>
    </comment>
    <comment ref="C15" authorId="0" shapeId="0" xr:uid="{D064F1FA-E63A-4F98-A10F-F3FAA96978CF}">
      <text>
        <r>
          <rPr>
            <b/>
            <sz val="9"/>
            <color indexed="81"/>
            <rFont val="Segoe UI"/>
            <family val="2"/>
          </rPr>
          <t>Edvar Spadette Junior:</t>
        </r>
        <r>
          <rPr>
            <sz val="9"/>
            <color indexed="81"/>
            <rFont val="Segoe UI"/>
            <family val="2"/>
          </rPr>
          <t xml:space="preserve">
Validar a quantidade de dias que já vem da matriz de escopo.</t>
        </r>
      </text>
    </comment>
    <comment ref="E15" authorId="0" shapeId="0" xr:uid="{C96B41DF-3DF7-4EED-B841-ED71D8DB4637}">
      <text>
        <r>
          <rPr>
            <b/>
            <sz val="9"/>
            <color indexed="81"/>
            <rFont val="Segoe UI"/>
            <family val="2"/>
          </rPr>
          <t>Edvar Spadette Junior:</t>
        </r>
        <r>
          <rPr>
            <sz val="9"/>
            <color indexed="81"/>
            <rFont val="Segoe UI"/>
            <family val="2"/>
          </rPr>
          <t xml:space="preserve">
Utilizado em projetos completos de automação que teremos hh de desenvolvimen to e campo</t>
        </r>
      </text>
    </comment>
    <comment ref="F15" authorId="0" shapeId="0" xr:uid="{5E6E39B6-9A55-46F3-82F5-E1A3EDF442BE}">
      <text>
        <r>
          <rPr>
            <b/>
            <sz val="9"/>
            <color indexed="81"/>
            <rFont val="Segoe UI"/>
            <family val="2"/>
          </rPr>
          <t>Edvar Spadette Junior:</t>
        </r>
        <r>
          <rPr>
            <sz val="9"/>
            <color indexed="81"/>
            <rFont val="Segoe UI"/>
            <family val="2"/>
          </rPr>
          <t xml:space="preserve">
Utilizado em projetos completos de automação que teremos hh de desenvolvimen to e campo</t>
        </r>
      </text>
    </comment>
    <comment ref="G15" authorId="0" shapeId="0" xr:uid="{7803F7CC-E0CC-4342-93B8-D906F36B80EF}">
      <text>
        <r>
          <rPr>
            <b/>
            <sz val="9"/>
            <color indexed="81"/>
            <rFont val="Segoe UI"/>
            <family val="2"/>
          </rPr>
          <t>Edvar Spadette Junior:</t>
        </r>
        <r>
          <rPr>
            <sz val="9"/>
            <color indexed="81"/>
            <rFont val="Segoe UI"/>
            <family val="2"/>
          </rPr>
          <t xml:space="preserve">
Preencher com FTE (quantidade de recursos)</t>
        </r>
      </text>
    </comment>
    <comment ref="N90" authorId="0" shapeId="0" xr:uid="{EEFADBBF-6B00-4487-A594-3B7014093608}">
      <text>
        <r>
          <rPr>
            <b/>
            <sz val="9"/>
            <color indexed="81"/>
            <rFont val="Segoe UI"/>
            <family val="2"/>
          </rPr>
          <t>Edvar Spadette Junior:</t>
        </r>
        <r>
          <rPr>
            <sz val="9"/>
            <color indexed="81"/>
            <rFont val="Segoe UI"/>
            <family val="2"/>
          </rPr>
          <t xml:space="preserve">
Usar quando vernder por nota de débito</t>
        </r>
      </text>
    </comment>
    <comment ref="O90" authorId="0" shapeId="0" xr:uid="{1DB0225B-0C9B-4ED9-8117-3E753D208479}">
      <text>
        <r>
          <rPr>
            <b/>
            <sz val="9"/>
            <color indexed="81"/>
            <rFont val="Segoe UI"/>
            <family val="2"/>
          </rPr>
          <t>Edvar Spadette Junior:</t>
        </r>
        <r>
          <rPr>
            <sz val="9"/>
            <color indexed="81"/>
            <rFont val="Segoe UI"/>
            <family val="2"/>
          </rPr>
          <t xml:space="preserve">
Usar quando vender dentro do preço global.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Edvar Spadette Junior</author>
  </authors>
  <commentList>
    <comment ref="O7" authorId="0" shapeId="0" xr:uid="{1EEA526C-1A37-4944-B0D4-4379EB5FC924}">
      <text>
        <r>
          <rPr>
            <b/>
            <sz val="9"/>
            <color indexed="81"/>
            <rFont val="Segoe UI"/>
            <family val="2"/>
          </rPr>
          <t>Edvar Spadette Junior:</t>
        </r>
        <r>
          <rPr>
            <sz val="9"/>
            <color indexed="81"/>
            <rFont val="Segoe UI"/>
            <family val="2"/>
          </rPr>
          <t xml:space="preserve">
</t>
        </r>
        <r>
          <rPr>
            <b/>
            <u/>
            <sz val="9"/>
            <color indexed="81"/>
            <rFont val="Segoe UI"/>
            <family val="2"/>
          </rPr>
          <t>Valor mínimo de margem de contribuição da BU: 45%%</t>
        </r>
        <r>
          <rPr>
            <sz val="9"/>
            <color indexed="81"/>
            <rFont val="Segoe UI"/>
            <family val="2"/>
          </rPr>
          <t xml:space="preserve">
Para novas vendas sempre tentar conseguir com o target com o cliente para vendas serem realizadas relativas aos ganhos aferidos e não ao custo.</t>
        </r>
      </text>
    </comment>
    <comment ref="A8" authorId="0" shapeId="0" xr:uid="{80E70343-8E2A-49F3-B733-07FC71AD18C4}">
      <text>
        <r>
          <rPr>
            <b/>
            <sz val="9"/>
            <color indexed="81"/>
            <rFont val="Segoe UI"/>
            <family val="2"/>
          </rPr>
          <t>Edvar Spadette Junior:</t>
        </r>
        <r>
          <rPr>
            <sz val="9"/>
            <color indexed="81"/>
            <rFont val="Segoe UI"/>
            <family val="2"/>
          </rPr>
          <t xml:space="preserve">
Vem da planilha custo real equipe</t>
        </r>
      </text>
    </comment>
    <comment ref="E8" authorId="0" shapeId="0" xr:uid="{072EB7A1-9F0C-4EEC-AB73-80F7BEA67B3D}">
      <text>
        <r>
          <rPr>
            <b/>
            <sz val="9"/>
            <color indexed="81"/>
            <rFont val="Segoe UI"/>
            <family val="2"/>
          </rPr>
          <t>Edvar Spadette Junior:</t>
        </r>
        <r>
          <rPr>
            <sz val="9"/>
            <color indexed="81"/>
            <rFont val="Segoe UI"/>
            <family val="2"/>
          </rPr>
          <t xml:space="preserve">
Utilizado em projetos completos de automação que teremos hh de desenvolvimen to e campo</t>
        </r>
      </text>
    </comment>
    <comment ref="F8" authorId="0" shapeId="0" xr:uid="{0174F44C-07CE-45EB-B7BB-B60C6B2E820C}">
      <text>
        <r>
          <rPr>
            <b/>
            <sz val="9"/>
            <color indexed="81"/>
            <rFont val="Segoe UI"/>
            <family val="2"/>
          </rPr>
          <t>Edvar Spadette Junior:</t>
        </r>
        <r>
          <rPr>
            <sz val="9"/>
            <color indexed="81"/>
            <rFont val="Segoe UI"/>
            <family val="2"/>
          </rPr>
          <t xml:space="preserve">
Utilizado em projetos completos de automação que teremos hh de desenvolvimen to e campo</t>
        </r>
      </text>
    </comment>
    <comment ref="C15" authorId="0" shapeId="0" xr:uid="{37ABE6E1-236E-4E51-A554-5326136E7A4C}">
      <text>
        <r>
          <rPr>
            <b/>
            <sz val="9"/>
            <color indexed="81"/>
            <rFont val="Segoe UI"/>
            <family val="2"/>
          </rPr>
          <t>Edvar Spadette Junior:</t>
        </r>
        <r>
          <rPr>
            <sz val="9"/>
            <color indexed="81"/>
            <rFont val="Segoe UI"/>
            <family val="2"/>
          </rPr>
          <t xml:space="preserve">
Validar a quantidade de dias que já vem da matriz de escopo.</t>
        </r>
      </text>
    </comment>
    <comment ref="E15" authorId="0" shapeId="0" xr:uid="{E8CFCA21-B98F-4694-A813-32A74E06D669}">
      <text>
        <r>
          <rPr>
            <b/>
            <sz val="9"/>
            <color indexed="81"/>
            <rFont val="Segoe UI"/>
            <family val="2"/>
          </rPr>
          <t>Edvar Spadette Junior:</t>
        </r>
        <r>
          <rPr>
            <sz val="9"/>
            <color indexed="81"/>
            <rFont val="Segoe UI"/>
            <family val="2"/>
          </rPr>
          <t xml:space="preserve">
Utilizado em projetos completos de automação que teremos hh de desenvolvimen to e campo</t>
        </r>
      </text>
    </comment>
    <comment ref="F15" authorId="0" shapeId="0" xr:uid="{814B06D8-3A96-453D-A620-8A25FA90AD2C}">
      <text>
        <r>
          <rPr>
            <b/>
            <sz val="9"/>
            <color indexed="81"/>
            <rFont val="Segoe UI"/>
            <family val="2"/>
          </rPr>
          <t>Edvar Spadette Junior:</t>
        </r>
        <r>
          <rPr>
            <sz val="9"/>
            <color indexed="81"/>
            <rFont val="Segoe UI"/>
            <family val="2"/>
          </rPr>
          <t xml:space="preserve">
Utilizado em projetos completos de automação que teremos hh de desenvolvimen to e campo</t>
        </r>
      </text>
    </comment>
    <comment ref="G15" authorId="0" shapeId="0" xr:uid="{1CB212CB-A983-45BA-BF32-DA8CF510EED1}">
      <text>
        <r>
          <rPr>
            <b/>
            <sz val="9"/>
            <color indexed="81"/>
            <rFont val="Segoe UI"/>
            <family val="2"/>
          </rPr>
          <t>Edvar Spadette Junior:</t>
        </r>
        <r>
          <rPr>
            <sz val="9"/>
            <color indexed="81"/>
            <rFont val="Segoe UI"/>
            <family val="2"/>
          </rPr>
          <t xml:space="preserve">
Preencher com FTE (quantidade de recursos)</t>
        </r>
      </text>
    </comment>
    <comment ref="N72" authorId="0" shapeId="0" xr:uid="{1FC14160-6A2C-4697-8A53-248D402894D1}">
      <text>
        <r>
          <rPr>
            <b/>
            <sz val="9"/>
            <color indexed="81"/>
            <rFont val="Segoe UI"/>
            <family val="2"/>
          </rPr>
          <t>Edvar Spadette Junior:</t>
        </r>
        <r>
          <rPr>
            <sz val="9"/>
            <color indexed="81"/>
            <rFont val="Segoe UI"/>
            <family val="2"/>
          </rPr>
          <t xml:space="preserve">
Usar quando vernder por nota de débito</t>
        </r>
      </text>
    </comment>
    <comment ref="O72" authorId="0" shapeId="0" xr:uid="{B42F8766-8FBC-439B-B455-B15C57D083C4}">
      <text>
        <r>
          <rPr>
            <b/>
            <sz val="9"/>
            <color indexed="81"/>
            <rFont val="Segoe UI"/>
            <family val="2"/>
          </rPr>
          <t>Edvar Spadette Junior:</t>
        </r>
        <r>
          <rPr>
            <sz val="9"/>
            <color indexed="81"/>
            <rFont val="Segoe UI"/>
            <family val="2"/>
          </rPr>
          <t xml:space="preserve">
Usar quando vender dentro do preço global.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Edvar Spadette Junior</author>
  </authors>
  <commentList>
    <comment ref="O7" authorId="0" shapeId="0" xr:uid="{29735C12-16FD-4FD5-A603-9DA02E3100C3}">
      <text>
        <r>
          <rPr>
            <b/>
            <sz val="9"/>
            <color indexed="81"/>
            <rFont val="Segoe UI"/>
            <family val="2"/>
          </rPr>
          <t>Edvar Spadette Junior:</t>
        </r>
        <r>
          <rPr>
            <sz val="9"/>
            <color indexed="81"/>
            <rFont val="Segoe UI"/>
            <family val="2"/>
          </rPr>
          <t xml:space="preserve">
</t>
        </r>
        <r>
          <rPr>
            <u/>
            <sz val="9"/>
            <color indexed="81"/>
            <rFont val="Segoe UI"/>
            <family val="2"/>
          </rPr>
          <t xml:space="preserve">Valor mínimo de margem da BU. </t>
        </r>
        <r>
          <rPr>
            <sz val="9"/>
            <color indexed="81"/>
            <rFont val="Segoe UI"/>
            <family val="2"/>
          </rPr>
          <t xml:space="preserve">
Para novas vendas sempre tentar conseguir com o target com o cliente para vendas serem realizadas relativas aos ganhos aferidos e não ao custo.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tc={CF9839B4-9745-4D63-8525-BAC727DA5DA9}</author>
    <author>tc={5A022127-D859-4613-A531-7C42A25BC3A4}</author>
    <author>tc={8F4A988F-24AC-4DCF-8B2C-9490B3672691}</author>
    <author>tc={92E5C8D6-299F-457F-BFE4-FCA46A289825}</author>
    <author>tc={C800D11A-3A71-4809-AAE0-09A47C205776}</author>
  </authors>
  <commentList>
    <comment ref="B32" authorId="0" shapeId="0" xr:uid="{CF9839B4-9745-4D63-8525-BAC727DA5DA9}">
      <text>
        <t>[Comentário encadeado]
Sua versão do Excel permite que você leia este comentário encadeado, no entanto, as edições serão removidas se o arquivo for aberto em uma versão mais recente do Excel. Saiba mais: https://go.microsoft.com/fwlink/?linkid=870924
Comentário:
    Padrão: 2</t>
      </text>
    </comment>
    <comment ref="D32" authorId="1" shapeId="0" xr:uid="{5A022127-D859-4613-A531-7C42A25BC3A4}">
      <text>
        <t>[Comentário encadeado]
Sua versão do Excel permite que você leia este comentário encadeado, no entanto, as edições serão removidas se o arquivo for aberto em uma versão mais recente do Excel. Saiba mais: https://go.microsoft.com/fwlink/?linkid=870924
Comentário:
    Caso não seja industrialização, alterar Margem.</t>
      </text>
    </comment>
    <comment ref="B33" authorId="2" shapeId="0" xr:uid="{8F4A988F-24AC-4DCF-8B2C-9490B3672691}">
      <text>
        <t>[Comentário encadeado]
Sua versão do Excel permite que você leia este comentário encadeado, no entanto, as edições serão removidas se o arquivo for aberto em uma versão mais recente do Excel. Saiba mais: https://go.microsoft.com/fwlink/?linkid=870924
Comentário:
    Padrão: 40</t>
      </text>
    </comment>
    <comment ref="B34" authorId="3" shapeId="0" xr:uid="{92E5C8D6-299F-457F-BFE4-FCA46A289825}">
      <text>
        <t>[Comentário encadeado]
Sua versão do Excel permite que você leia este comentário encadeado, no entanto, as edições serão removidas se o arquivo for aberto em uma versão mais recente do Excel. Saiba mais: https://go.microsoft.com/fwlink/?linkid=870924
Comentário:
    Padrão: 8</t>
      </text>
    </comment>
    <comment ref="B35" authorId="4" shapeId="0" xr:uid="{C800D11A-3A71-4809-AAE0-09A47C205776}">
      <text>
        <t>[Comentário encadeado]
Sua versão do Excel permite que você leia este comentário encadeado, no entanto, as edições serão removidas se o arquivo for aberto em uma versão mais recente do Excel. Saiba mais: https://go.microsoft.com/fwlink/?linkid=870924
Comentário:
    Padrão: 1 para projetos na Setta - 0 para projetos JPC (RMBH). Alterar conforme ocasião em caso de necessitarmos enviar equipamentos para clietne final</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tc={E4877981-21B6-44B5-A409-74F678A431C4}</author>
    <author>tc={8CBED06D-C623-422D-A8FD-8A01831E1E08}</author>
    <author>tc={A0C15D8F-84A1-40A4-BEAE-D8F41406DB9C}</author>
    <author>tc={D8C5BF00-F773-47C9-8AB7-440DA744074B}</author>
    <author>tc={4E7673D7-26DC-4BE9-823C-FB4FB1AD35A2}</author>
    <author>tc={93533D6F-AAF4-4A7A-AAFF-643DB7EA6B66}</author>
    <author>tc={201ACB15-8DE6-4454-9378-C81A93ABF867}</author>
    <author>tc={61D773A5-8494-44C1-8D38-20118885114E}</author>
    <author>tc={B0319D4C-317D-4074-9C79-CD5AA4E80834}</author>
    <author>tc={F81CD2FA-9378-482B-A149-B75DBAE31C5E}</author>
    <author>tc={A1313CBE-4096-4420-AEB7-34252CED9F33}</author>
    <author>tc={8236BA4F-C1DB-44EF-827F-927C50E62B58}</author>
    <author>tc={7820AA76-21F0-4222-99EF-AEE395A7D5A4}</author>
    <author>tc={6BA9FC49-33F7-483E-8895-C715F397CBC9}</author>
    <author>tc={B4F6F447-1631-40FE-A394-D135F0CD0639}</author>
    <author>tc={A28EFD31-AE8F-480A-B42D-3822C4733FB5}</author>
    <author>tc={FC9ADD44-79D1-4041-A1A1-46DAA478ECCF}</author>
    <author>tc={69295FE5-5DED-4A79-ACC7-B91C6F6E6E27}</author>
    <author>tc={CDF28B8C-B13C-477F-9065-17DF31AC5DCC}</author>
    <author>tc={A9C0F96A-55C3-4FCC-8D43-1BA3376E08B4}</author>
    <author>tc={78B02F1D-4B0E-4DFC-9B48-EB150F624E5B}</author>
    <author>tc={AEA0198F-680F-4563-B630-4DE078A1C181}</author>
    <author>tc={7A4DB839-D71E-4200-A4FA-05AA47951241}</author>
    <author>tc={E103AFC9-DD4B-46D9-B694-7E376C4F7DF4}</author>
    <author>tc={8AB5115F-AAA5-4CC9-80EB-8CE693795DD6}</author>
    <author>tc={83433F87-2707-4961-8F69-BBA625C75961}</author>
    <author>tc={34DD24B7-3EEC-43F6-A9BA-CA7E9F872912}</author>
    <author>tc={EBB2AED5-EED4-4B4A-BFF0-644207FEDAA3}</author>
    <author>tc={25C5CBFE-97AB-4886-8DB1-5308624B1FDD}</author>
    <author>tc={67F2D05A-A64D-4FB6-873B-B75DA6878AB0}</author>
    <author>tc={214690AF-F011-4622-AA9E-F3ED0C28275B}</author>
    <author>tc={57AFD866-438F-4C24-A7BF-2361D9440E3B}</author>
    <author>tc={CA110B79-EA29-40E5-B8D6-8EF09B87DC7B}</author>
    <author>tc={259B2232-1E92-4361-9563-EBF1042E50AC}</author>
    <author>tc={252E4EB0-4F0B-4630-BBC3-8D1F9A99DECC}</author>
    <author>tc={6F91FAB0-001F-470B-9501-7B57BA461A45}</author>
    <author>tc={3879C788-CAA8-4BAA-9228-3577EAB88B48}</author>
    <author>tc={2C8C58FC-F160-4CFC-B9B8-8236F368C340}</author>
    <author>tc={1F35CF78-FB33-466E-8564-6317F8BB94D2}</author>
    <author>tc={68148DD1-0466-4D87-BD4C-9FD111B168F7}</author>
    <author>tc={ED0CE549-AA1E-4264-9E1C-CF21C68130AA}</author>
    <author>tc={8512448D-B340-43DD-87E9-39DCE6BD0A09}</author>
    <author>tc={96E7D977-A4DB-4979-BD75-5A19963E3059}</author>
    <author>tc={101A00A6-A0CD-4DF5-8BEC-F8290E19172B}</author>
    <author>tc={FF2ADE7E-584A-4E60-A5C7-1C622C9822C6}</author>
    <author>tc={29CA1B0C-0E26-4972-977A-8370ADECA336}</author>
    <author>tc={5D62BEAF-FD68-4EC1-80CB-01A62E2F0293}</author>
    <author>tc={03ADA02D-BFA5-4F74-BA5F-17823A243D12}</author>
    <author>tc={B734652F-6E7F-43DB-8BA8-7EDFD624C8C3}</author>
    <author>tc={0CAFF41B-1895-401E-A93A-249FF7DB867F}</author>
  </authors>
  <commentList>
    <comment ref="B32" authorId="0" shapeId="0" xr:uid="{E4877981-21B6-44B5-A409-74F678A431C4}">
      <text>
        <t>[Comentário encadeado]
Sua versão do Excel permite que você leia este comentário encadeado, no entanto, as edições serão removidas se o arquivo for aberto em uma versão mais recente do Excel. Saiba mais: https://go.microsoft.com/fwlink/?linkid=870924
Comentário:
    Padrão: 2</t>
      </text>
    </comment>
    <comment ref="D32" authorId="1" shapeId="0" xr:uid="{8CBED06D-C623-422D-A8FD-8A01831E1E08}">
      <text>
        <t>[Comentário encadeado]
Sua versão do Excel permite que você leia este comentário encadeado, no entanto, as edições serão removidas se o arquivo for aberto em uma versão mais recente do Excel. Saiba mais: https://go.microsoft.com/fwlink/?linkid=870924
Comentário:
    Caso não seja industrialização, alterar Margem.</t>
      </text>
    </comment>
    <comment ref="B33" authorId="2" shapeId="0" xr:uid="{A0C15D8F-84A1-40A4-BEAE-D8F41406DB9C}">
      <text>
        <t>[Comentário encadeado]
Sua versão do Excel permite que você leia este comentário encadeado, no entanto, as edições serão removidas se o arquivo for aberto em uma versão mais recente do Excel. Saiba mais: https://go.microsoft.com/fwlink/?linkid=870924
Comentário:
    Padrão: 40</t>
      </text>
    </comment>
    <comment ref="B34" authorId="3" shapeId="0" xr:uid="{D8C5BF00-F773-47C9-8AB7-440DA744074B}">
      <text>
        <t>[Comentário encadeado]
Sua versão do Excel permite que você leia este comentário encadeado, no entanto, as edições serão removidas se o arquivo for aberto em uma versão mais recente do Excel. Saiba mais: https://go.microsoft.com/fwlink/?linkid=870924
Comentário:
    Padrão: 8</t>
      </text>
    </comment>
    <comment ref="B35" authorId="4" shapeId="0" xr:uid="{4E7673D7-26DC-4BE9-823C-FB4FB1AD35A2}">
      <text>
        <t>[Comentário encadeado]
Sua versão do Excel permite que você leia este comentário encadeado, no entanto, as edições serão removidas se o arquivo for aberto em uma versão mais recente do Excel. Saiba mais: https://go.microsoft.com/fwlink/?linkid=870924
Comentário:
    Padrão: 1 para projetos na Setta - 0 para projetos JPC (RMBH). Alterar conforme ocasião em caso de necessitarmos enviar equipamentos para clietne final</t>
      </text>
    </comment>
    <comment ref="B62" authorId="5" shapeId="0" xr:uid="{93533D6F-AAF4-4A7A-AAFF-643DB7EA6B66}">
      <text>
        <t>[Comentário encadeado]
Sua versão do Excel permite que você leia este comentário encadeado, no entanto, as edições serão removidas se o arquivo for aberto em uma versão mais recente do Excel. Saiba mais: https://go.microsoft.com/fwlink/?linkid=870924
Comentário:
    Padrão: 2</t>
      </text>
    </comment>
    <comment ref="D62" authorId="6" shapeId="0" xr:uid="{201ACB15-8DE6-4454-9378-C81A93ABF867}">
      <text>
        <t>[Comentário encadeado]
Sua versão do Excel permite que você leia este comentário encadeado, no entanto, as edições serão removidas se o arquivo for aberto em uma versão mais recente do Excel. Saiba mais: https://go.microsoft.com/fwlink/?linkid=870924
Comentário:
    Caso não seja industrialização, alterar Margem.</t>
      </text>
    </comment>
    <comment ref="B63" authorId="7" shapeId="0" xr:uid="{61D773A5-8494-44C1-8D38-20118885114E}">
      <text>
        <t>[Comentário encadeado]
Sua versão do Excel permite que você leia este comentário encadeado, no entanto, as edições serão removidas se o arquivo for aberto em uma versão mais recente do Excel. Saiba mais: https://go.microsoft.com/fwlink/?linkid=870924
Comentário:
    Padrão: 40</t>
      </text>
    </comment>
    <comment ref="B64" authorId="8" shapeId="0" xr:uid="{B0319D4C-317D-4074-9C79-CD5AA4E80834}">
      <text>
        <t>[Comentário encadeado]
Sua versão do Excel permite que você leia este comentário encadeado, no entanto, as edições serão removidas se o arquivo for aberto em uma versão mais recente do Excel. Saiba mais: https://go.microsoft.com/fwlink/?linkid=870924
Comentário:
    Padrão: 8</t>
      </text>
    </comment>
    <comment ref="B65" authorId="9" shapeId="0" xr:uid="{F81CD2FA-9378-482B-A149-B75DBAE31C5E}">
      <text>
        <t>[Comentário encadeado]
Sua versão do Excel permite que você leia este comentário encadeado, no entanto, as edições serão removidas se o arquivo for aberto em uma versão mais recente do Excel. Saiba mais: https://go.microsoft.com/fwlink/?linkid=870924
Comentário:
    Padrão: 1 para projetos na Setta - 0 para projetos JPC (RMBH). Alterar conforme ocasião em caso de necessitarmos enviar equipamentos para clietne final</t>
      </text>
    </comment>
    <comment ref="B92" authorId="10" shapeId="0" xr:uid="{A1313CBE-4096-4420-AEB7-34252CED9F33}">
      <text>
        <t>[Comentário encadeado]
Sua versão do Excel permite que você leia este comentário encadeado, no entanto, as edições serão removidas se o arquivo for aberto em uma versão mais recente do Excel. Saiba mais: https://go.microsoft.com/fwlink/?linkid=870924
Comentário:
    Padrão: 2</t>
      </text>
    </comment>
    <comment ref="D92" authorId="11" shapeId="0" xr:uid="{8236BA4F-C1DB-44EF-827F-927C50E62B58}">
      <text>
        <t>[Comentário encadeado]
Sua versão do Excel permite que você leia este comentário encadeado, no entanto, as edições serão removidas se o arquivo for aberto em uma versão mais recente do Excel. Saiba mais: https://go.microsoft.com/fwlink/?linkid=870924
Comentário:
    Caso não seja industrialização, alterar Margem.</t>
      </text>
    </comment>
    <comment ref="B93" authorId="12" shapeId="0" xr:uid="{7820AA76-21F0-4222-99EF-AEE395A7D5A4}">
      <text>
        <t>[Comentário encadeado]
Sua versão do Excel permite que você leia este comentário encadeado, no entanto, as edições serão removidas se o arquivo for aberto em uma versão mais recente do Excel. Saiba mais: https://go.microsoft.com/fwlink/?linkid=870924
Comentário:
    Padrão: 40</t>
      </text>
    </comment>
    <comment ref="B94" authorId="13" shapeId="0" xr:uid="{6BA9FC49-33F7-483E-8895-C715F397CBC9}">
      <text>
        <t>[Comentário encadeado]
Sua versão do Excel permite que você leia este comentário encadeado, no entanto, as edições serão removidas se o arquivo for aberto em uma versão mais recente do Excel. Saiba mais: https://go.microsoft.com/fwlink/?linkid=870924
Comentário:
    Padrão: 8</t>
      </text>
    </comment>
    <comment ref="B95" authorId="14" shapeId="0" xr:uid="{B4F6F447-1631-40FE-A394-D135F0CD0639}">
      <text>
        <t>[Comentário encadeado]
Sua versão do Excel permite que você leia este comentário encadeado, no entanto, as edições serão removidas se o arquivo for aberto em uma versão mais recente do Excel. Saiba mais: https://go.microsoft.com/fwlink/?linkid=870924
Comentário:
    Padrão: 1 para projetos na Setta - 0 para projetos JPC (RMBH). Alterar conforme ocasião em caso de necessitarmos enviar equipamentos para clietne final</t>
      </text>
    </comment>
    <comment ref="B122" authorId="15" shapeId="0" xr:uid="{A28EFD31-AE8F-480A-B42D-3822C4733FB5}">
      <text>
        <t>[Comentário encadeado]
Sua versão do Excel permite que você leia este comentário encadeado, no entanto, as edições serão removidas se o arquivo for aberto em uma versão mais recente do Excel. Saiba mais: https://go.microsoft.com/fwlink/?linkid=870924
Comentário:
    Padrão: 2</t>
      </text>
    </comment>
    <comment ref="D122" authorId="16" shapeId="0" xr:uid="{FC9ADD44-79D1-4041-A1A1-46DAA478ECCF}">
      <text>
        <t>[Comentário encadeado]
Sua versão do Excel permite que você leia este comentário encadeado, no entanto, as edições serão removidas se o arquivo for aberto em uma versão mais recente do Excel. Saiba mais: https://go.microsoft.com/fwlink/?linkid=870924
Comentário:
    Caso não seja industrialização, alterar Margem.</t>
      </text>
    </comment>
    <comment ref="B123" authorId="17" shapeId="0" xr:uid="{69295FE5-5DED-4A79-ACC7-B91C6F6E6E27}">
      <text>
        <t>[Comentário encadeado]
Sua versão do Excel permite que você leia este comentário encadeado, no entanto, as edições serão removidas se o arquivo for aberto em uma versão mais recente do Excel. Saiba mais: https://go.microsoft.com/fwlink/?linkid=870924
Comentário:
    Padrão: 40</t>
      </text>
    </comment>
    <comment ref="B124" authorId="18" shapeId="0" xr:uid="{CDF28B8C-B13C-477F-9065-17DF31AC5DCC}">
      <text>
        <t>[Comentário encadeado]
Sua versão do Excel permite que você leia este comentário encadeado, no entanto, as edições serão removidas se o arquivo for aberto em uma versão mais recente do Excel. Saiba mais: https://go.microsoft.com/fwlink/?linkid=870924
Comentário:
    Padrão: 8</t>
      </text>
    </comment>
    <comment ref="B125" authorId="19" shapeId="0" xr:uid="{A9C0F96A-55C3-4FCC-8D43-1BA3376E08B4}">
      <text>
        <t>[Comentário encadeado]
Sua versão do Excel permite que você leia este comentário encadeado, no entanto, as edições serão removidas se o arquivo for aberto em uma versão mais recente do Excel. Saiba mais: https://go.microsoft.com/fwlink/?linkid=870924
Comentário:
    Padrão: 1 para projetos na Setta - 0 para projetos JPC (RMBH). Alterar conforme ocasião em caso de necessitarmos enviar equipamentos para clietne final</t>
      </text>
    </comment>
    <comment ref="B152" authorId="20" shapeId="0" xr:uid="{78B02F1D-4B0E-4DFC-9B48-EB150F624E5B}">
      <text>
        <t>[Comentário encadeado]
Sua versão do Excel permite que você leia este comentário encadeado, no entanto, as edições serão removidas se o arquivo for aberto em uma versão mais recente do Excel. Saiba mais: https://go.microsoft.com/fwlink/?linkid=870924
Comentário:
    Padrão: 2</t>
      </text>
    </comment>
    <comment ref="D152" authorId="21" shapeId="0" xr:uid="{AEA0198F-680F-4563-B630-4DE078A1C181}">
      <text>
        <t>[Comentário encadeado]
Sua versão do Excel permite que você leia este comentário encadeado, no entanto, as edições serão removidas se o arquivo for aberto em uma versão mais recente do Excel. Saiba mais: https://go.microsoft.com/fwlink/?linkid=870924
Comentário:
    Caso não seja industrialização, alterar Margem.</t>
      </text>
    </comment>
    <comment ref="B153" authorId="22" shapeId="0" xr:uid="{7A4DB839-D71E-4200-A4FA-05AA47951241}">
      <text>
        <t>[Comentário encadeado]
Sua versão do Excel permite que você leia este comentário encadeado, no entanto, as edições serão removidas se o arquivo for aberto em uma versão mais recente do Excel. Saiba mais: https://go.microsoft.com/fwlink/?linkid=870924
Comentário:
    Padrão: 40</t>
      </text>
    </comment>
    <comment ref="B154" authorId="23" shapeId="0" xr:uid="{E103AFC9-DD4B-46D9-B694-7E376C4F7DF4}">
      <text>
        <t>[Comentário encadeado]
Sua versão do Excel permite que você leia este comentário encadeado, no entanto, as edições serão removidas se o arquivo for aberto em uma versão mais recente do Excel. Saiba mais: https://go.microsoft.com/fwlink/?linkid=870924
Comentário:
    Padrão: 8</t>
      </text>
    </comment>
    <comment ref="B155" authorId="24" shapeId="0" xr:uid="{8AB5115F-AAA5-4CC9-80EB-8CE693795DD6}">
      <text>
        <t>[Comentário encadeado]
Sua versão do Excel permite que você leia este comentário encadeado, no entanto, as edições serão removidas se o arquivo for aberto em uma versão mais recente do Excel. Saiba mais: https://go.microsoft.com/fwlink/?linkid=870924
Comentário:
    Padrão: 1 para projetos na Setta - 0 para projetos JPC (RMBH). Alterar conforme ocasião em caso de necessitarmos enviar equipamentos para clietne final</t>
      </text>
    </comment>
    <comment ref="B182" authorId="25" shapeId="0" xr:uid="{83433F87-2707-4961-8F69-BBA625C75961}">
      <text>
        <t>[Comentário encadeado]
Sua versão do Excel permite que você leia este comentário encadeado, no entanto, as edições serão removidas se o arquivo for aberto em uma versão mais recente do Excel. Saiba mais: https://go.microsoft.com/fwlink/?linkid=870924
Comentário:
    Padrão: 2</t>
      </text>
    </comment>
    <comment ref="D182" authorId="26" shapeId="0" xr:uid="{34DD24B7-3EEC-43F6-A9BA-CA7E9F872912}">
      <text>
        <t>[Comentário encadeado]
Sua versão do Excel permite que você leia este comentário encadeado, no entanto, as edições serão removidas se o arquivo for aberto em uma versão mais recente do Excel. Saiba mais: https://go.microsoft.com/fwlink/?linkid=870924
Comentário:
    Caso não seja industrialização, alterar Margem.</t>
      </text>
    </comment>
    <comment ref="B183" authorId="27" shapeId="0" xr:uid="{EBB2AED5-EED4-4B4A-BFF0-644207FEDAA3}">
      <text>
        <t>[Comentário encadeado]
Sua versão do Excel permite que você leia este comentário encadeado, no entanto, as edições serão removidas se o arquivo for aberto em uma versão mais recente do Excel. Saiba mais: https://go.microsoft.com/fwlink/?linkid=870924
Comentário:
    Padrão: 40</t>
      </text>
    </comment>
    <comment ref="B184" authorId="28" shapeId="0" xr:uid="{25C5CBFE-97AB-4886-8DB1-5308624B1FDD}">
      <text>
        <t>[Comentário encadeado]
Sua versão do Excel permite que você leia este comentário encadeado, no entanto, as edições serão removidas se o arquivo for aberto em uma versão mais recente do Excel. Saiba mais: https://go.microsoft.com/fwlink/?linkid=870924
Comentário:
    Padrão: 8</t>
      </text>
    </comment>
    <comment ref="B185" authorId="29" shapeId="0" xr:uid="{67F2D05A-A64D-4FB6-873B-B75DA6878AB0}">
      <text>
        <t>[Comentário encadeado]
Sua versão do Excel permite que você leia este comentário encadeado, no entanto, as edições serão removidas se o arquivo for aberto em uma versão mais recente do Excel. Saiba mais: https://go.microsoft.com/fwlink/?linkid=870924
Comentário:
    Padrão: 1 para projetos na Setta - 0 para projetos JPC (RMBH). Alterar conforme ocasião em caso de necessitarmos enviar equipamentos para clietne final</t>
      </text>
    </comment>
    <comment ref="B212" authorId="30" shapeId="0" xr:uid="{214690AF-F011-4622-AA9E-F3ED0C28275B}">
      <text>
        <t>[Comentário encadeado]
Sua versão do Excel permite que você leia este comentário encadeado, no entanto, as edições serão removidas se o arquivo for aberto em uma versão mais recente do Excel. Saiba mais: https://go.microsoft.com/fwlink/?linkid=870924
Comentário:
    Padrão: 2</t>
      </text>
    </comment>
    <comment ref="D212" authorId="31" shapeId="0" xr:uid="{57AFD866-438F-4C24-A7BF-2361D9440E3B}">
      <text>
        <t>[Comentário encadeado]
Sua versão do Excel permite que você leia este comentário encadeado, no entanto, as edições serão removidas se o arquivo for aberto em uma versão mais recente do Excel. Saiba mais: https://go.microsoft.com/fwlink/?linkid=870924
Comentário:
    Caso não seja industrialização, alterar Margem.</t>
      </text>
    </comment>
    <comment ref="B213" authorId="32" shapeId="0" xr:uid="{CA110B79-EA29-40E5-B8D6-8EF09B87DC7B}">
      <text>
        <t>[Comentário encadeado]
Sua versão do Excel permite que você leia este comentário encadeado, no entanto, as edições serão removidas se o arquivo for aberto em uma versão mais recente do Excel. Saiba mais: https://go.microsoft.com/fwlink/?linkid=870924
Comentário:
    Padrão: 40</t>
      </text>
    </comment>
    <comment ref="B214" authorId="33" shapeId="0" xr:uid="{259B2232-1E92-4361-9563-EBF1042E50AC}">
      <text>
        <t>[Comentário encadeado]
Sua versão do Excel permite que você leia este comentário encadeado, no entanto, as edições serão removidas se o arquivo for aberto em uma versão mais recente do Excel. Saiba mais: https://go.microsoft.com/fwlink/?linkid=870924
Comentário:
    Padrão: 8</t>
      </text>
    </comment>
    <comment ref="B215" authorId="34" shapeId="0" xr:uid="{252E4EB0-4F0B-4630-BBC3-8D1F9A99DECC}">
      <text>
        <t>[Comentário encadeado]
Sua versão do Excel permite que você leia este comentário encadeado, no entanto, as edições serão removidas se o arquivo for aberto em uma versão mais recente do Excel. Saiba mais: https://go.microsoft.com/fwlink/?linkid=870924
Comentário:
    Padrão: 1 para projetos na Setta - 0 para projetos JPC (RMBH). Alterar conforme ocasião em caso de necessitarmos enviar equipamentos para clietne final</t>
      </text>
    </comment>
    <comment ref="B242" authorId="35" shapeId="0" xr:uid="{6F91FAB0-001F-470B-9501-7B57BA461A45}">
      <text>
        <t>[Comentário encadeado]
Sua versão do Excel permite que você leia este comentário encadeado, no entanto, as edições serão removidas se o arquivo for aberto em uma versão mais recente do Excel. Saiba mais: https://go.microsoft.com/fwlink/?linkid=870924
Comentário:
    Padrão: 2</t>
      </text>
    </comment>
    <comment ref="D242" authorId="36" shapeId="0" xr:uid="{3879C788-CAA8-4BAA-9228-3577EAB88B48}">
      <text>
        <t>[Comentário encadeado]
Sua versão do Excel permite que você leia este comentário encadeado, no entanto, as edições serão removidas se o arquivo for aberto em uma versão mais recente do Excel. Saiba mais: https://go.microsoft.com/fwlink/?linkid=870924
Comentário:
    Caso não seja industrialização, alterar Margem.</t>
      </text>
    </comment>
    <comment ref="B243" authorId="37" shapeId="0" xr:uid="{2C8C58FC-F160-4CFC-B9B8-8236F368C340}">
      <text>
        <t>[Comentário encadeado]
Sua versão do Excel permite que você leia este comentário encadeado, no entanto, as edições serão removidas se o arquivo for aberto em uma versão mais recente do Excel. Saiba mais: https://go.microsoft.com/fwlink/?linkid=870924
Comentário:
    Padrão: 40</t>
      </text>
    </comment>
    <comment ref="B244" authorId="38" shapeId="0" xr:uid="{1F35CF78-FB33-466E-8564-6317F8BB94D2}">
      <text>
        <t>[Comentário encadeado]
Sua versão do Excel permite que você leia este comentário encadeado, no entanto, as edições serão removidas se o arquivo for aberto em uma versão mais recente do Excel. Saiba mais: https://go.microsoft.com/fwlink/?linkid=870924
Comentário:
    Padrão: 8</t>
      </text>
    </comment>
    <comment ref="B245" authorId="39" shapeId="0" xr:uid="{68148DD1-0466-4D87-BD4C-9FD111B168F7}">
      <text>
        <t>[Comentário encadeado]
Sua versão do Excel permite que você leia este comentário encadeado, no entanto, as edições serão removidas se o arquivo for aberto em uma versão mais recente do Excel. Saiba mais: https://go.microsoft.com/fwlink/?linkid=870924
Comentário:
    Padrão: 1 para projetos na Setta - 0 para projetos JPC (RMBH). Alterar conforme ocasião em caso de necessitarmos enviar equipamentos para clietne final</t>
      </text>
    </comment>
    <comment ref="B272" authorId="40" shapeId="0" xr:uid="{ED0CE549-AA1E-4264-9E1C-CF21C68130AA}">
      <text>
        <t>[Comentário encadeado]
Sua versão do Excel permite que você leia este comentário encadeado, no entanto, as edições serão removidas se o arquivo for aberto em uma versão mais recente do Excel. Saiba mais: https://go.microsoft.com/fwlink/?linkid=870924
Comentário:
    Padrão: 2</t>
      </text>
    </comment>
    <comment ref="D272" authorId="41" shapeId="0" xr:uid="{8512448D-B340-43DD-87E9-39DCE6BD0A09}">
      <text>
        <t>[Comentário encadeado]
Sua versão do Excel permite que você leia este comentário encadeado, no entanto, as edições serão removidas se o arquivo for aberto em uma versão mais recente do Excel. Saiba mais: https://go.microsoft.com/fwlink/?linkid=870924
Comentário:
    Caso não seja industrialização, alterar Margem.</t>
      </text>
    </comment>
    <comment ref="B273" authorId="42" shapeId="0" xr:uid="{96E7D977-A4DB-4979-BD75-5A19963E3059}">
      <text>
        <t>[Comentário encadeado]
Sua versão do Excel permite que você leia este comentário encadeado, no entanto, as edições serão removidas se o arquivo for aberto em uma versão mais recente do Excel. Saiba mais: https://go.microsoft.com/fwlink/?linkid=870924
Comentário:
    Padrão: 40</t>
      </text>
    </comment>
    <comment ref="B274" authorId="43" shapeId="0" xr:uid="{101A00A6-A0CD-4DF5-8BEC-F8290E19172B}">
      <text>
        <t>[Comentário encadeado]
Sua versão do Excel permite que você leia este comentário encadeado, no entanto, as edições serão removidas se o arquivo for aberto em uma versão mais recente do Excel. Saiba mais: https://go.microsoft.com/fwlink/?linkid=870924
Comentário:
    Padrão: 8</t>
      </text>
    </comment>
    <comment ref="B275" authorId="44" shapeId="0" xr:uid="{FF2ADE7E-584A-4E60-A5C7-1C622C9822C6}">
      <text>
        <t>[Comentário encadeado]
Sua versão do Excel permite que você leia este comentário encadeado, no entanto, as edições serão removidas se o arquivo for aberto em uma versão mais recente do Excel. Saiba mais: https://go.microsoft.com/fwlink/?linkid=870924
Comentário:
    Padrão: 1 para projetos na Setta - 0 para projetos JPC (RMBH). Alterar conforme ocasião em caso de necessitarmos enviar equipamentos para clietne final</t>
      </text>
    </comment>
    <comment ref="B302" authorId="45" shapeId="0" xr:uid="{29CA1B0C-0E26-4972-977A-8370ADECA336}">
      <text>
        <t>[Comentário encadeado]
Sua versão do Excel permite que você leia este comentário encadeado, no entanto, as edições serão removidas se o arquivo for aberto em uma versão mais recente do Excel. Saiba mais: https://go.microsoft.com/fwlink/?linkid=870924
Comentário:
    Padrão: 2</t>
      </text>
    </comment>
    <comment ref="D302" authorId="46" shapeId="0" xr:uid="{5D62BEAF-FD68-4EC1-80CB-01A62E2F0293}">
      <text>
        <t>[Comentário encadeado]
Sua versão do Excel permite que você leia este comentário encadeado, no entanto, as edições serão removidas se o arquivo for aberto em uma versão mais recente do Excel. Saiba mais: https://go.microsoft.com/fwlink/?linkid=870924
Comentário:
    Caso não seja industrialização, alterar Margem.</t>
      </text>
    </comment>
    <comment ref="B303" authorId="47" shapeId="0" xr:uid="{03ADA02D-BFA5-4F74-BA5F-17823A243D12}">
      <text>
        <t>[Comentário encadeado]
Sua versão do Excel permite que você leia este comentário encadeado, no entanto, as edições serão removidas se o arquivo for aberto em uma versão mais recente do Excel. Saiba mais: https://go.microsoft.com/fwlink/?linkid=870924
Comentário:
    Padrão: 40</t>
      </text>
    </comment>
    <comment ref="B304" authorId="48" shapeId="0" xr:uid="{B734652F-6E7F-43DB-8BA8-7EDFD624C8C3}">
      <text>
        <t>[Comentário encadeado]
Sua versão do Excel permite que você leia este comentário encadeado, no entanto, as edições serão removidas se o arquivo for aberto em uma versão mais recente do Excel. Saiba mais: https://go.microsoft.com/fwlink/?linkid=870924
Comentário:
    Padrão: 8</t>
      </text>
    </comment>
    <comment ref="B305" authorId="49" shapeId="0" xr:uid="{0CAFF41B-1895-401E-A93A-249FF7DB867F}">
      <text>
        <t>[Comentário encadeado]
Sua versão do Excel permite que você leia este comentário encadeado, no entanto, as edições serão removidas se o arquivo for aberto em uma versão mais recente do Excel. Saiba mais: https://go.microsoft.com/fwlink/?linkid=870924
Comentário:
    Padrão: 1 para projetos na Setta - 0 para projetos JPC (RMBH). Alterar conforme ocasião em caso de necessitarmos enviar equipamentos para clietne final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B4" authorId="0" shapeId="0" xr:uid="{E5A6C60A-70E0-40A3-BFA7-458C6C9F6335}">
      <text>
        <r>
          <rPr>
            <b/>
            <i/>
            <sz val="9"/>
            <color indexed="81"/>
            <rFont val="Segoe UI"/>
            <family val="2"/>
          </rPr>
          <t>Autor:</t>
        </r>
        <r>
          <rPr>
            <i/>
            <sz val="9"/>
            <color indexed="81"/>
            <rFont val="Segoe UI"/>
            <family val="2"/>
          </rPr>
          <t xml:space="preserve">
Clientes já cadastrados</t>
        </r>
        <r>
          <rPr>
            <sz val="9"/>
            <color indexed="81"/>
            <rFont val="Segoe UI"/>
            <family val="2"/>
          </rPr>
          <t xml:space="preserve">
AGA-MSG
ANGLO-IOB
ANGLO-NIQUEL
BAYER-CVE
BAYER-ITA
BAYER-LATAM
BAYER-PTU
CALSIMEC
CMOC
COPEBRAS
CSN
EMMIL
INPASA
LARGO
LUG
MOSAIC-CMA
MOSAIC-CMP
MOSAIC-CMT
RHIM
SCHNEIDER
VALE
GALVANI
AABA
NIOBRAS
NIOBRAS-MBV
METTA
VALE-SALOBO
</t>
        </r>
      </text>
    </comment>
    <comment ref="B11" authorId="0" shapeId="0" xr:uid="{965F040A-C93F-4C88-97ED-B96AA04AF2D4}">
      <text>
        <r>
          <rPr>
            <b/>
            <sz val="9"/>
            <color indexed="81"/>
            <rFont val="Segoe UI"/>
            <family val="2"/>
          </rPr>
          <t>Edvar:</t>
        </r>
        <r>
          <rPr>
            <sz val="9"/>
            <color indexed="81"/>
            <rFont val="Segoe UI"/>
            <family val="2"/>
          </rPr>
          <t xml:space="preserve">
</t>
        </r>
        <r>
          <rPr>
            <i/>
            <sz val="9"/>
            <color indexed="81"/>
            <rFont val="Segoe UI"/>
            <family val="2"/>
          </rPr>
          <t>Automação</t>
        </r>
        <r>
          <rPr>
            <sz val="9"/>
            <color indexed="81"/>
            <rFont val="Segoe UI"/>
            <family val="2"/>
          </rPr>
          <t xml:space="preserve">
Ideal - 25%
Limite - 22%
Outsoursing - 15%
</t>
        </r>
        <r>
          <rPr>
            <i/>
            <sz val="9"/>
            <color indexed="81"/>
            <rFont val="Segoe UI"/>
            <family val="2"/>
          </rPr>
          <t>Xpert</t>
        </r>
        <r>
          <rPr>
            <sz val="9"/>
            <color indexed="81"/>
            <rFont val="Segoe UI"/>
            <family val="2"/>
          </rPr>
          <t xml:space="preserve">
Ideal - 31%
Limite - 29%
</t>
        </r>
      </text>
    </comment>
    <comment ref="B12" authorId="0" shapeId="0" xr:uid="{DA03FF9E-2406-4DAE-87C4-8A79722BCD2C}">
      <text>
        <r>
          <rPr>
            <b/>
            <sz val="9"/>
            <color indexed="81"/>
            <rFont val="Segoe UI"/>
            <family val="2"/>
          </rPr>
          <t>Edvar:</t>
        </r>
        <r>
          <rPr>
            <sz val="9"/>
            <color indexed="81"/>
            <rFont val="Segoe UI"/>
            <family val="2"/>
          </rPr>
          <t xml:space="preserve">
</t>
        </r>
        <r>
          <rPr>
            <i/>
            <sz val="9"/>
            <color indexed="81"/>
            <rFont val="Segoe UI"/>
            <family val="2"/>
          </rPr>
          <t>Automação</t>
        </r>
        <r>
          <rPr>
            <sz val="9"/>
            <color indexed="81"/>
            <rFont val="Segoe UI"/>
            <family val="2"/>
          </rPr>
          <t xml:space="preserve">
Ideal - 25%
Limite - 22%
Outsoursing - 15%
</t>
        </r>
        <r>
          <rPr>
            <i/>
            <sz val="9"/>
            <color indexed="81"/>
            <rFont val="Segoe UI"/>
            <family val="2"/>
          </rPr>
          <t>Xpert</t>
        </r>
        <r>
          <rPr>
            <sz val="9"/>
            <color indexed="81"/>
            <rFont val="Segoe UI"/>
            <family val="2"/>
          </rPr>
          <t xml:space="preserve">
Ideal - 31%
Limite - 29%
</t>
        </r>
      </text>
    </comment>
    <comment ref="B15" authorId="0" shapeId="0" xr:uid="{6F3594DB-93D0-481D-A3F6-7886C35F8013}">
      <text>
        <r>
          <rPr>
            <b/>
            <sz val="9"/>
            <color indexed="81"/>
            <rFont val="Segoe UI"/>
            <family val="2"/>
          </rPr>
          <t>Autor:</t>
        </r>
        <r>
          <rPr>
            <sz val="9"/>
            <color indexed="81"/>
            <rFont val="Segoe UI"/>
            <family val="2"/>
          </rPr>
          <t xml:space="preserve">
Colocar o % aqui para cada 30 dias além dos 30 dias normais.
Exemplo:
Pagamento 30 dias - custo 0%.
Pagamento 60 dias - custo 1,1%
Pagamento 90 dias - custo 2,2%</t>
        </r>
      </text>
    </comment>
    <comment ref="C15" authorId="0" shapeId="0" xr:uid="{8AEA2F9B-1051-4F51-8AE3-FA5C5B3FDB93}">
      <text>
        <r>
          <rPr>
            <b/>
            <sz val="9"/>
            <color indexed="81"/>
            <rFont val="Segoe UI"/>
            <family val="2"/>
          </rPr>
          <t>Autor:</t>
        </r>
        <r>
          <rPr>
            <sz val="9"/>
            <color indexed="81"/>
            <rFont val="Segoe UI"/>
            <family val="2"/>
          </rPr>
          <t xml:space="preserve">
HH médio dos perfis atuais com a número de colaboradores por categoria.
Sem contar com estagiários</t>
        </r>
      </text>
    </comment>
    <comment ref="B16" authorId="0" shapeId="0" xr:uid="{9E34A0FA-5DF1-447C-89DE-74D0CD8F4B3F}">
      <text>
        <r>
          <rPr>
            <b/>
            <sz val="9"/>
            <color indexed="81"/>
            <rFont val="Segoe UI"/>
            <family val="2"/>
          </rPr>
          <t>Autor:</t>
        </r>
        <r>
          <rPr>
            <sz val="9"/>
            <color indexed="81"/>
            <rFont val="Segoe UI"/>
            <family val="2"/>
          </rPr>
          <t xml:space="preserve">
1,8% para cada 30 dias além dos 30 dias normais.</t>
        </r>
      </text>
    </comment>
    <comment ref="A25" authorId="0" shapeId="0" xr:uid="{43B84162-D37A-4C0A-BAE3-27C6DA361B5C}">
      <text>
        <r>
          <rPr>
            <b/>
            <sz val="9"/>
            <color indexed="81"/>
            <rFont val="Segoe UI"/>
            <family val="2"/>
          </rPr>
          <t>Autor:</t>
        </r>
        <r>
          <rPr>
            <sz val="9"/>
            <color indexed="81"/>
            <rFont val="Segoe UI"/>
            <family val="2"/>
          </rPr>
          <t xml:space="preserve">
Atentar para local:
Interior - 120
Interior grande - 160
Capital - 200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Edvar Spadette Junior</author>
  </authors>
  <commentList>
    <comment ref="O7" authorId="0" shapeId="0" xr:uid="{603AB06E-BC74-4EFC-80A9-7268E66AA300}">
      <text>
        <r>
          <rPr>
            <b/>
            <sz val="9"/>
            <color indexed="81"/>
            <rFont val="Segoe UI"/>
            <family val="2"/>
          </rPr>
          <t>Edvar Spadette Junior:</t>
        </r>
        <r>
          <rPr>
            <sz val="9"/>
            <color indexed="81"/>
            <rFont val="Segoe UI"/>
            <family val="2"/>
          </rPr>
          <t xml:space="preserve">
</t>
        </r>
        <r>
          <rPr>
            <b/>
            <u/>
            <sz val="9"/>
            <color indexed="81"/>
            <rFont val="Segoe UI"/>
            <family val="2"/>
          </rPr>
          <t>Valor mínimo de margem de contribuição da BU: 45%%</t>
        </r>
        <r>
          <rPr>
            <sz val="9"/>
            <color indexed="81"/>
            <rFont val="Segoe UI"/>
            <family val="2"/>
          </rPr>
          <t xml:space="preserve">
Para novas vendas sempre tentar conseguir com o target com o cliente para vendas serem realizadas relativas aos ganhos aferidos e não ao custo.</t>
        </r>
      </text>
    </comment>
    <comment ref="A8" authorId="0" shapeId="0" xr:uid="{D2E043F0-9ACB-4854-B36F-B6A2ECD7D266}">
      <text>
        <r>
          <rPr>
            <b/>
            <sz val="9"/>
            <color indexed="81"/>
            <rFont val="Segoe UI"/>
            <family val="2"/>
          </rPr>
          <t>Edvar Spadette Junior:</t>
        </r>
        <r>
          <rPr>
            <sz val="9"/>
            <color indexed="81"/>
            <rFont val="Segoe UI"/>
            <family val="2"/>
          </rPr>
          <t xml:space="preserve">
Vem da planilha custo real equipe</t>
        </r>
      </text>
    </comment>
    <comment ref="E8" authorId="0" shapeId="0" xr:uid="{6E0C5732-E40A-4465-B4AE-D1079E24DE03}">
      <text>
        <r>
          <rPr>
            <b/>
            <sz val="9"/>
            <color indexed="81"/>
            <rFont val="Segoe UI"/>
            <family val="2"/>
          </rPr>
          <t>Edvar Spadette Junior:</t>
        </r>
        <r>
          <rPr>
            <sz val="9"/>
            <color indexed="81"/>
            <rFont val="Segoe UI"/>
            <family val="2"/>
          </rPr>
          <t xml:space="preserve">
Utilizado em projetos completos de automação que teremos hh de desenvolvimen to e campo</t>
        </r>
      </text>
    </comment>
    <comment ref="F8" authorId="0" shapeId="0" xr:uid="{3E86A706-82E2-4564-A9A0-19269D4E17BA}">
      <text>
        <r>
          <rPr>
            <b/>
            <sz val="9"/>
            <color indexed="81"/>
            <rFont val="Segoe UI"/>
            <family val="2"/>
          </rPr>
          <t>Edvar Spadette Junior:</t>
        </r>
        <r>
          <rPr>
            <sz val="9"/>
            <color indexed="81"/>
            <rFont val="Segoe UI"/>
            <family val="2"/>
          </rPr>
          <t xml:space="preserve">
Utilizado em projetos completos de automação que teremos hh de desenvolvimen to e campo</t>
        </r>
      </text>
    </comment>
    <comment ref="C16" authorId="0" shapeId="0" xr:uid="{394AE414-B4DA-4779-A280-3718E3AADE24}">
      <text>
        <r>
          <rPr>
            <b/>
            <sz val="9"/>
            <color indexed="81"/>
            <rFont val="Segoe UI"/>
            <family val="2"/>
          </rPr>
          <t>Edvar Spadette Junior:</t>
        </r>
        <r>
          <rPr>
            <sz val="9"/>
            <color indexed="81"/>
            <rFont val="Segoe UI"/>
            <family val="2"/>
          </rPr>
          <t xml:space="preserve">
Validar a quantidade de dias que já vem da matriz de escopo.</t>
        </r>
      </text>
    </comment>
    <comment ref="E16" authorId="0" shapeId="0" xr:uid="{DE5A3DB5-E8A3-4109-8E64-0992A100A2D7}">
      <text>
        <r>
          <rPr>
            <b/>
            <sz val="9"/>
            <color indexed="81"/>
            <rFont val="Segoe UI"/>
            <family val="2"/>
          </rPr>
          <t>Edvar Spadette Junior:</t>
        </r>
        <r>
          <rPr>
            <sz val="9"/>
            <color indexed="81"/>
            <rFont val="Segoe UI"/>
            <family val="2"/>
          </rPr>
          <t xml:space="preserve">
Utilizado em projetos completos de automação que teremos hh de desenvolvimen to e campo</t>
        </r>
      </text>
    </comment>
    <comment ref="F16" authorId="0" shapeId="0" xr:uid="{EC2C9E52-8DE8-4D44-A9CA-EB3883913AC3}">
      <text>
        <r>
          <rPr>
            <b/>
            <sz val="9"/>
            <color indexed="81"/>
            <rFont val="Segoe UI"/>
            <family val="2"/>
          </rPr>
          <t>Edvar Spadette Junior:</t>
        </r>
        <r>
          <rPr>
            <sz val="9"/>
            <color indexed="81"/>
            <rFont val="Segoe UI"/>
            <family val="2"/>
          </rPr>
          <t xml:space="preserve">
Utilizado em projetos completos de automação que teremos hh de desenvolvimen to e campo</t>
        </r>
      </text>
    </comment>
    <comment ref="G16" authorId="0" shapeId="0" xr:uid="{4FA056D0-C858-4257-BF78-DF18CABCBBDD}">
      <text>
        <r>
          <rPr>
            <b/>
            <sz val="9"/>
            <color indexed="81"/>
            <rFont val="Segoe UI"/>
            <family val="2"/>
          </rPr>
          <t>Edvar Spadette Junior:</t>
        </r>
        <r>
          <rPr>
            <sz val="9"/>
            <color indexed="81"/>
            <rFont val="Segoe UI"/>
            <family val="2"/>
          </rPr>
          <t xml:space="preserve">
Preencher com FTE (quantidade de recursos)</t>
        </r>
      </text>
    </comment>
    <comment ref="N57" authorId="0" shapeId="0" xr:uid="{5ED0218C-D85A-4FB5-9E06-3DB39F4F510A}">
      <text>
        <r>
          <rPr>
            <b/>
            <sz val="9"/>
            <color indexed="81"/>
            <rFont val="Segoe UI"/>
            <family val="2"/>
          </rPr>
          <t>Edvar Spadette Junior:</t>
        </r>
        <r>
          <rPr>
            <sz val="9"/>
            <color indexed="81"/>
            <rFont val="Segoe UI"/>
            <family val="2"/>
          </rPr>
          <t xml:space="preserve">
Usar quando vernder por nota de débito</t>
        </r>
      </text>
    </comment>
    <comment ref="O57" authorId="0" shapeId="0" xr:uid="{4AE7A0B6-5086-4596-9EE2-F1337FD46714}">
      <text>
        <r>
          <rPr>
            <b/>
            <sz val="9"/>
            <color indexed="81"/>
            <rFont val="Segoe UI"/>
            <family val="2"/>
          </rPr>
          <t>Edvar Spadette Junior:</t>
        </r>
        <r>
          <rPr>
            <sz val="9"/>
            <color indexed="81"/>
            <rFont val="Segoe UI"/>
            <family val="2"/>
          </rPr>
          <t xml:space="preserve">
Usar quando vender dentro do preço global.</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N2" authorId="0" shapeId="0" xr:uid="{AAE857A3-5946-42D6-904C-71413AF31A23}">
      <text>
        <r>
          <rPr>
            <b/>
            <sz val="9"/>
            <color indexed="81"/>
            <rFont val="Segoe UI"/>
            <family val="2"/>
          </rPr>
          <t>Autor:</t>
        </r>
        <r>
          <rPr>
            <sz val="9"/>
            <color indexed="81"/>
            <rFont val="Segoe UI"/>
            <family val="2"/>
          </rPr>
          <t xml:space="preserve">
Vem do PE23_TAGNA</t>
        </r>
      </text>
    </comment>
    <comment ref="M3" authorId="0" shapeId="0" xr:uid="{0ACA25EE-1E75-4D02-8050-116C9B9196CD}">
      <text>
        <r>
          <rPr>
            <b/>
            <sz val="9"/>
            <color indexed="81"/>
            <rFont val="Segoe UI"/>
            <family val="2"/>
          </rPr>
          <t>Autor:</t>
        </r>
        <r>
          <rPr>
            <sz val="9"/>
            <color indexed="81"/>
            <rFont val="Segoe UI"/>
            <family val="2"/>
          </rPr>
          <t xml:space="preserve">
PE2023_TAGNA</t>
        </r>
      </text>
    </comment>
    <comment ref="M5" authorId="0" shapeId="0" xr:uid="{AF76A0EE-CFDB-4B85-841E-FF459900D869}">
      <text>
        <r>
          <rPr>
            <b/>
            <sz val="9"/>
            <color indexed="81"/>
            <rFont val="Segoe UI"/>
            <family val="2"/>
          </rPr>
          <t>Autor:</t>
        </r>
        <r>
          <rPr>
            <sz val="9"/>
            <color indexed="81"/>
            <rFont val="Segoe UI"/>
            <family val="2"/>
          </rPr>
          <t xml:space="preserve">
PE2023_TAGNA</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Edvar Spadette Junior</author>
  </authors>
  <commentList>
    <comment ref="A2" authorId="0" shapeId="0" xr:uid="{78A3377B-E38B-4230-AF0D-40D4BEA7452F}">
      <text>
        <r>
          <rPr>
            <b/>
            <sz val="9"/>
            <color indexed="81"/>
            <rFont val="Segoe UI"/>
            <family val="2"/>
          </rPr>
          <t>Edvar Spadette Junior:</t>
        </r>
        <r>
          <rPr>
            <sz val="9"/>
            <color indexed="81"/>
            <rFont val="Segoe UI"/>
            <family val="2"/>
          </rPr>
          <t xml:space="preserve">
Taxa de juros anual.
De acordo com o país de referencia. </t>
        </r>
      </text>
    </comment>
    <comment ref="A3" authorId="0" shapeId="0" xr:uid="{5C147C02-18C0-41A9-A5A2-023F46B659AB}">
      <text>
        <r>
          <rPr>
            <b/>
            <sz val="9"/>
            <color indexed="81"/>
            <rFont val="Segoe UI"/>
            <family val="2"/>
          </rPr>
          <t>Edvar Spadette Junior:</t>
        </r>
        <r>
          <rPr>
            <sz val="9"/>
            <color indexed="81"/>
            <rFont val="Segoe UI"/>
            <family val="2"/>
          </rPr>
          <t xml:space="preserve">
Taxa de juros mensal</t>
        </r>
      </text>
    </comment>
    <comment ref="F3" authorId="0" shapeId="0" xr:uid="{E7A0B1E8-58C9-4A1D-AFE9-EDF9F47EDADA}">
      <text>
        <r>
          <rPr>
            <b/>
            <sz val="9"/>
            <color indexed="81"/>
            <rFont val="Segoe UI"/>
            <family val="2"/>
          </rPr>
          <t>Edvar Spadette Junior:</t>
        </r>
        <r>
          <rPr>
            <sz val="9"/>
            <color indexed="81"/>
            <rFont val="Segoe UI"/>
            <family val="2"/>
          </rPr>
          <t xml:space="preserve">
Colocar aqui o fluxo de desembolso do cliente em % do setup.
No final do setup colcoar o custo de sustentação até o final.</t>
        </r>
      </text>
    </comment>
    <comment ref="A5" authorId="0" shapeId="0" xr:uid="{F90D9484-EB94-4543-BA40-3550A01E1DD1}">
      <text>
        <r>
          <rPr>
            <b/>
            <sz val="9"/>
            <color indexed="81"/>
            <rFont val="Segoe UI"/>
            <family val="2"/>
          </rPr>
          <t>Edvar Spadette Junior:</t>
        </r>
        <r>
          <rPr>
            <sz val="9"/>
            <color indexed="81"/>
            <rFont val="Segoe UI"/>
            <family val="2"/>
          </rPr>
          <t xml:space="preserve">
Investimento no setup</t>
        </r>
      </text>
    </comment>
    <comment ref="A7" authorId="0" shapeId="0" xr:uid="{E5C1C330-E825-4885-96A0-0F85A898853A}">
      <text>
        <r>
          <rPr>
            <b/>
            <sz val="9"/>
            <color indexed="81"/>
            <rFont val="Segoe UI"/>
            <family val="2"/>
          </rPr>
          <t>Edvar Spadette Junior:</t>
        </r>
        <r>
          <rPr>
            <sz val="9"/>
            <color indexed="81"/>
            <rFont val="Segoe UI"/>
            <family val="2"/>
          </rPr>
          <t xml:space="preserve">
Investimento em sustentação.</t>
        </r>
      </text>
    </comment>
    <comment ref="A9" authorId="0" shapeId="0" xr:uid="{0C5DB609-3F40-4DDC-9215-2CA0757F71EF}">
      <text>
        <r>
          <rPr>
            <b/>
            <sz val="9"/>
            <color indexed="81"/>
            <rFont val="Segoe UI"/>
            <family val="2"/>
          </rPr>
          <t>Edvar Spadette Junior:</t>
        </r>
        <r>
          <rPr>
            <sz val="9"/>
            <color indexed="81"/>
            <rFont val="Segoe UI"/>
            <family val="2"/>
          </rPr>
          <t xml:space="preserve">
Ganho previsto mensal,
</t>
        </r>
      </text>
    </comment>
    <comment ref="B11" authorId="0" shapeId="0" xr:uid="{03272735-BF52-418B-BA0A-BE3A5D82B6E1}">
      <text>
        <r>
          <rPr>
            <b/>
            <sz val="9"/>
            <color indexed="81"/>
            <rFont val="Segoe UI"/>
            <family val="2"/>
          </rPr>
          <t>Edvar Spadette Junior:</t>
        </r>
        <r>
          <rPr>
            <sz val="9"/>
            <color indexed="81"/>
            <rFont val="Segoe UI"/>
            <family val="2"/>
          </rPr>
          <t xml:space="preserve">
Tempo de setup.</t>
        </r>
      </text>
    </comment>
    <comment ref="A13" authorId="0" shapeId="0" xr:uid="{4D3D81DA-CD0E-477D-8F6E-863E39936C62}">
      <text>
        <r>
          <rPr>
            <b/>
            <sz val="9"/>
            <color indexed="81"/>
            <rFont val="Segoe UI"/>
            <family val="2"/>
          </rPr>
          <t>Edvar Spadette Junior:</t>
        </r>
        <r>
          <rPr>
            <sz val="9"/>
            <color indexed="81"/>
            <rFont val="Segoe UI"/>
            <family val="2"/>
          </rPr>
          <t xml:space="preserve">
VPL: Valor presente.
Em 3 anos qual o ganhou em valor presente. 
</t>
        </r>
      </text>
    </comment>
    <comment ref="B14" authorId="0" shapeId="0" xr:uid="{3EDB9712-16FA-4DAF-A2C5-B423474E045F}">
      <text>
        <r>
          <rPr>
            <b/>
            <sz val="9"/>
            <color indexed="81"/>
            <rFont val="Segoe UI"/>
            <family val="2"/>
          </rPr>
          <t>Edvar Spadette Junior:</t>
        </r>
        <r>
          <rPr>
            <sz val="9"/>
            <color indexed="81"/>
            <rFont val="Segoe UI"/>
            <family val="2"/>
          </rPr>
          <t xml:space="preserve">
TIR: Taxa interna de retorno.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C6" authorId="0" shapeId="0" xr:uid="{4FD9683D-DF25-4EE5-8AC3-03D82998186C}">
      <text>
        <r>
          <rPr>
            <b/>
            <sz val="9"/>
            <color indexed="81"/>
            <rFont val="Tahoma"/>
            <family val="2"/>
          </rPr>
          <t>Autor:</t>
        </r>
        <r>
          <rPr>
            <sz val="9"/>
            <color indexed="81"/>
            <rFont val="Tahoma"/>
            <family val="2"/>
          </rPr>
          <t xml:space="preserve">
Somente para: Analogicas
Redes
Malhas</t>
        </r>
      </text>
    </comment>
    <comment ref="D6" authorId="0" shapeId="0" xr:uid="{FE77435D-A6E0-4727-8DE5-0B2793B7AC19}">
      <text>
        <r>
          <rPr>
            <b/>
            <sz val="9"/>
            <color indexed="81"/>
            <rFont val="Tahoma"/>
            <family val="2"/>
          </rPr>
          <t>Autor:</t>
        </r>
        <r>
          <rPr>
            <sz val="9"/>
            <color indexed="81"/>
            <rFont val="Tahoma"/>
            <family val="2"/>
          </rPr>
          <t xml:space="preserve">
De 5 a 8 para: 
Analogicas
Redes
Malhas</t>
        </r>
      </text>
    </comment>
    <comment ref="C17" authorId="0" shapeId="0" xr:uid="{EFBF661F-9D13-4EC9-8EDD-21404D8FAC82}">
      <text>
        <r>
          <rPr>
            <b/>
            <sz val="9"/>
            <color indexed="81"/>
            <rFont val="Tahoma"/>
            <family val="2"/>
          </rPr>
          <t>Autor:</t>
        </r>
        <r>
          <rPr>
            <sz val="9"/>
            <color indexed="81"/>
            <rFont val="Tahoma"/>
            <family val="2"/>
          </rPr>
          <t xml:space="preserve">
Somente para Analogicas
</t>
        </r>
      </text>
    </comment>
    <comment ref="D17" authorId="0" shapeId="0" xr:uid="{EB079717-1278-41CE-8D91-DD8225F562AE}">
      <text>
        <r>
          <rPr>
            <b/>
            <sz val="9"/>
            <color indexed="81"/>
            <rFont val="Tahoma"/>
            <family val="2"/>
          </rPr>
          <t>Autor:</t>
        </r>
        <r>
          <rPr>
            <sz val="9"/>
            <color indexed="81"/>
            <rFont val="Tahoma"/>
            <family val="2"/>
          </rPr>
          <t xml:space="preserve">
De 5 a 8 para: 
Analogicas
Redes
Malhas</t>
        </r>
      </text>
    </comment>
    <comment ref="C27" authorId="0" shapeId="0" xr:uid="{445E80B8-DBB1-4D8E-8A3A-F4472C8EF97D}">
      <text>
        <r>
          <rPr>
            <b/>
            <sz val="9"/>
            <color indexed="81"/>
            <rFont val="Tahoma"/>
            <family val="2"/>
          </rPr>
          <t>Autor:</t>
        </r>
        <r>
          <rPr>
            <sz val="9"/>
            <color indexed="81"/>
            <rFont val="Tahoma"/>
            <family val="2"/>
          </rPr>
          <t xml:space="preserve">
Somente para Analogicas
</t>
        </r>
      </text>
    </comment>
    <comment ref="D27" authorId="0" shapeId="0" xr:uid="{41133A31-D915-4C71-9BBF-DD277BAF9E86}">
      <text>
        <r>
          <rPr>
            <b/>
            <sz val="9"/>
            <color indexed="81"/>
            <rFont val="Tahoma"/>
            <family val="2"/>
          </rPr>
          <t>Autor:</t>
        </r>
        <r>
          <rPr>
            <sz val="9"/>
            <color indexed="81"/>
            <rFont val="Tahoma"/>
            <family val="2"/>
          </rPr>
          <t xml:space="preserve">
De 5 a 8 para: 
Analogicas
Redes
Malhas</t>
        </r>
      </text>
    </comment>
    <comment ref="B37" authorId="0" shapeId="0" xr:uid="{A828FF58-7142-4FA6-8006-0877435F5E81}">
      <text>
        <r>
          <rPr>
            <b/>
            <sz val="9"/>
            <color indexed="81"/>
            <rFont val="Tahoma"/>
            <family val="2"/>
          </rPr>
          <t>Autor:</t>
        </r>
        <r>
          <rPr>
            <sz val="9"/>
            <color indexed="81"/>
            <rFont val="Tahoma"/>
            <family val="2"/>
          </rPr>
          <t xml:space="preserve">
Somente para: Analogicas
Redes
Malhas</t>
        </r>
      </text>
    </comment>
    <comment ref="C37" authorId="0" shapeId="0" xr:uid="{AB1ABCD0-8211-4BFE-831A-0FA6591F6012}">
      <text>
        <r>
          <rPr>
            <b/>
            <sz val="9"/>
            <color indexed="81"/>
            <rFont val="Tahoma"/>
            <family val="2"/>
          </rPr>
          <t>Autor:</t>
        </r>
        <r>
          <rPr>
            <sz val="9"/>
            <color indexed="81"/>
            <rFont val="Tahoma"/>
            <family val="2"/>
          </rPr>
          <t xml:space="preserve">
De 5 a 8 para: 
Analogicas
Redes
Malhas</t>
        </r>
      </text>
    </comment>
    <comment ref="C47" authorId="0" shapeId="0" xr:uid="{F438424E-E355-451E-BA9F-CC34AA6FD3AE}">
      <text>
        <r>
          <rPr>
            <b/>
            <sz val="9"/>
            <color indexed="81"/>
            <rFont val="Tahoma"/>
            <family val="2"/>
          </rPr>
          <t>Autor:</t>
        </r>
        <r>
          <rPr>
            <sz val="9"/>
            <color indexed="81"/>
            <rFont val="Tahoma"/>
            <family val="2"/>
          </rPr>
          <t xml:space="preserve">
Somente para: Analogicas
Redes
Malhas</t>
        </r>
      </text>
    </comment>
    <comment ref="D47" authorId="0" shapeId="0" xr:uid="{58AC3A2E-87E6-4EC0-9FE0-E0E783F155F4}">
      <text>
        <r>
          <rPr>
            <b/>
            <sz val="9"/>
            <color indexed="81"/>
            <rFont val="Tahoma"/>
            <family val="2"/>
          </rPr>
          <t>Autor:</t>
        </r>
        <r>
          <rPr>
            <sz val="9"/>
            <color indexed="81"/>
            <rFont val="Tahoma"/>
            <family val="2"/>
          </rPr>
          <t xml:space="preserve">
De 5 a 8 para: 
Analogicas
Redes
Malhas</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<sst xmlns="http://schemas.openxmlformats.org/spreadsheetml/2006/main" count="2869" uniqueCount="1101">
  <si>
    <t>PMO</t>
  </si>
  <si>
    <t>(=) Receita Bruta (ROB)</t>
  </si>
  <si>
    <t xml:space="preserve">          (-) Deduções da Receita</t>
  </si>
  <si>
    <t>%ROB</t>
  </si>
  <si>
    <t>(=) Receita Líquida (ROL)</t>
  </si>
  <si>
    <t xml:space="preserve">           (-) Custos</t>
  </si>
  <si>
    <t xml:space="preserve">                      (+) Viagens</t>
  </si>
  <si>
    <t>(=) Contribuição Marginal/Margem Bruta</t>
  </si>
  <si>
    <t>%ROL</t>
  </si>
  <si>
    <t>DIRETORIAS</t>
  </si>
  <si>
    <t>(-) Despesas</t>
  </si>
  <si>
    <t xml:space="preserve">           (+) Despesas Fixas (Diretorias de Engenharia e Tecnologia)</t>
  </si>
  <si>
    <t xml:space="preserve">           (+) Despesas Fixas (Diretoria de Operações)</t>
  </si>
  <si>
    <t xml:space="preserve">           (+) Despesas Variáveis (Diretoria Comercial e Marketing)</t>
  </si>
  <si>
    <t xml:space="preserve">           (+) Despesas Variáveis (Projetos Internos PE)</t>
  </si>
  <si>
    <t xml:space="preserve">           (+) Resultados Não Operacionais</t>
  </si>
  <si>
    <t>FINANCEIRO</t>
  </si>
  <si>
    <t>(=) EBV (Economic Book Value)</t>
  </si>
  <si>
    <t xml:space="preserve">           (-) Remuneração Variável dos Sócios</t>
  </si>
  <si>
    <t>(=) EBITDA (Lucros Antes de Juros, Impostos, Depreciação e Amortização)</t>
  </si>
  <si>
    <t xml:space="preserve">            (-) Depreciação/Amortização</t>
  </si>
  <si>
    <t xml:space="preserve">            (-) Não Recorrentes</t>
  </si>
  <si>
    <t>(=) EBIT (Lucros Antes dos Juros e Impostos)</t>
  </si>
  <si>
    <t xml:space="preserve">             (-) Despesas/Receitas Financeiras</t>
  </si>
  <si>
    <t>(=) EBT (Lucros Antes de Impostos)</t>
  </si>
  <si>
    <t xml:space="preserve">             (-) Impostos/Taxas</t>
  </si>
  <si>
    <t>(=) EAT (Lucro Líquido)</t>
  </si>
  <si>
    <t>HH Dev</t>
  </si>
  <si>
    <t>VALOR DE VENDA</t>
  </si>
  <si>
    <t>PARÂMETROS DO FINANCEIRO</t>
  </si>
  <si>
    <t>CUSTOS</t>
  </si>
  <si>
    <t>METAS</t>
  </si>
  <si>
    <t>Usar Atingir Metas</t>
  </si>
  <si>
    <t>Entrada Manual</t>
  </si>
  <si>
    <t>Saída do Atingir Metas</t>
  </si>
  <si>
    <t>Quantidade</t>
  </si>
  <si>
    <t>Preço Unitário</t>
  </si>
  <si>
    <t xml:space="preserve">                      (+) Custos HH Desenvolvimento</t>
  </si>
  <si>
    <t xml:space="preserve">                      (+) Custos HH Campo</t>
  </si>
  <si>
    <t>Custo</t>
  </si>
  <si>
    <t>Venda</t>
  </si>
  <si>
    <t xml:space="preserve">                      (+) Custo de Serviços Terceirizados</t>
  </si>
  <si>
    <t>HH Campo</t>
  </si>
  <si>
    <t>ANÁLISE</t>
  </si>
  <si>
    <t>DESCRIÇÃO</t>
  </si>
  <si>
    <t>DETALHAMENTO</t>
  </si>
  <si>
    <t>ESCOPO</t>
  </si>
  <si>
    <t>SIM</t>
  </si>
  <si>
    <t>NÃO</t>
  </si>
  <si>
    <t>INTERNAÇÃO</t>
  </si>
  <si>
    <t>ITEM</t>
  </si>
  <si>
    <t>Kick-off</t>
  </si>
  <si>
    <t>Levantamento de Campo</t>
  </si>
  <si>
    <t>Levantamento de Dados</t>
  </si>
  <si>
    <t>Sistema de Controle</t>
  </si>
  <si>
    <t>Sistema de Supervisão</t>
  </si>
  <si>
    <t>Programação de IHM</t>
  </si>
  <si>
    <t>Interface com outros sistemas</t>
  </si>
  <si>
    <t>TESTES DE ACEITAÇÃO</t>
  </si>
  <si>
    <t>Teste de Plataforma</t>
  </si>
  <si>
    <t>Teste em Fábrica (TAF)</t>
  </si>
  <si>
    <t>MOBILIZAÇÃO EMPRESA E EQUIPE</t>
  </si>
  <si>
    <t>Exames</t>
  </si>
  <si>
    <t>Treinamentos Específicos</t>
  </si>
  <si>
    <t>Treinamento de Integração</t>
  </si>
  <si>
    <t>Envio de documentos de habilitação</t>
  </si>
  <si>
    <t>IMPLANTAÇÃO DE CAMPO</t>
  </si>
  <si>
    <t>Pré-Comissionamento</t>
  </si>
  <si>
    <t>Comissionamento</t>
  </si>
  <si>
    <t>Operação Assistida</t>
  </si>
  <si>
    <t>Manuais</t>
  </si>
  <si>
    <t>FORNECIMENTOS</t>
  </si>
  <si>
    <t>Desmobilização</t>
  </si>
  <si>
    <t>INTERNO TAGNA</t>
  </si>
  <si>
    <t>Parametrização de ativos de rede (Switch, roteador)</t>
  </si>
  <si>
    <t>Supervisão de Montagem</t>
  </si>
  <si>
    <t>DESENVOLVIMENTO DE PROJETO</t>
  </si>
  <si>
    <t>9.1</t>
  </si>
  <si>
    <t>Analista C</t>
  </si>
  <si>
    <t>Analista B</t>
  </si>
  <si>
    <t>Analista A</t>
  </si>
  <si>
    <t>Consultor C</t>
  </si>
  <si>
    <t>Consultor B</t>
  </si>
  <si>
    <t>Consultor A</t>
  </si>
  <si>
    <t>Estagiário</t>
  </si>
  <si>
    <t>TREINAMENTOS</t>
  </si>
  <si>
    <t>OUTRAS ATIVIDADES</t>
  </si>
  <si>
    <t>Atividade 1</t>
  </si>
  <si>
    <t>Atividade 2</t>
  </si>
  <si>
    <t>HORAS</t>
  </si>
  <si>
    <t>TOTAL</t>
  </si>
  <si>
    <t>DIAS</t>
  </si>
  <si>
    <t>RECURSOS</t>
  </si>
  <si>
    <t>PREMISSAS e EXCLUSÕES</t>
  </si>
  <si>
    <t>FAVOR ATENTAR PARA AS PREMISSAS ABAIXO!!!</t>
  </si>
  <si>
    <r>
      <t xml:space="preserve">&gt; Somente preencher os campos brancos. </t>
    </r>
    <r>
      <rPr>
        <b/>
        <u/>
        <sz val="10"/>
        <color theme="0"/>
        <rFont val="Roboto"/>
      </rPr>
      <t>Não alterar nenhum dados que não estiver em um campo branco.</t>
    </r>
    <r>
      <rPr>
        <sz val="10"/>
        <color theme="0"/>
        <rFont val="Roboto"/>
      </rPr>
      <t xml:space="preserve">
</t>
    </r>
  </si>
  <si>
    <t>Parametros básicos para sustentação</t>
  </si>
  <si>
    <t>Dados</t>
  </si>
  <si>
    <t>HH mês</t>
  </si>
  <si>
    <t xml:space="preserve">HH médio DT </t>
  </si>
  <si>
    <t>HH médio DT Suporte</t>
  </si>
  <si>
    <t>Passagem</t>
  </si>
  <si>
    <t>Hotel</t>
  </si>
  <si>
    <t>Carro</t>
  </si>
  <si>
    <t>Alimentaçao</t>
  </si>
  <si>
    <t>Combustivel</t>
  </si>
  <si>
    <t>Taxi</t>
  </si>
  <si>
    <t>DIRETRIZES SOBRE MEMÓRIA GENÉRICA:</t>
  </si>
  <si>
    <t>CUSTO</t>
  </si>
  <si>
    <t>VENDA</t>
  </si>
  <si>
    <t>MARGEM MÍNIMA</t>
  </si>
  <si>
    <t>Preço de Venda</t>
  </si>
  <si>
    <t>Custo de HH</t>
  </si>
  <si>
    <t>Atividade 3</t>
  </si>
  <si>
    <t>Atividade 4</t>
  </si>
  <si>
    <t>Atividade 5</t>
  </si>
  <si>
    <t>Atividade 6</t>
  </si>
  <si>
    <t>Atividade 7</t>
  </si>
  <si>
    <t>Atividade 8</t>
  </si>
  <si>
    <t>Atividade 9</t>
  </si>
  <si>
    <t>Aéreo</t>
  </si>
  <si>
    <t>Carro (dia)</t>
  </si>
  <si>
    <t>Carro (mês)</t>
  </si>
  <si>
    <t>Almoço</t>
  </si>
  <si>
    <t>Janta</t>
  </si>
  <si>
    <t>Gasolina</t>
  </si>
  <si>
    <t>Mobilização</t>
  </si>
  <si>
    <t>VIAGENS</t>
  </si>
  <si>
    <t>OVERHEAD CUSTO DE HORAS</t>
  </si>
  <si>
    <t>DIRETRIZES SOBRE MEMÓRIA BASE DE AUTOMAÇÃO:</t>
  </si>
  <si>
    <t>DESENVOLVIMENTOS (Listar)</t>
  </si>
  <si>
    <t>CAMPO (Listar)</t>
  </si>
  <si>
    <t>Precificação de projeto padrão inicia-se pela MATRIZ DE ESCOPO</t>
  </si>
  <si>
    <t>ENCERRAMENTO DE PROJETO</t>
  </si>
  <si>
    <t>Matriz de escopo alimenta a MEMÓRIA OT AUTOMAÇÃO que pode ser validada</t>
  </si>
  <si>
    <t>Utilizar a sequência abaixo para precificação de serviços.</t>
  </si>
  <si>
    <t>Caso necessite fazer uma precificação genérica que não se adequa ao padrão de automação usar a MEMÓRIA GENÉRICA</t>
  </si>
  <si>
    <t>COMO USAR ESSE DRE:</t>
  </si>
  <si>
    <t xml:space="preserve">DRE serve para anaisarmos a estimativa no mesmo formato que o PMO e o FIN fazem e entendermos como a vendas está ajudanda empresa.
Para validar devemos colocar na linha receita bruta (ROB) o preço de venda total (se viagem fizer parte do escopo devemos somar os dois orçamentos, se viagem for via nota de débito retirar do venda e custo).
Da mesma forma devemos colocar aqui os custos com projetos em desenvolvimento ou campo e colocar os custos de viagens na linha correnpondente.
Com o preço de venda e custos cadastrados a planilha irá mostrar as metas de EBITDA e Lucro Líquido para avalição. </t>
  </si>
  <si>
    <t>&gt; Viagens não são consideradas e devem ser precificadas. Se cobradas via nota de débito apresentar preço de custo para cliente de forma separada, caso contrário devemos paresentar preço de venda.</t>
  </si>
  <si>
    <t>Viagens</t>
  </si>
  <si>
    <t>Tarifa</t>
  </si>
  <si>
    <t xml:space="preserve">Dados de HH já vem da matriz de escopo da memório preenchida pelo Sales Eng.
Caso necessário pode ser alterada a quantidade de HH por FTE de equipe, ideal evitar.
Preço já soma as horas especificadas na matriz de escopo conforme definição do Sales Eng.
Viagens devem ser precificadas por atividades a serem listadas. Para cada atividade deverá ser preenchido o número de profisisonais e no campo das despesas a necessidade de compras para cada profissional, por fim o preço irá multiplicar a lista de compra de viagem pela quantidade de profissinais. </t>
  </si>
  <si>
    <t xml:space="preserve">Preencher as atividades conforme necessidade de projeto. 
Pode usar FTE de pessoal específico ou FTE de HH médio de desenvolvimento e campo para simplificação.
Viagens devem ser precificadas por atividades a serem listadas. Para cada atividade deverá ser preenchido o número de profisisonais e no campo das despesas a necessidade de compras para cada profissional, por fim o preço irá multiplicar a lista de compra de viagem pela quantidade de profissinais. </t>
  </si>
  <si>
    <t>REPORTAR UMA MELHORIA!</t>
  </si>
  <si>
    <r>
      <t xml:space="preserve">&gt; </t>
    </r>
    <r>
      <rPr>
        <b/>
        <sz val="10"/>
        <color theme="0"/>
        <rFont val="Roboto"/>
      </rPr>
      <t>MELHORIAS</t>
    </r>
    <r>
      <rPr>
        <sz val="10"/>
        <color theme="0"/>
        <rFont val="Roboto"/>
      </rPr>
      <t xml:space="preserve">: Caso identifique alguma melhoria na memória clicar no campo </t>
    </r>
    <r>
      <rPr>
        <b/>
        <u/>
        <sz val="10"/>
        <color theme="0"/>
        <rFont val="Roboto"/>
      </rPr>
      <t>REPORTAR UMA  MELHORIA</t>
    </r>
    <r>
      <rPr>
        <sz val="10"/>
        <color theme="0"/>
        <rFont val="Roboto"/>
      </rPr>
      <t xml:space="preserve"> na parte superior.</t>
    </r>
  </si>
  <si>
    <t>Atividade 10</t>
  </si>
  <si>
    <t>Atividade 11</t>
  </si>
  <si>
    <t>Atividade 12</t>
  </si>
  <si>
    <t>Atividade 13</t>
  </si>
  <si>
    <t>Atividade 14</t>
  </si>
  <si>
    <t>Atividade 15</t>
  </si>
  <si>
    <t>PROF.</t>
  </si>
  <si>
    <t>Em atividades com mais de 20 dias avaliar a necessidade de carro mensal.</t>
  </si>
  <si>
    <t>Média de 80km/dia ou 8 litros/dia em média.</t>
  </si>
  <si>
    <t>Colocar o número de profissionais na atividade.</t>
  </si>
  <si>
    <t>Colocar a quantidade de dias corridos da atividade em campo.</t>
  </si>
  <si>
    <t>Colocar o número de viagens aéreas necessárias para a atividade</t>
  </si>
  <si>
    <t xml:space="preserve">Se almoço for na planta do cliente retirar. </t>
  </si>
  <si>
    <t>DIRETRIZES SOBRE MARCOS E CRONOGRAMA:</t>
  </si>
  <si>
    <t>% FATURAMENTO</t>
  </si>
  <si>
    <t>MARCO/ATIVIDADE</t>
  </si>
  <si>
    <t>Preço total de venda deverá ser o preço de serviços + preço de viagem se escopo comtemplar viagem. Se viagem for via nota de débito NÃO adicionar.</t>
  </si>
  <si>
    <t>PREÇO (R$)</t>
  </si>
  <si>
    <t>CRONOGRAMA</t>
  </si>
  <si>
    <t>MÊS 1</t>
  </si>
  <si>
    <t>MÊS 2</t>
  </si>
  <si>
    <t>MÊS 3</t>
  </si>
  <si>
    <t>MÊS 4</t>
  </si>
  <si>
    <t>MÊS 5</t>
  </si>
  <si>
    <t>MÊS 6</t>
  </si>
  <si>
    <t>MÊS 7</t>
  </si>
  <si>
    <t>MÊS 8</t>
  </si>
  <si>
    <t>MÊS 9</t>
  </si>
  <si>
    <t>MÊS 10</t>
  </si>
  <si>
    <t>MÊS 11</t>
  </si>
  <si>
    <t>MÊS 12</t>
  </si>
  <si>
    <t>DESEMBOLSO FINANCEIRO</t>
  </si>
  <si>
    <r>
      <t xml:space="preserve">Ideia é termos um modelo padrão de tabela marcos similar para todas as vendas com os mesmos percentuais de faturamento para cada fase.
Mesmo modelo pode ser usado para memória genérica.
Caso memória genérica não se encaixe dentro das atividades criar uma tabela similar separada.
Preencher o cronograma os percentuais de cada fase em cada mês.
Devemos </t>
    </r>
    <r>
      <rPr>
        <b/>
        <sz val="8"/>
        <color theme="0"/>
        <rFont val="Roboto"/>
      </rPr>
      <t>SEMPRE</t>
    </r>
    <r>
      <rPr>
        <sz val="8"/>
        <color theme="0"/>
        <rFont val="Roboto"/>
      </rPr>
      <t xml:space="preserve"> buscar antecipar o máximo de faturamento.</t>
    </r>
  </si>
  <si>
    <t>DESPESAS DE VIAGEM</t>
  </si>
  <si>
    <t>Preencher com custo de viagem se for via nota de débito.</t>
  </si>
  <si>
    <r>
      <t xml:space="preserve">DESPESAS DE VIAGEM 
</t>
    </r>
    <r>
      <rPr>
        <b/>
        <sz val="8"/>
        <color theme="0"/>
        <rFont val="Roboto"/>
      </rPr>
      <t>(Reembolsada via nota de débito)</t>
    </r>
  </si>
  <si>
    <t>Documentos de Mobilização</t>
  </si>
  <si>
    <t>Viagem 1 semana</t>
  </si>
  <si>
    <t>Documentos</t>
  </si>
  <si>
    <t>CRONOGRAMA DESEMBOLSO</t>
  </si>
  <si>
    <t>Projetos genéricos devem ser preenchidos à mão. Sempre lembrando de amtecipar recebimentos.</t>
  </si>
  <si>
    <t>WACC Year</t>
  </si>
  <si>
    <t>Month</t>
  </si>
  <si>
    <t>WACC Month</t>
  </si>
  <si>
    <t>Billing</t>
  </si>
  <si>
    <t>(A) Investiment</t>
  </si>
  <si>
    <t>Investment</t>
  </si>
  <si>
    <t>(B) Benefits</t>
  </si>
  <si>
    <t>(B-A)</t>
  </si>
  <si>
    <t>Maintenance</t>
  </si>
  <si>
    <t>(B-A) Acummulated</t>
  </si>
  <si>
    <t>Benefit</t>
  </si>
  <si>
    <t>Capture Month</t>
  </si>
  <si>
    <t>NPV</t>
  </si>
  <si>
    <t>IRR monthly</t>
  </si>
  <si>
    <t>Payback (months)</t>
  </si>
  <si>
    <t>HH Médio GERAL CLP</t>
  </si>
  <si>
    <t>HH Médio GERAL SS</t>
  </si>
  <si>
    <t>HH Médio GERAL SDCD</t>
  </si>
  <si>
    <t>Ponderação de Ocorrência (% de chances de ocorrer a quantidade de pontos solicitadas em projetos) - Deve ser modificado por cliente!</t>
  </si>
  <si>
    <t>Ponto</t>
  </si>
  <si>
    <t>Faixas</t>
  </si>
  <si>
    <t>1 a 4</t>
  </si>
  <si>
    <t>5 a 8</t>
  </si>
  <si>
    <t>9 a 16</t>
  </si>
  <si>
    <t>17 a 24</t>
  </si>
  <si>
    <t>&gt; 25</t>
  </si>
  <si>
    <t>ED</t>
  </si>
  <si>
    <t>SD</t>
  </si>
  <si>
    <t>EA</t>
  </si>
  <si>
    <t>S.A</t>
  </si>
  <si>
    <t>Rede</t>
  </si>
  <si>
    <t>Malha</t>
  </si>
  <si>
    <t>Peso</t>
  </si>
  <si>
    <t>Média</t>
  </si>
  <si>
    <t>Ponderada</t>
  </si>
  <si>
    <t>Levant.</t>
  </si>
  <si>
    <t>Controlador por Ponto</t>
  </si>
  <si>
    <t>Rede CCM</t>
  </si>
  <si>
    <t>Supervisório por Ponto (considerar o mesmo quantitativo, mas colocar um profissional de um nivel inferior ao do Controlador)</t>
  </si>
  <si>
    <t>GERAL</t>
  </si>
  <si>
    <t>SDCD por Ponto (70% da soma de CLP e supervisão, mas colocar um profissional um nível acima do desenvolvedor do controlador)</t>
  </si>
  <si>
    <t>Equipamento (Distribuicao de pontos por classe)</t>
  </si>
  <si>
    <t>Tipo</t>
  </si>
  <si>
    <t>A</t>
  </si>
  <si>
    <t>B</t>
  </si>
  <si>
    <t>C</t>
  </si>
  <si>
    <t>D</t>
  </si>
  <si>
    <t>I/O</t>
  </si>
  <si>
    <t>1 a 8</t>
  </si>
  <si>
    <t>acima de 25</t>
  </si>
  <si>
    <t>%</t>
  </si>
  <si>
    <t>Máximo</t>
  </si>
  <si>
    <t>Controlador por Equipamento (horas)</t>
  </si>
  <si>
    <t>Horas levantadas pelo numero de pontos dos equipamentos</t>
  </si>
  <si>
    <t>possibilidade de retirar</t>
  </si>
  <si>
    <t>Supervisório por Equipamento (horas)</t>
  </si>
  <si>
    <t>SDCD por Equipamento (horas)</t>
  </si>
  <si>
    <t>Fator para equipamentos seguintes</t>
  </si>
  <si>
    <t>% Tempo para Estudo do programa (Realizado somente no primeiro ponto)</t>
  </si>
  <si>
    <t>% Tempo para Programação (Realizado sempre)</t>
  </si>
  <si>
    <t>Levantamento de campo por ponto (definidos por HH)</t>
  </si>
  <si>
    <t>PONTOS DE I/O</t>
  </si>
  <si>
    <t>PONTOS</t>
  </si>
  <si>
    <t>CLP</t>
  </si>
  <si>
    <t>SUPERVISÓRIO</t>
  </si>
  <si>
    <t>SDCD</t>
  </si>
  <si>
    <t>Opção Inicial</t>
  </si>
  <si>
    <t>Entradas Digitais</t>
  </si>
  <si>
    <t>Saidas Digitais</t>
  </si>
  <si>
    <t>Entradas Analogicas</t>
  </si>
  <si>
    <t>Saidas Analogicas</t>
  </si>
  <si>
    <t>Nós de Rede</t>
  </si>
  <si>
    <t>Malhas</t>
  </si>
  <si>
    <t>Conversão de pontos</t>
  </si>
  <si>
    <t>Volume de HH de desenvolvimento</t>
  </si>
  <si>
    <r>
      <t xml:space="preserve">&gt; </t>
    </r>
    <r>
      <rPr>
        <b/>
        <sz val="10"/>
        <color theme="0"/>
        <rFont val="Roboto"/>
      </rPr>
      <t>ABAS DE APOIO</t>
    </r>
    <r>
      <rPr>
        <sz val="10"/>
        <color theme="0"/>
        <rFont val="Roboto"/>
      </rPr>
      <t xml:space="preserve">: Temos duas abas de apoio - </t>
    </r>
    <r>
      <rPr>
        <b/>
        <sz val="10"/>
        <color theme="0"/>
        <rFont val="Roboto"/>
      </rPr>
      <t>ROI</t>
    </r>
    <r>
      <rPr>
        <sz val="10"/>
        <color theme="0"/>
        <rFont val="Roboto"/>
      </rPr>
      <t xml:space="preserve"> &gt; para calculo de retorno de investimento para projetos que conseguimos estimar os ganhos e </t>
    </r>
    <r>
      <rPr>
        <b/>
        <sz val="10"/>
        <color theme="0"/>
        <rFont val="Roboto"/>
      </rPr>
      <t>ESTIMADOR</t>
    </r>
    <r>
      <rPr>
        <sz val="10"/>
        <color theme="0"/>
        <rFont val="Roboto"/>
      </rPr>
      <t xml:space="preserve"> &gt; Para estimativa inicial de projetos de OT.</t>
    </r>
  </si>
  <si>
    <t>&gt;&gt;&gt;&gt;&gt;&gt;&gt;&gt;&gt;&gt;</t>
  </si>
  <si>
    <t>Desenvolvimento em (marque com X CLP ou SDCD)</t>
  </si>
  <si>
    <t>VENDA TOTAL</t>
  </si>
  <si>
    <t>VIAGEM FATURADA</t>
  </si>
  <si>
    <t>VIAGEM NOTA DÉBITO</t>
  </si>
  <si>
    <t>Objeto da proposta</t>
  </si>
  <si>
    <t>Documentos de referência</t>
  </si>
  <si>
    <t>Limites de escopo - Quantitativo de IO</t>
  </si>
  <si>
    <t>Saídas Digitais</t>
  </si>
  <si>
    <t>Entradas Analógicas</t>
  </si>
  <si>
    <t>Saídas Analógicas</t>
  </si>
  <si>
    <t>Limites de escopo - Outros Itens</t>
  </si>
  <si>
    <t>DETALHAMENTO/QUANTIDADE</t>
  </si>
  <si>
    <t>LISTA DE DESVIOS</t>
  </si>
  <si>
    <t>PAG</t>
  </si>
  <si>
    <t>DOCUMENTO</t>
  </si>
  <si>
    <t>DESVIO</t>
  </si>
  <si>
    <t>2.1</t>
  </si>
  <si>
    <t>2.2</t>
  </si>
  <si>
    <t>2.3</t>
  </si>
  <si>
    <t>2.4</t>
  </si>
  <si>
    <t>Testes de comandos via supervisório/IHM</t>
  </si>
  <si>
    <t>2.5</t>
  </si>
  <si>
    <t>Acionamento de drivers e atuadores sem carga</t>
  </si>
  <si>
    <t>2.6</t>
  </si>
  <si>
    <t>Parametrização de drivers de acionamentos (CCM)</t>
  </si>
  <si>
    <t>2.7</t>
  </si>
  <si>
    <t>Parametrização de relés de proteção (Entrada de CCM, Subestação)</t>
  </si>
  <si>
    <t>2.8</t>
  </si>
  <si>
    <t>Parametrização de instrumentos</t>
  </si>
  <si>
    <t>2.9</t>
  </si>
  <si>
    <t>2.10</t>
  </si>
  <si>
    <t>Teste integrado da automação com a equipe de comissionamento de elétrica e instrumentação</t>
  </si>
  <si>
    <t>Start-up</t>
  </si>
  <si>
    <t>Certificação de Redes</t>
  </si>
  <si>
    <t>Testes de redes de comunicação entre o Controlador, Remotas, Drivers e Supervisório</t>
  </si>
  <si>
    <t>Horas de translado são consideradas de trabalho e medidas em RDO?</t>
  </si>
  <si>
    <r>
      <t xml:space="preserve">Treinamento on the job? 
</t>
    </r>
    <r>
      <rPr>
        <sz val="8"/>
        <color theme="1"/>
        <rFont val="Roboto"/>
      </rPr>
      <t>(executado dentro das horas de campo)</t>
    </r>
  </si>
  <si>
    <t>Margem de Contribuição</t>
  </si>
  <si>
    <t>Deduções da Receita</t>
  </si>
  <si>
    <t>&lt;&lt;&lt; Foco da precificação</t>
  </si>
  <si>
    <t xml:space="preserve">CLIENTE: </t>
  </si>
  <si>
    <t xml:space="preserve">ÁREA VISITADA: </t>
  </si>
  <si>
    <t>CIDADE:</t>
  </si>
  <si>
    <t xml:space="preserve">CONTATO: </t>
  </si>
  <si>
    <t xml:space="preserve">DATA :                                           </t>
  </si>
  <si>
    <t xml:space="preserve">TÉCNICO EM VISITA: </t>
  </si>
  <si>
    <t>ITENS DE VERIFICAÇÃO</t>
  </si>
  <si>
    <t>OK</t>
  </si>
  <si>
    <t xml:space="preserve">NÃO OK </t>
  </si>
  <si>
    <t>NA</t>
  </si>
  <si>
    <t>Usaremos para o projeto RDO da TAGNA ou do Cliente?</t>
  </si>
  <si>
    <t>Jornada de trabalho a ser considerada para implantação campo.</t>
  </si>
  <si>
    <t>Sobreaviso previsto?</t>
  </si>
  <si>
    <t>Periculosidade em campo inclusa?</t>
  </si>
  <si>
    <t>Elaboração de Documentos de SSMA</t>
  </si>
  <si>
    <t>-</t>
  </si>
  <si>
    <t>Modelo</t>
  </si>
  <si>
    <t>Item</t>
  </si>
  <si>
    <t>Diária de Analista de Automação</t>
  </si>
  <si>
    <t>Diária</t>
  </si>
  <si>
    <t>Diária de Consultor de Automação</t>
  </si>
  <si>
    <t>Aditivo de Periculosidade Analista</t>
  </si>
  <si>
    <t>Vb</t>
  </si>
  <si>
    <t>Aditivo de Periculosidade Consultor</t>
  </si>
  <si>
    <t>Diária de Viagem do Profissional</t>
  </si>
  <si>
    <t>Translado - Ida e Volta</t>
  </si>
  <si>
    <t xml:space="preserve">-&gt; Passagem de Avião + Taxi do Aeroporto para Ida e Volta </t>
  </si>
  <si>
    <t>-&gt; Documentos padrão de Mobilização</t>
  </si>
  <si>
    <t>Remota</t>
  </si>
  <si>
    <t>Presencial</t>
  </si>
  <si>
    <t>Kick Off</t>
  </si>
  <si>
    <t>ABB</t>
  </si>
  <si>
    <t>PLCs</t>
  </si>
  <si>
    <t>WinCC</t>
  </si>
  <si>
    <t>FactoryTalk</t>
  </si>
  <si>
    <t>Vijeo Citect</t>
  </si>
  <si>
    <t>IFIX</t>
  </si>
  <si>
    <t>Elipse E3</t>
  </si>
  <si>
    <t>Elipse Scada</t>
  </si>
  <si>
    <t>Intouch</t>
  </si>
  <si>
    <t>Plant Scada</t>
  </si>
  <si>
    <t>Linha Supervisório</t>
  </si>
  <si>
    <t>Fab. Supervisório</t>
  </si>
  <si>
    <t>Linha PLC</t>
  </si>
  <si>
    <t>Power Operation</t>
  </si>
  <si>
    <t>Protocolo</t>
  </si>
  <si>
    <t>PROFINET</t>
  </si>
  <si>
    <t>Ethernet/IP</t>
  </si>
  <si>
    <t>MODBUS TCP</t>
  </si>
  <si>
    <t>MODBUS RTU</t>
  </si>
  <si>
    <t>PROFIBUS</t>
  </si>
  <si>
    <t>DeviceNet</t>
  </si>
  <si>
    <t>EtherCAT</t>
  </si>
  <si>
    <t>CANopen</t>
  </si>
  <si>
    <t>HART</t>
  </si>
  <si>
    <t>OPC UA</t>
  </si>
  <si>
    <t>Modelo IHM</t>
  </si>
  <si>
    <t>Arquitetura</t>
  </si>
  <si>
    <t>PLC/Supervisório</t>
  </si>
  <si>
    <t>DCS</t>
  </si>
  <si>
    <t>Limites de escopo - Outros itens</t>
  </si>
  <si>
    <t>Número de telas de Supervisório</t>
  </si>
  <si>
    <t>Número de telas de IHM</t>
  </si>
  <si>
    <t>I/O Físicos</t>
  </si>
  <si>
    <t>Local</t>
  </si>
  <si>
    <t>Sim ou Não</t>
  </si>
  <si>
    <t>TAGNA</t>
  </si>
  <si>
    <t>CLIENTE</t>
  </si>
  <si>
    <t>40 semanais/ 168 mensais</t>
  </si>
  <si>
    <t>44 semanais/176 mensais</t>
  </si>
  <si>
    <t>Jornada de trabalho Campo</t>
  </si>
  <si>
    <t>Testes de Sinais entre transmissores, atuadores e o Controlador</t>
  </si>
  <si>
    <t>Testes Sinais entre o Controlador e o CCM</t>
  </si>
  <si>
    <t>Parametrizações</t>
  </si>
  <si>
    <t>Comunicação</t>
  </si>
  <si>
    <t>Comunicação e Operação</t>
  </si>
  <si>
    <t>Treinamentos</t>
  </si>
  <si>
    <t>Tipos de treinamentos</t>
  </si>
  <si>
    <t>Manutenção</t>
  </si>
  <si>
    <t>Operação</t>
  </si>
  <si>
    <t>Manutenção e operação</t>
  </si>
  <si>
    <t>Acionamentos a parametrizar</t>
  </si>
  <si>
    <t>Relés de proteção a parametrizar</t>
  </si>
  <si>
    <t>Instrumentos a parametrizar</t>
  </si>
  <si>
    <t>Ativos de rede a configurar</t>
  </si>
  <si>
    <t>Custo de viagem</t>
  </si>
  <si>
    <t>Faturada</t>
  </si>
  <si>
    <t>Nota de Débito</t>
  </si>
  <si>
    <t>Preço total de venda &gt;&gt;&gt;</t>
  </si>
  <si>
    <t>Levantamento de campo</t>
  </si>
  <si>
    <t>Startup</t>
  </si>
  <si>
    <t>Montagem elétrica</t>
  </si>
  <si>
    <t>Certificação de redes</t>
  </si>
  <si>
    <t xml:space="preserve">       </t>
  </si>
  <si>
    <t>Versão: Ano2025_v00</t>
  </si>
  <si>
    <t>HH/Ponto-Total</t>
  </si>
  <si>
    <t>HH/Ponto-Campo</t>
  </si>
  <si>
    <t>HH/Ponto-Desenvolvimento</t>
  </si>
  <si>
    <t>Preço/Ponto-Total</t>
  </si>
  <si>
    <t>Preço/Ponto-Campo</t>
  </si>
  <si>
    <t>Preço/Ponto-Desenvolvimento</t>
  </si>
  <si>
    <t>Gestão/Total (%)</t>
  </si>
  <si>
    <t>Viagem/Total (%)</t>
  </si>
  <si>
    <t>ESTATISTICAS</t>
  </si>
  <si>
    <t>HH POR ATIVIDADE</t>
  </si>
  <si>
    <t>INFORMAÇÕES DE HH</t>
  </si>
  <si>
    <t>VALOR</t>
  </si>
  <si>
    <t>Taxa Financiamento</t>
  </si>
  <si>
    <t>Documentos para Mobilização</t>
  </si>
  <si>
    <t>Despesa Gasolina</t>
  </si>
  <si>
    <t>Gasolina (L)</t>
  </si>
  <si>
    <t>KM Semanal</t>
  </si>
  <si>
    <t>Diária Final de Semana (Almoço, Jantar, Extra Hotel)</t>
  </si>
  <si>
    <t>Hospedagem</t>
  </si>
  <si>
    <t>Carro Mensal</t>
  </si>
  <si>
    <t>Carro Diária</t>
  </si>
  <si>
    <t>Diária Semana (Almoço planta, Jantar, Extra Hotel)</t>
  </si>
  <si>
    <t>Aéreas</t>
  </si>
  <si>
    <t>Taxi Aeroporto</t>
  </si>
  <si>
    <t>PREÇO SERVIÇO</t>
  </si>
  <si>
    <t>PARAMETROS DE VIAGEM</t>
  </si>
  <si>
    <t>HH Médio Campo</t>
  </si>
  <si>
    <t>% Gestão</t>
  </si>
  <si>
    <t>HH Médio Desenvolvimento + Gestao</t>
  </si>
  <si>
    <t>ISSQN do Município</t>
  </si>
  <si>
    <t>HH Médio da Proposta</t>
  </si>
  <si>
    <t>Comissão/Custo Financeiro Fornecimento:</t>
  </si>
  <si>
    <t>Piramide Equipe</t>
  </si>
  <si>
    <t>HH médio (Equipe Atual)</t>
  </si>
  <si>
    <t>Comissão/Custo Financeiro Serviço:</t>
  </si>
  <si>
    <t>Margem Fornecimento:</t>
  </si>
  <si>
    <t>Geral</t>
  </si>
  <si>
    <t>Margem HH adicional:</t>
  </si>
  <si>
    <t>Fornecimento</t>
  </si>
  <si>
    <t>Margem Campo:</t>
  </si>
  <si>
    <t>Serviços</t>
  </si>
  <si>
    <t>Margem desenvolvimento:</t>
  </si>
  <si>
    <t>MARGEM FINAL (PMO)</t>
  </si>
  <si>
    <t>SETUP DE MARGEM</t>
  </si>
  <si>
    <t>OUTPUT</t>
  </si>
  <si>
    <t>INPUT</t>
  </si>
  <si>
    <t>MG</t>
  </si>
  <si>
    <t>Estado que a NF sera registrada</t>
  </si>
  <si>
    <t>Cidade que a NF será registrada</t>
  </si>
  <si>
    <t>Local:</t>
  </si>
  <si>
    <t>Nome do Projeto:</t>
  </si>
  <si>
    <t>Contratante:</t>
  </si>
  <si>
    <t>Nº da Proposta:</t>
  </si>
  <si>
    <t>DADOS DA PROPOSTA</t>
  </si>
  <si>
    <t>Total:</t>
  </si>
  <si>
    <t>Não</t>
  </si>
  <si>
    <t>10.24</t>
  </si>
  <si>
    <t>10.23</t>
  </si>
  <si>
    <t>10.22</t>
  </si>
  <si>
    <t>10.21</t>
  </si>
  <si>
    <t>10.20</t>
  </si>
  <si>
    <t>10.19</t>
  </si>
  <si>
    <t>10.18</t>
  </si>
  <si>
    <t>10.17</t>
  </si>
  <si>
    <t>10.16</t>
  </si>
  <si>
    <t>10.15</t>
  </si>
  <si>
    <t>10.14</t>
  </si>
  <si>
    <t>10.13</t>
  </si>
  <si>
    <t>10.12</t>
  </si>
  <si>
    <t>10.11</t>
  </si>
  <si>
    <t>10.10</t>
  </si>
  <si>
    <t>10.9</t>
  </si>
  <si>
    <t>10.8</t>
  </si>
  <si>
    <t>10.7</t>
  </si>
  <si>
    <t>10.6</t>
  </si>
  <si>
    <t>10.5</t>
  </si>
  <si>
    <t>10.4</t>
  </si>
  <si>
    <t>10.3</t>
  </si>
  <si>
    <t>10.2</t>
  </si>
  <si>
    <t>10.1</t>
  </si>
  <si>
    <t>R$</t>
  </si>
  <si>
    <t>(%)</t>
  </si>
  <si>
    <t>Impostos de Serviços</t>
  </si>
  <si>
    <t>Tributos federais</t>
  </si>
  <si>
    <t>Créditos IPI</t>
  </si>
  <si>
    <t>Créditos ICMS</t>
  </si>
  <si>
    <t xml:space="preserve">Valor com Margem (R$)    </t>
  </si>
  <si>
    <t>Margem (%)</t>
  </si>
  <si>
    <t>Valor não recuperável da NF</t>
  </si>
  <si>
    <t>Valor total (Nota Fiscal)</t>
  </si>
  <si>
    <t>ISS</t>
  </si>
  <si>
    <t>IPI</t>
  </si>
  <si>
    <t>ICMS</t>
  </si>
  <si>
    <t>Forncedor optante pelo simples</t>
  </si>
  <si>
    <t>POSSUI ST?</t>
  </si>
  <si>
    <t>ST (R$)</t>
  </si>
  <si>
    <t>Preço Unit. De Custo</t>
  </si>
  <si>
    <t>Fornecedor</t>
  </si>
  <si>
    <t>Prazo dias corridos</t>
  </si>
  <si>
    <t>Total</t>
  </si>
  <si>
    <t>ICMS (Já incluso)</t>
  </si>
  <si>
    <t>Subtotal.</t>
  </si>
  <si>
    <t>Preço Unit.</t>
  </si>
  <si>
    <t>NCM</t>
  </si>
  <si>
    <t>Descrição</t>
  </si>
  <si>
    <t>Qtd.</t>
  </si>
  <si>
    <t>CHEGADA TAGNA</t>
  </si>
  <si>
    <t>NO. PEDIDO</t>
  </si>
  <si>
    <t>STATUS</t>
  </si>
  <si>
    <t>DADOS CLIENTE (VENDA)</t>
  </si>
  <si>
    <t>Industrialização</t>
  </si>
  <si>
    <t>CÁLCULOS</t>
  </si>
  <si>
    <t>DADOS A PREENCHER (COMPRA)</t>
  </si>
  <si>
    <t>9.24</t>
  </si>
  <si>
    <t>9.23</t>
  </si>
  <si>
    <t>9.22</t>
  </si>
  <si>
    <t>9.21</t>
  </si>
  <si>
    <t>9.20</t>
  </si>
  <si>
    <t>9.19</t>
  </si>
  <si>
    <t>9.18</t>
  </si>
  <si>
    <t>9.17</t>
  </si>
  <si>
    <t>9.16</t>
  </si>
  <si>
    <t>9.15</t>
  </si>
  <si>
    <t>9.14</t>
  </si>
  <si>
    <t>9.13</t>
  </si>
  <si>
    <t>9.12</t>
  </si>
  <si>
    <t>9.11</t>
  </si>
  <si>
    <t>9.10</t>
  </si>
  <si>
    <t>9.9</t>
  </si>
  <si>
    <t>9.8</t>
  </si>
  <si>
    <t>9.7</t>
  </si>
  <si>
    <t>9.6</t>
  </si>
  <si>
    <t>9.5</t>
  </si>
  <si>
    <t>9.4</t>
  </si>
  <si>
    <t>9.3</t>
  </si>
  <si>
    <t>9.2</t>
  </si>
  <si>
    <t>8.24</t>
  </si>
  <si>
    <t>8.23</t>
  </si>
  <si>
    <t>8.22</t>
  </si>
  <si>
    <t>8.21</t>
  </si>
  <si>
    <t>8.20</t>
  </si>
  <si>
    <t>8.19</t>
  </si>
  <si>
    <t>8.18</t>
  </si>
  <si>
    <t>8.17</t>
  </si>
  <si>
    <t>8.16</t>
  </si>
  <si>
    <t>8.15</t>
  </si>
  <si>
    <t>8.14</t>
  </si>
  <si>
    <t>8.13</t>
  </si>
  <si>
    <t>8.12</t>
  </si>
  <si>
    <t>8.11</t>
  </si>
  <si>
    <t>8.10</t>
  </si>
  <si>
    <t>8.9</t>
  </si>
  <si>
    <t>8.8</t>
  </si>
  <si>
    <t>8.7</t>
  </si>
  <si>
    <t>8.6</t>
  </si>
  <si>
    <t>8.5</t>
  </si>
  <si>
    <t>8.4</t>
  </si>
  <si>
    <t>8.3</t>
  </si>
  <si>
    <t>8.2</t>
  </si>
  <si>
    <t>8.1</t>
  </si>
  <si>
    <t>7.24</t>
  </si>
  <si>
    <t>7.23</t>
  </si>
  <si>
    <t>7.22</t>
  </si>
  <si>
    <t>7.21</t>
  </si>
  <si>
    <t>7.20</t>
  </si>
  <si>
    <t>7.19</t>
  </si>
  <si>
    <t>7.18</t>
  </si>
  <si>
    <t>7.17</t>
  </si>
  <si>
    <t>7.16</t>
  </si>
  <si>
    <t>7.15</t>
  </si>
  <si>
    <t>7.14</t>
  </si>
  <si>
    <t>7.13</t>
  </si>
  <si>
    <t>7.12</t>
  </si>
  <si>
    <t>7.11</t>
  </si>
  <si>
    <t>7.10</t>
  </si>
  <si>
    <t>7.9</t>
  </si>
  <si>
    <t>7.8</t>
  </si>
  <si>
    <t>7.7</t>
  </si>
  <si>
    <t>7.6</t>
  </si>
  <si>
    <t>7.5</t>
  </si>
  <si>
    <t>7.4</t>
  </si>
  <si>
    <t>7.3</t>
  </si>
  <si>
    <t>7.2</t>
  </si>
  <si>
    <t>7.1</t>
  </si>
  <si>
    <t>6.24</t>
  </si>
  <si>
    <t>6.23</t>
  </si>
  <si>
    <t>6.22</t>
  </si>
  <si>
    <t>6.21</t>
  </si>
  <si>
    <t>6.20</t>
  </si>
  <si>
    <t>6.19</t>
  </si>
  <si>
    <t>6.18</t>
  </si>
  <si>
    <t>6.17</t>
  </si>
  <si>
    <t>6.16</t>
  </si>
  <si>
    <t>6.15</t>
  </si>
  <si>
    <t>6.14</t>
  </si>
  <si>
    <t>6.13</t>
  </si>
  <si>
    <t>6.12</t>
  </si>
  <si>
    <t>6.11</t>
  </si>
  <si>
    <t>6.10</t>
  </si>
  <si>
    <t>6.9</t>
  </si>
  <si>
    <t>6.8</t>
  </si>
  <si>
    <t>6.7</t>
  </si>
  <si>
    <t>6.6</t>
  </si>
  <si>
    <t>6.5</t>
  </si>
  <si>
    <t>6.4</t>
  </si>
  <si>
    <t>6.3</t>
  </si>
  <si>
    <t>6.2</t>
  </si>
  <si>
    <t>6.1</t>
  </si>
  <si>
    <t>5.24</t>
  </si>
  <si>
    <t>5.23</t>
  </si>
  <si>
    <t>5.22</t>
  </si>
  <si>
    <t>5.21</t>
  </si>
  <si>
    <t>5.20</t>
  </si>
  <si>
    <t>5.19</t>
  </si>
  <si>
    <t>5.18</t>
  </si>
  <si>
    <t>5.17</t>
  </si>
  <si>
    <t>5.16</t>
  </si>
  <si>
    <t>5.15</t>
  </si>
  <si>
    <t>5.14</t>
  </si>
  <si>
    <t>5.13</t>
  </si>
  <si>
    <t>5.12</t>
  </si>
  <si>
    <t>5.11</t>
  </si>
  <si>
    <t>5.10</t>
  </si>
  <si>
    <t>5.9</t>
  </si>
  <si>
    <t>5.8</t>
  </si>
  <si>
    <t>5.7</t>
  </si>
  <si>
    <t>5.6</t>
  </si>
  <si>
    <t>5.5</t>
  </si>
  <si>
    <t>5.4</t>
  </si>
  <si>
    <t>5.3</t>
  </si>
  <si>
    <t>5.2</t>
  </si>
  <si>
    <t>5.1</t>
  </si>
  <si>
    <t>4.24</t>
  </si>
  <si>
    <t>4.23</t>
  </si>
  <si>
    <t>4.22</t>
  </si>
  <si>
    <t>4.21</t>
  </si>
  <si>
    <t>4.20</t>
  </si>
  <si>
    <t>4.19</t>
  </si>
  <si>
    <t>4.18</t>
  </si>
  <si>
    <t>4.17</t>
  </si>
  <si>
    <t>4.16</t>
  </si>
  <si>
    <t>4.15</t>
  </si>
  <si>
    <t>4.14</t>
  </si>
  <si>
    <t>4.13</t>
  </si>
  <si>
    <t>4.12</t>
  </si>
  <si>
    <t>4.11</t>
  </si>
  <si>
    <t>4.10</t>
  </si>
  <si>
    <t>4.9</t>
  </si>
  <si>
    <t>4.8</t>
  </si>
  <si>
    <t>4.7</t>
  </si>
  <si>
    <t>4.6</t>
  </si>
  <si>
    <t>4.5</t>
  </si>
  <si>
    <t>4.4</t>
  </si>
  <si>
    <t>4.3</t>
  </si>
  <si>
    <t>4.2</t>
  </si>
  <si>
    <t>4.1</t>
  </si>
  <si>
    <t>3.24</t>
  </si>
  <si>
    <t>3.23</t>
  </si>
  <si>
    <t>3.22</t>
  </si>
  <si>
    <t>3.21</t>
  </si>
  <si>
    <t>3.20</t>
  </si>
  <si>
    <t>3.19</t>
  </si>
  <si>
    <t>3.18</t>
  </si>
  <si>
    <t>3.17</t>
  </si>
  <si>
    <t>3.16</t>
  </si>
  <si>
    <t>3.15</t>
  </si>
  <si>
    <t>3.14</t>
  </si>
  <si>
    <t>3.13</t>
  </si>
  <si>
    <t>3.12</t>
  </si>
  <si>
    <t>3.11</t>
  </si>
  <si>
    <t>3.10</t>
  </si>
  <si>
    <t>3.9</t>
  </si>
  <si>
    <t>3.8</t>
  </si>
  <si>
    <t>3.7</t>
  </si>
  <si>
    <t>3.6</t>
  </si>
  <si>
    <t>3.5</t>
  </si>
  <si>
    <t>3.4</t>
  </si>
  <si>
    <t>3.3</t>
  </si>
  <si>
    <t>3.2</t>
  </si>
  <si>
    <t>3.1</t>
  </si>
  <si>
    <t>2.24</t>
  </si>
  <si>
    <t>2.23</t>
  </si>
  <si>
    <t>2.22</t>
  </si>
  <si>
    <t>2.21</t>
  </si>
  <si>
    <t>2.20</t>
  </si>
  <si>
    <t>2.19</t>
  </si>
  <si>
    <t>2.18</t>
  </si>
  <si>
    <t>2.17</t>
  </si>
  <si>
    <t>2.16</t>
  </si>
  <si>
    <t>2.15</t>
  </si>
  <si>
    <t>2.14</t>
  </si>
  <si>
    <t>2.13</t>
  </si>
  <si>
    <t>2.12</t>
  </si>
  <si>
    <t>2.11</t>
  </si>
  <si>
    <t>Frete</t>
  </si>
  <si>
    <t>1.24</t>
  </si>
  <si>
    <t>Testes</t>
  </si>
  <si>
    <t>1.23</t>
  </si>
  <si>
    <t>Projeto</t>
  </si>
  <si>
    <t>1.22</t>
  </si>
  <si>
    <t>Gestão + Compras</t>
  </si>
  <si>
    <t>1.21</t>
  </si>
  <si>
    <t>1.20</t>
  </si>
  <si>
    <t>1.19</t>
  </si>
  <si>
    <t>1.18</t>
  </si>
  <si>
    <t>1.17</t>
  </si>
  <si>
    <t>1.16</t>
  </si>
  <si>
    <t>1.15</t>
  </si>
  <si>
    <t>1.14</t>
  </si>
  <si>
    <t>1.13</t>
  </si>
  <si>
    <t>1.12</t>
  </si>
  <si>
    <t>1.11</t>
  </si>
  <si>
    <t>1.10</t>
  </si>
  <si>
    <t>1.9</t>
  </si>
  <si>
    <t>1.8</t>
  </si>
  <si>
    <t>1.7</t>
  </si>
  <si>
    <t>1.6</t>
  </si>
  <si>
    <t>1.5</t>
  </si>
  <si>
    <t>1.4</t>
  </si>
  <si>
    <t>1.3</t>
  </si>
  <si>
    <t>1.2</t>
  </si>
  <si>
    <t>1.1</t>
  </si>
  <si>
    <t>AUXILIAR COMPRAS</t>
  </si>
  <si>
    <t>PRAZO DE ENTREGA</t>
  </si>
  <si>
    <t>ACIMA DE 25 PONTOS. Apresentar preço unitário para cada 25 pontos.
Formula usada:
(NUMERO DE PONTOS)/25*(VALOR UNITÁRIO PARA 25 PONTOS)</t>
  </si>
  <si>
    <t>GRAU 5</t>
  </si>
  <si>
    <t>17 a 24 PONTOS</t>
  </si>
  <si>
    <t>GRAU 4</t>
  </si>
  <si>
    <t>9 a 16 PONTOS</t>
  </si>
  <si>
    <t>GRAU 3</t>
  </si>
  <si>
    <t>5 a 8    PONTOS</t>
  </si>
  <si>
    <t>GRAU 2</t>
  </si>
  <si>
    <t>1 a 4    PONTOS</t>
  </si>
  <si>
    <t>GRAU 1</t>
  </si>
  <si>
    <t>Critérios de Grau de Dificuldade para Desenvolvimento por Pontos</t>
  </si>
  <si>
    <t>ISS:</t>
  </si>
  <si>
    <t>Frete: Cobrar como serviço, reduz a aliquota de ICMS</t>
  </si>
  <si>
    <t>Site do governo de minas</t>
  </si>
  <si>
    <t>ST:</t>
  </si>
  <si>
    <t>Industrias tem beneficio para imposto e alguns NCM não são recolhidos.</t>
  </si>
  <si>
    <t>Referente ao NCM de venda</t>
  </si>
  <si>
    <t>PIS/COFINS:</t>
  </si>
  <si>
    <t>Referente ao NCM de venda.</t>
  </si>
  <si>
    <t>IPI:</t>
  </si>
  <si>
    <t>Revenda Serviço</t>
  </si>
  <si>
    <t>Estadual</t>
  </si>
  <si>
    <t>Revenda Produto</t>
  </si>
  <si>
    <t>Nacional outras regioes</t>
  </si>
  <si>
    <t>Ipi</t>
  </si>
  <si>
    <t>Valor Não recuperavel</t>
  </si>
  <si>
    <t>Valor Fiscal</t>
  </si>
  <si>
    <t>Tipos de Fornecimentos:</t>
  </si>
  <si>
    <t>Importado</t>
  </si>
  <si>
    <t>Nacional (ES/N/CO/NE)</t>
  </si>
  <si>
    <t>Interestadual</t>
  </si>
  <si>
    <t>ICMS:</t>
  </si>
  <si>
    <t>Lista de Estados</t>
  </si>
  <si>
    <t>* Dados sobre impostos e revendas.</t>
  </si>
  <si>
    <t>Protocolo ICMS 196/09</t>
  </si>
  <si>
    <t>SC</t>
  </si>
  <si>
    <t>Protocolo ICMS 84/11</t>
  </si>
  <si>
    <t>GO</t>
  </si>
  <si>
    <t>SALOBO</t>
  </si>
  <si>
    <t>Protocolo ICMS 26/10</t>
  </si>
  <si>
    <t>ES</t>
  </si>
  <si>
    <t>METTA</t>
  </si>
  <si>
    <t>RJ</t>
  </si>
  <si>
    <t>NIOBRAS-MBV</t>
  </si>
  <si>
    <t>Protocolo ICMS 32/09.</t>
  </si>
  <si>
    <t>SP</t>
  </si>
  <si>
    <t>NIOBRAS</t>
  </si>
  <si>
    <t>Convênios</t>
  </si>
  <si>
    <t>Estados</t>
  </si>
  <si>
    <t>AABA</t>
  </si>
  <si>
    <t>Sim</t>
  </si>
  <si>
    <t>GALVANI</t>
  </si>
  <si>
    <t>VALE</t>
  </si>
  <si>
    <t>SCHNEIDER</t>
  </si>
  <si>
    <t>RHIM</t>
  </si>
  <si>
    <t>MOSAIC-CMT</t>
  </si>
  <si>
    <t>33.931.486/0037-41</t>
  </si>
  <si>
    <t>MOSAIC-CMP</t>
  </si>
  <si>
    <t>MOSAIC-CMA</t>
  </si>
  <si>
    <t>Verificar se não seria o caso de 71,78%</t>
  </si>
  <si>
    <t>LUG</t>
  </si>
  <si>
    <t>Sócio/PJ</t>
  </si>
  <si>
    <t>LARGO</t>
  </si>
  <si>
    <t>CLT</t>
  </si>
  <si>
    <t>INPASA</t>
  </si>
  <si>
    <t>EMMIL</t>
  </si>
  <si>
    <t>Consultor Master - A</t>
  </si>
  <si>
    <t>CSN</t>
  </si>
  <si>
    <t>Consultor Senior - B</t>
  </si>
  <si>
    <t>COPEBRAS</t>
  </si>
  <si>
    <t>Consultor Pleno - C</t>
  </si>
  <si>
    <t>PR</t>
  </si>
  <si>
    <t>CMOC</t>
  </si>
  <si>
    <t>Margem Média</t>
  </si>
  <si>
    <t>Consultor Junior - D</t>
  </si>
  <si>
    <t>RS</t>
  </si>
  <si>
    <t>CALSIMEC</t>
  </si>
  <si>
    <t>CET</t>
  </si>
  <si>
    <t>Consultor Traine - E</t>
  </si>
  <si>
    <t>BAYER-PTU</t>
  </si>
  <si>
    <t>HH MÉDIO PROJETADO</t>
  </si>
  <si>
    <t>Analista Senior - A</t>
  </si>
  <si>
    <t>BAYER-LATAM</t>
  </si>
  <si>
    <t>DIFERENÇA HH</t>
  </si>
  <si>
    <t>IMPOSTO EQUIPAMENTO</t>
  </si>
  <si>
    <t>Analista Pleno - B</t>
  </si>
  <si>
    <t>BAYER-ITA</t>
  </si>
  <si>
    <t>QTD DE RECURSOS</t>
  </si>
  <si>
    <t>IMPOSTO SERVIÇOS</t>
  </si>
  <si>
    <t>Analista Junior - C</t>
  </si>
  <si>
    <t>TO</t>
  </si>
  <si>
    <t>BAYER-CVE</t>
  </si>
  <si>
    <t>PREÇO HH (25%)</t>
  </si>
  <si>
    <t>COMISSÃO/CUSTO FINAN.</t>
  </si>
  <si>
    <t>Analista Trainee - D</t>
  </si>
  <si>
    <t>PA</t>
  </si>
  <si>
    <t>ANGLO-NIQUEL</t>
  </si>
  <si>
    <t>Obs.</t>
  </si>
  <si>
    <t>MVA (Anexo XV RICMS/MG)</t>
  </si>
  <si>
    <t>OH (56%)</t>
  </si>
  <si>
    <t>Overhad</t>
  </si>
  <si>
    <t>Estag. Engenharia</t>
  </si>
  <si>
    <t>PROFIBUS PA</t>
  </si>
  <si>
    <t xml:space="preserve">Soluções </t>
  </si>
  <si>
    <t>BA</t>
  </si>
  <si>
    <t>ANGLO-IOB</t>
  </si>
  <si>
    <t>CUSTO HH</t>
  </si>
  <si>
    <t>Taxa administrativa Viagens:</t>
  </si>
  <si>
    <t>Estag. Tecnico</t>
  </si>
  <si>
    <t>PROFIBUS DP</t>
  </si>
  <si>
    <t>Xpert</t>
  </si>
  <si>
    <t>Socio/PJ</t>
  </si>
  <si>
    <t>AGA-MSG</t>
  </si>
  <si>
    <t>* Informações referentes ao ST.</t>
  </si>
  <si>
    <t xml:space="preserve"> ESTAGIARIO TEC</t>
  </si>
  <si>
    <t xml:space="preserve"> ESTAGIARIO ENG</t>
  </si>
  <si>
    <t xml:space="preserve"> CONSULTOR E</t>
  </si>
  <si>
    <t>Consultor Aut C
Gerente de Projetos C
Consultor Comercial C
Analista Tec A
Consultor Adm B</t>
  </si>
  <si>
    <t>Consultor Aut B
Gerente de Projetos B
Consultor Comercial B
Consultor Tec C
Consultor Adm A</t>
  </si>
  <si>
    <t>Consultor Aut A
Gerente de Projetos A
Consultor Comercial A
Consultor Tec B</t>
  </si>
  <si>
    <t>Consultor Tec A</t>
  </si>
  <si>
    <t xml:space="preserve"> ANALISTA E</t>
  </si>
  <si>
    <t xml:space="preserve"> ANALISTA D</t>
  </si>
  <si>
    <t>Analista Aut C
Analista PMO C
Farmer C
Faixa 5
Analista Adm B
Hunter B</t>
  </si>
  <si>
    <t xml:space="preserve">Analista Aut B
Analista PMO B
Farmer B
Analista Adm A
Hunter A
Analista Tec C </t>
  </si>
  <si>
    <t xml:space="preserve">Analista Aut A
Analista PMO A
Farmer A
Consultor Adm C
Analista Tec B </t>
  </si>
  <si>
    <t>Custo de Horas</t>
  </si>
  <si>
    <t>LISTA CARGOS</t>
  </si>
  <si>
    <t>TIPO DE REDE</t>
  </si>
  <si>
    <t>TIPO DE PROJETO</t>
  </si>
  <si>
    <t>FORMA CONTRATAÇÃO</t>
  </si>
  <si>
    <t>Lista de ICMS</t>
  </si>
  <si>
    <t>GESTÃO</t>
  </si>
  <si>
    <t>COMISSÃO</t>
  </si>
  <si>
    <t>MARGEM</t>
  </si>
  <si>
    <t>CNPJ</t>
  </si>
  <si>
    <t>Painel de PLC</t>
  </si>
  <si>
    <t>Painel de controlador para o processo XXX</t>
  </si>
  <si>
    <t>Painel 1</t>
  </si>
  <si>
    <t>Montagem de painel e infra estrutura</t>
  </si>
  <si>
    <t>Marcar X apenas na coluna "SIM".</t>
  </si>
  <si>
    <t>Campos pendentes de valores</t>
  </si>
  <si>
    <t>INSTRUÇÕES</t>
  </si>
  <si>
    <t>Outras Atividades</t>
  </si>
  <si>
    <t>Técnico de segurança</t>
  </si>
  <si>
    <t>Calibrtação de instrumentos</t>
  </si>
  <si>
    <t>Estudos elétricos</t>
  </si>
  <si>
    <t>Calibração de instrumentos</t>
  </si>
  <si>
    <t/>
  </si>
  <si>
    <t>DESENVOLVIMENTO INTERNO</t>
  </si>
  <si>
    <t>ENGENHARIA</t>
  </si>
  <si>
    <t>CAMPO</t>
  </si>
  <si>
    <t>SIMATIC S7-1200</t>
  </si>
  <si>
    <t>SIMATIC S7-1500</t>
  </si>
  <si>
    <t>SIMATIC S7-300</t>
  </si>
  <si>
    <t>SIMATIC S7-400</t>
  </si>
  <si>
    <t>SIMATIC LOGO!</t>
  </si>
  <si>
    <t>SIEMENS</t>
  </si>
  <si>
    <t>ROCKWELL</t>
  </si>
  <si>
    <t>MITSUBISH</t>
  </si>
  <si>
    <t>EATON</t>
  </si>
  <si>
    <t>ONROM</t>
  </si>
  <si>
    <t>HONEYWELL</t>
  </si>
  <si>
    <t>DELTA</t>
  </si>
  <si>
    <t>CompactLogix</t>
  </si>
  <si>
    <t>ControlLogix</t>
  </si>
  <si>
    <t>MicroLogix</t>
  </si>
  <si>
    <t>SLC 500</t>
  </si>
  <si>
    <t>Modicon M221</t>
  </si>
  <si>
    <t>Modicon M241</t>
  </si>
  <si>
    <t>Modicon M251</t>
  </si>
  <si>
    <t>Modicon M580</t>
  </si>
  <si>
    <t>Modicon M340</t>
  </si>
  <si>
    <t>Modicon Premium</t>
  </si>
  <si>
    <t>Modicon Quantum</t>
  </si>
  <si>
    <t>ZELIO</t>
  </si>
  <si>
    <t>AC500-eCo</t>
  </si>
  <si>
    <t>AC500</t>
  </si>
  <si>
    <t>AC500-S</t>
  </si>
  <si>
    <t>AC500-XC</t>
  </si>
  <si>
    <t>SYSMAC NJ</t>
  </si>
  <si>
    <t>SYSMAC NX</t>
  </si>
  <si>
    <t>CP1 Series</t>
  </si>
  <si>
    <t>CJ2 Series</t>
  </si>
  <si>
    <t>KTP400</t>
  </si>
  <si>
    <t>KTP700</t>
  </si>
  <si>
    <t>KTP900</t>
  </si>
  <si>
    <t>TP700</t>
  </si>
  <si>
    <t>TP900</t>
  </si>
  <si>
    <t>TP1200</t>
  </si>
  <si>
    <t>MTP700</t>
  </si>
  <si>
    <t>MTP900</t>
  </si>
  <si>
    <t>MTP1200</t>
  </si>
  <si>
    <t>PanelView 800</t>
  </si>
  <si>
    <t>PanelView Plus 7</t>
  </si>
  <si>
    <t>PanelView 5000</t>
  </si>
  <si>
    <t>Harmony ST6</t>
  </si>
  <si>
    <t>Harmony STM6</t>
  </si>
  <si>
    <t>Harmony GTO</t>
  </si>
  <si>
    <t>Harmony GTU/</t>
  </si>
  <si>
    <t xml:space="preserve">Pro-face GP </t>
  </si>
  <si>
    <t>Pro-face SP5000</t>
  </si>
  <si>
    <t>GOT2000 Series</t>
  </si>
  <si>
    <t>GOT SIMPLE Series</t>
  </si>
  <si>
    <t>NA Series</t>
  </si>
  <si>
    <t>NB Series</t>
  </si>
  <si>
    <t>800xA</t>
  </si>
  <si>
    <t>GE/EMERSON</t>
  </si>
  <si>
    <t>AVEVA</t>
  </si>
  <si>
    <t>ELIPSE</t>
  </si>
  <si>
    <r>
      <t xml:space="preserve">&gt; Margem mínima da BU para serviços adicionais é de 55,20%, preços devem ser colocados considerando sempre esse limite. </t>
    </r>
    <r>
      <rPr>
        <b/>
        <u/>
        <sz val="10"/>
        <color theme="0"/>
        <rFont val="Roboto"/>
      </rPr>
      <t>Ao apresentar preço devemos usar margens maiores para negociaçao.</t>
    </r>
  </si>
  <si>
    <t>Margem de Contribuição Viagem</t>
  </si>
  <si>
    <t>SEMPRE VALIDAR O FLUXO DE CAIXA DOS FORNECIMENTOS:
VALIDAR PRAZO DE PAGAMENTO COM FORNECEDOR
VALIDAR PRAZO DE PAGAMENTO DO CLIENTE
AJUSTAR FLUXO DE FATURAMENTO PARA QUE TENHAMOS CAIXA POSITIVO</t>
  </si>
  <si>
    <t xml:space="preserve">                     CHECK LIST INICIAL</t>
  </si>
  <si>
    <t>Informações gerais do projeto</t>
  </si>
  <si>
    <t>Área de instalação de equipamentos</t>
  </si>
  <si>
    <t>Prazo para envio da proposta</t>
  </si>
  <si>
    <t>Prazo para execução do projeto</t>
  </si>
  <si>
    <t>Qual a tensão predominante do sistema?</t>
  </si>
  <si>
    <t>Terá desenvolvimento de projetos e diagramas?</t>
  </si>
  <si>
    <t>Terá serviço de programação de plc?</t>
  </si>
  <si>
    <t>Fabricante:</t>
  </si>
  <si>
    <t>Terá serviço de programação de supervisório?</t>
  </si>
  <si>
    <t>Terá serviço de programação de ihm?</t>
  </si>
  <si>
    <t>O cliente possui licença dos softwares de Engenharia?</t>
  </si>
  <si>
    <t>Haverá fornecimento de quais materiais?</t>
  </si>
  <si>
    <t>Documentos de Engenharia (Desenhos, Diagramas e Plantas)</t>
  </si>
  <si>
    <t>Diagramas P&amp;ID</t>
  </si>
  <si>
    <t>Fluxograma de processo</t>
  </si>
  <si>
    <t>Fluxograma de engenharia</t>
  </si>
  <si>
    <t>Diagramas e fluxogramas de processo</t>
  </si>
  <si>
    <t>Desenhos</t>
  </si>
  <si>
    <t>Projetos</t>
  </si>
  <si>
    <t>O desenho ou planta baixa do local, com a localização dos equipamentos e áreas de produção</t>
  </si>
  <si>
    <t>Diagrama de malhas de controle</t>
  </si>
  <si>
    <t>Listas e inventários de hardware/software</t>
  </si>
  <si>
    <t>Listas de equipamentos</t>
  </si>
  <si>
    <t>Listas de instrumentos</t>
  </si>
  <si>
    <t>Lista de cargas</t>
  </si>
  <si>
    <t>Listas de entradas e saídas do controlador</t>
  </si>
  <si>
    <t>Versão de softwares</t>
  </si>
  <si>
    <t>Versões de software de PLC e supervisão e necessidade de atualização</t>
  </si>
  <si>
    <t>Arquitetura de rede</t>
  </si>
  <si>
    <t>Lista de endereços de IPS</t>
  </si>
  <si>
    <t>Protocolos de comunicação utilizados</t>
  </si>
  <si>
    <t>Documentação funcional, padrões e procedimentos</t>
  </si>
  <si>
    <t>Descritivo funcional</t>
  </si>
  <si>
    <t>Relação dos intertravamentos</t>
  </si>
  <si>
    <t>Normas aplicáveis</t>
  </si>
  <si>
    <t>Especificações técnicas</t>
  </si>
  <si>
    <t>Manuais dos equipamentos</t>
  </si>
  <si>
    <t>Programa de referência</t>
  </si>
  <si>
    <t>Fluxograma de referência</t>
  </si>
  <si>
    <t>Backup de programas</t>
  </si>
  <si>
    <t>Informações do processo e requisitos</t>
  </si>
  <si>
    <t>Funcionamento e descritivo do processo produtivo atual (manualmente, semiautomático, etc.)</t>
  </si>
  <si>
    <t>Mapeamento do fluxo de materiais e informações</t>
  </si>
  <si>
    <t>Identificação de gargalos, ineficiências e pontos críticos no processo</t>
  </si>
  <si>
    <t>Quais dados serão exibidos em supervisório/ihm</t>
  </si>
  <si>
    <t>Estrutura geral da automação</t>
  </si>
  <si>
    <t>Requisitos de integração com sistemas existentes (erp, pims, etc.)</t>
  </si>
  <si>
    <t>Preferências por marcas ou tecnologias específicas</t>
  </si>
  <si>
    <t>Condições de instalação e ambiente</t>
  </si>
  <si>
    <t>Fotos</t>
  </si>
  <si>
    <t>Espaço disponível para a instalação dos novos equipamentos e painéis</t>
  </si>
  <si>
    <t>Descrição do objeto da proposta</t>
  </si>
  <si>
    <t>-XXXXXXXXXXX</t>
  </si>
  <si>
    <t>As-Built - Campo</t>
  </si>
  <si>
    <t>Translados</t>
  </si>
  <si>
    <t>PCS7</t>
  </si>
  <si>
    <t>Documentação gerada na etapa</t>
  </si>
  <si>
    <t>Horas desenvolvimento</t>
  </si>
  <si>
    <t>Horas de campo</t>
  </si>
  <si>
    <t>Custo desenvolvimento</t>
  </si>
  <si>
    <t>Custo campo</t>
  </si>
  <si>
    <t>PERICULOSIDADE (Sempre mês inteiro, usar 0,27 de cada profissional alocado em campo se necessário)</t>
  </si>
  <si>
    <t>Manutenção
Operação</t>
  </si>
  <si>
    <t>Resposabilidade de compra das viagens para os serviços de campo? (TAGNA ou CLIENTE)</t>
  </si>
  <si>
    <t>Faturamento das despesas de viagens via nota de débito?</t>
  </si>
  <si>
    <t>Folga de campo.</t>
  </si>
  <si>
    <t>Não estamos prevendo a substituição do profissional durante a folga de campo.</t>
  </si>
  <si>
    <t>Local de trabalho.</t>
  </si>
  <si>
    <t>Nas instalações do cliente ou fornecdidas por ele.</t>
  </si>
  <si>
    <t>Não estamos considerando fornecimento de escritório ou contâiner para local de trabalho de nossos profissionais.</t>
  </si>
  <si>
    <t>REALIZAÇÃO DA REUNIÃO DE KICK-OFF</t>
  </si>
  <si>
    <t>EMISSÃO DA DOCUMENTAÇÃO DE PLANEJAMENTO (TAKEOFF)</t>
  </si>
  <si>
    <t>ASSINATURA TESTE ACEITAÇÃO EM CAMPO TAC</t>
  </si>
  <si>
    <t>ASSINATURA RELATÓRIO OPERAÇÃO ASSISTIDA</t>
  </si>
  <si>
    <t>CONCLUSÃO TREINAMENTOS</t>
  </si>
  <si>
    <t>ENVIO PRIMEIRA VERSÃO DO SISTEMA DE CONTROLE</t>
  </si>
  <si>
    <t>ENVIO PRIMEIRA VERSÃO DO SISTEMA DE SUPERVISÃO</t>
  </si>
  <si>
    <t>ASSINATURA TESTE ACEITAÇÃO COMISSIONAMENTO E STARTUP</t>
  </si>
  <si>
    <t>Média Plano de Saúde</t>
  </si>
  <si>
    <t>Alimentação com Desconto</t>
  </si>
  <si>
    <t xml:space="preserve">Flexivel </t>
  </si>
  <si>
    <t>Total Benefícios</t>
  </si>
  <si>
    <t>Salario</t>
  </si>
  <si>
    <t>Percentual Encargos</t>
  </si>
  <si>
    <t>Custo Total (salário + encargos+ benefícios)</t>
  </si>
  <si>
    <t>HH custo</t>
  </si>
  <si>
    <t>Encargo Trabalhista</t>
  </si>
  <si>
    <t>Férias</t>
  </si>
  <si>
    <t>1/3 Férias</t>
  </si>
  <si>
    <t>13º Salário</t>
  </si>
  <si>
    <t>Encargo Previdenciário</t>
  </si>
  <si>
    <t>FGTS</t>
  </si>
  <si>
    <t>FGTS/Provisão de multa para rescisão</t>
  </si>
  <si>
    <t>INSS</t>
  </si>
  <si>
    <t xml:space="preserve">SAT/RAT </t>
  </si>
  <si>
    <t xml:space="preserve">INCRA/SEST/SEBRAE/SENAT 
</t>
  </si>
  <si>
    <t xml:space="preserve">Salário educação 
</t>
  </si>
  <si>
    <t>Previdenciário no trabalhista</t>
  </si>
  <si>
    <t>&lt;&lt;&lt; Preencher aqui</t>
  </si>
  <si>
    <t>IMPOSTOS</t>
  </si>
  <si>
    <t>PIS</t>
  </si>
  <si>
    <t>COFINS</t>
  </si>
  <si>
    <t>ISS ESTIMADO (DEPENDE MUNICÍPIO)</t>
  </si>
  <si>
    <t>RETENÇÕES</t>
  </si>
  <si>
    <t>IR</t>
  </si>
  <si>
    <t>CSLL</t>
  </si>
  <si>
    <t>ISS (DEPENDE MUNICIPIO)</t>
  </si>
  <si>
    <t xml:space="preserve">          (+) Diligenciamento</t>
  </si>
  <si>
    <t xml:space="preserve">          (+) Venda</t>
  </si>
  <si>
    <t>QTD</t>
  </si>
  <si>
    <t>MODELO</t>
  </si>
  <si>
    <t>PREÇO REVENDA</t>
  </si>
  <si>
    <t>DECONTO PMO</t>
  </si>
  <si>
    <t>COTAÇÃO / FORNECEDOR</t>
  </si>
  <si>
    <t>PREÇO COTAÇÃO</t>
  </si>
  <si>
    <t>teste</t>
  </si>
  <si>
    <t>VIAGENS (LISTAR ATIVIDADES COM VIAGEM)</t>
  </si>
  <si>
    <t>EMISSÃOS DOS ORÇAMENTOS PARA COMPRA (DILIGICENCIAMENTO)</t>
  </si>
  <si>
    <t>PROJETO</t>
  </si>
  <si>
    <t>[NOME DO PROJETO]</t>
  </si>
  <si>
    <t>TARIFAS PARA SERVIÇOS ADICIONAIS</t>
  </si>
  <si>
    <t>-&gt; 8 Hh de HH médio de Campo com 55% de margem de contribuição</t>
  </si>
  <si>
    <t>-&gt; 8 Hh de Consultor B de Campo com 55% de margem de contribuição</t>
  </si>
  <si>
    <t>Preço de Venda (20% MC)</t>
  </si>
  <si>
    <t>-&gt; Hotel, Aluguel, Gasolina, Refeições</t>
  </si>
  <si>
    <t>Translado Aéreo - Ida e Volta</t>
  </si>
  <si>
    <t>-&gt; 27% do preço de venda de 1 mês de Hh médio de Campo com 25% de Margem de contribuição</t>
  </si>
  <si>
    <t>-&gt; 27% do preço de venda de 1 mês de Consultor B com 25% de Margem de contribuição</t>
  </si>
  <si>
    <t>TABELA DE FORNECIMENTOS - TAGNA</t>
  </si>
  <si>
    <t>INVESTIMENTO GLOBAL (R$)</t>
  </si>
  <si>
    <t>INVESTIMENTO (R$)</t>
  </si>
  <si>
    <t>UNIDADE</t>
  </si>
  <si>
    <t>INVESTIMENTO</t>
  </si>
  <si>
    <t>TABELA DE FORNECIMENTOS - FORNECIMENTO DIRETO</t>
  </si>
  <si>
    <t>FORNECEDOR</t>
  </si>
  <si>
    <t>DETALHAMENTO DO ESCOPO NA PROPOSTA A SER ENVIADA</t>
  </si>
  <si>
    <t>ATENÇÃO - ESSES CAMPOS SÃO INTERNOS À TAGNA E NÃO DEVEM IR PARA O CLIENTE NA MATRIZ DE ESCOPO, SERVEM PARA MELHORAR O TEMPLATE DE PROPOSTA TÉCNICA E/OU COMERCIAL.</t>
  </si>
  <si>
    <t>PREÇO GLOBAL</t>
  </si>
  <si>
    <t>PREÇO POR TIPO DE FORNECIMENTO</t>
  </si>
  <si>
    <t>SERVIÇOS</t>
  </si>
  <si>
    <t>CRONOGRAMA DE DESEMBOLSO</t>
  </si>
  <si>
    <t>FORNECIMENTOS TAGNA</t>
  </si>
  <si>
    <t>FORNECIMENTOS DIRETO AO CLIENTE</t>
  </si>
  <si>
    <t>TARIFAS ADICIONAIS</t>
  </si>
  <si>
    <t>TIPO 1</t>
  </si>
  <si>
    <t>TIPO 2</t>
  </si>
  <si>
    <t>TIPO 3</t>
  </si>
  <si>
    <t>TIPO 4</t>
  </si>
  <si>
    <t>TIPO 5</t>
  </si>
  <si>
    <t>Política de viagem.</t>
  </si>
  <si>
    <t>EMISSÃO DA ATA DE LEVANTAMENTO DE DADOS E CAMPO</t>
  </si>
  <si>
    <t>ASSINATURA RELATÓRIO DE TESTES DE PLATAFORMA / TAF</t>
  </si>
  <si>
    <t>IMPLANTAÇÃO DE CAMPO - REGRAS DE VIAGEM</t>
  </si>
  <si>
    <t>IMPLANTAÇÃO DE CAMPO - REGRAS E DEFINIÇÕES</t>
  </si>
  <si>
    <t>A cada 21 dias
A cada 30 dias</t>
  </si>
  <si>
    <t>Prazo mínimo para acionamento de viagem de campo.</t>
  </si>
  <si>
    <t>15 dias corridos</t>
  </si>
  <si>
    <t>Cancelamento ou remarcação de viagem de campo?</t>
  </si>
  <si>
    <t xml:space="preserve">Qualquer cancelamento ou remarcação deverá ser restituído à TAGNA e será cobrado como nota de débito.  </t>
  </si>
  <si>
    <t>Horário de viagem de ida para campo ou retorno para sede.</t>
  </si>
  <si>
    <t>Horário comercial 8h00 ``as 18h00</t>
  </si>
  <si>
    <r>
      <rPr>
        <b/>
        <sz val="8"/>
        <color rgb="FFFF0000"/>
        <rFont val="Roboto"/>
      </rPr>
      <t xml:space="preserve">Translado: </t>
    </r>
    <r>
      <rPr>
        <sz val="8"/>
        <color rgb="FFFF0000"/>
        <rFont val="Roboto"/>
      </rPr>
      <t>Aéreo, Terrestre</t>
    </r>
    <r>
      <rPr>
        <b/>
        <sz val="8"/>
        <color rgb="FFFF0000"/>
        <rFont val="Roboto"/>
      </rPr>
      <t xml:space="preserve">
Hotel</t>
    </r>
    <r>
      <rPr>
        <sz val="8"/>
        <color rgb="FFFF0000"/>
        <rFont val="Roboto"/>
      </rPr>
      <t xml:space="preserve">: Mínimo 3 estrelas, quarto individual.
</t>
    </r>
    <r>
      <rPr>
        <b/>
        <sz val="8"/>
        <color rgb="FFFF0000"/>
        <rFont val="Roboto"/>
      </rPr>
      <t>Carro</t>
    </r>
    <r>
      <rPr>
        <sz val="8"/>
        <color rgb="FFFF0000"/>
        <rFont val="Roboto"/>
      </rPr>
      <t xml:space="preserve">: 4x2
</t>
    </r>
    <r>
      <rPr>
        <b/>
        <sz val="8"/>
        <color rgb="FFFF0000"/>
        <rFont val="Roboto"/>
      </rPr>
      <t>Alimentação</t>
    </r>
    <r>
      <rPr>
        <sz val="8"/>
        <color rgb="FFFF0000"/>
        <rFont val="Roboto"/>
      </rPr>
      <t>: Na planta, fora da planta</t>
    </r>
  </si>
  <si>
    <t>EMISSÃO DA ESPECIFICAÇÃO FUNCIONAL OU DOC SIMILAR</t>
  </si>
  <si>
    <t>NOTA:
manter entre 40% a 50% nessas fases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</si>
</sst>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4" formatCode="_-&quot;R$&quot;\ * #,##0.00_-;\-&quot;R$&quot;\ * #,##0.00_-;_-&quot;R$&quot;\ * &quot;-&quot;??_-;_-@_-"/>
    <numFmt numFmtId="43" formatCode="_-* #,##0.00_-;\-* #,##0.00_-;_-* &quot;-&quot;??_-;_-@_-"/>
    <numFmt numFmtId="164" formatCode="_-[$R$-416]\ * #,##0.00_-;\-[$R$-416]\ * #,##0.00_-;_-[$R$-416]\ * &quot;-&quot;??_-;_-@_-"/>
    <numFmt numFmtId="165" formatCode="0.0%"/>
    <numFmt numFmtId="166" formatCode="[$R$-416]\ #,##0.00;[Red]\-[$R$-416]\ #,##0.00"/>
    <numFmt numFmtId="167" formatCode="0.00\ &quot;%&quot;"/>
    <numFmt numFmtId="168" formatCode="_-[$$-409]* #,##0.00_ ;_-[$$-409]* \-#,##0.00\ ;_-[$$-409]* &quot;-&quot;??_ ;_-@_ "/>
    <numFmt numFmtId="169" formatCode="_-* #,##0_-;\-* #,##0_-;_-* &quot;-&quot;??_-;_-@_-"/>
    <numFmt numFmtId="170" formatCode="_(* #,##0.00_);_(* \(#,##0.00\);_(* &quot;-&quot;??_);_(@_)"/>
    <numFmt numFmtId="171" formatCode="_(* #,##0_);_(* \(#,##0\);_(* &quot;-&quot;??_);_(@_)"/>
    <numFmt numFmtId="172" formatCode="&quot; &quot;00&quot;.&quot;000&quot;.&quot;000&quot;/&quot;0000\-00"/>
    <numFmt numFmtId="173" formatCode="&quot;R$&quot;\ #,##0.00"/>
  </numFmts>
  <fonts count="74" x14ac:knownFonts="1">
    <font>
      <sz val="11"/>
      <color theme="1"/>
      <name val="Aptos Narrow"/>
      <family val="2"/>
      <scheme val="minor"/>
    </font>
    <font>
      <sz val="11"/>
      <color theme="1"/>
      <name val="Aptos Narrow"/>
      <family val="2"/>
      <scheme val="minor"/>
    </font>
    <font>
      <sz val="11"/>
      <color theme="0"/>
      <name val="Aptos Narrow"/>
      <family val="2"/>
      <scheme val="minor"/>
    </font>
    <font>
      <b/>
      <sz val="11"/>
      <color rgb="FF000000"/>
      <name val="Aptos Narrow"/>
      <family val="2"/>
      <scheme val="minor"/>
    </font>
    <font>
      <b/>
      <sz val="11"/>
      <color rgb="FFFFFFFF"/>
      <name val="Aptos Narrow"/>
      <family val="2"/>
      <scheme val="minor"/>
    </font>
    <font>
      <b/>
      <sz val="11"/>
      <color theme="0"/>
      <name val="Aptos Narrow"/>
      <family val="2"/>
      <scheme val="minor"/>
    </font>
    <font>
      <b/>
      <sz val="11"/>
      <name val="Aptos Narrow"/>
      <family val="2"/>
      <scheme val="minor"/>
    </font>
    <font>
      <b/>
      <sz val="10"/>
      <color theme="1"/>
      <name val="Roboto"/>
    </font>
    <font>
      <sz val="10"/>
      <color theme="1"/>
      <name val="Roboto"/>
    </font>
    <font>
      <sz val="8"/>
      <color rgb="FFFF0000"/>
      <name val="Roboto"/>
    </font>
    <font>
      <sz val="8"/>
      <name val="Aptos Narrow"/>
      <family val="2"/>
      <scheme val="minor"/>
    </font>
    <font>
      <b/>
      <sz val="10"/>
      <color theme="0"/>
      <name val="Roboto"/>
    </font>
    <font>
      <sz val="9"/>
      <color indexed="81"/>
      <name val="Segoe UI"/>
      <family val="2"/>
    </font>
    <font>
      <b/>
      <sz val="9"/>
      <color indexed="81"/>
      <name val="Segoe UI"/>
      <family val="2"/>
    </font>
    <font>
      <b/>
      <sz val="10"/>
      <color rgb="FFFF0000"/>
      <name val="Roboto"/>
    </font>
    <font>
      <sz val="10"/>
      <color rgb="FFFF0000"/>
      <name val="Roboto"/>
    </font>
    <font>
      <u/>
      <sz val="11"/>
      <color theme="10"/>
      <name val="Aptos Narrow"/>
      <family val="2"/>
      <scheme val="minor"/>
    </font>
    <font>
      <b/>
      <u/>
      <sz val="10"/>
      <color rgb="FFFF0000"/>
      <name val="Roboto"/>
    </font>
    <font>
      <sz val="10"/>
      <color theme="0"/>
      <name val="Roboto"/>
    </font>
    <font>
      <b/>
      <u/>
      <sz val="10"/>
      <color theme="0"/>
      <name val="Roboto"/>
    </font>
    <font>
      <u/>
      <sz val="10"/>
      <name val="Roboto"/>
    </font>
    <font>
      <b/>
      <sz val="10"/>
      <color theme="0" tint="-0.249977111117893"/>
      <name val="Roboto"/>
    </font>
    <font>
      <sz val="10"/>
      <color theme="0" tint="-0.249977111117893"/>
      <name val="Roboto"/>
    </font>
    <font>
      <i/>
      <sz val="10"/>
      <color theme="1" tint="0.499984740745262"/>
      <name val="Roboto"/>
    </font>
    <font>
      <sz val="10"/>
      <color rgb="FF0070C0"/>
      <name val="Roboto"/>
    </font>
    <font>
      <u/>
      <sz val="9"/>
      <color indexed="81"/>
      <name val="Segoe UI"/>
      <family val="2"/>
    </font>
    <font>
      <i/>
      <sz val="10"/>
      <color theme="2" tint="-0.249977111117893"/>
      <name val="Roboto"/>
    </font>
    <font>
      <sz val="8"/>
      <color theme="0"/>
      <name val="Roboto"/>
    </font>
    <font>
      <sz val="10"/>
      <color theme="2" tint="-0.249977111117893"/>
      <name val="Roboto"/>
    </font>
    <font>
      <b/>
      <u/>
      <sz val="11"/>
      <color rgb="FFFF0000"/>
      <name val="Aptos Narrow"/>
      <family val="2"/>
      <scheme val="minor"/>
    </font>
    <font>
      <sz val="8"/>
      <color theme="2" tint="-0.499984740745262"/>
      <name val="Roboto"/>
    </font>
    <font>
      <sz val="8"/>
      <color theme="1"/>
      <name val="Roboto"/>
    </font>
    <font>
      <sz val="8"/>
      <color theme="1" tint="0.499984740745262"/>
      <name val="Roboto"/>
    </font>
    <font>
      <b/>
      <sz val="8"/>
      <color theme="0"/>
      <name val="Roboto"/>
    </font>
    <font>
      <b/>
      <sz val="11"/>
      <color theme="1"/>
      <name val="Aptos Narrow"/>
      <family val="2"/>
      <scheme val="minor"/>
    </font>
    <font>
      <b/>
      <sz val="11"/>
      <color rgb="FF0070C0"/>
      <name val="Aptos Narrow"/>
      <family val="2"/>
      <scheme val="minor"/>
    </font>
    <font>
      <sz val="10"/>
      <name val="Arial"/>
      <family val="2"/>
    </font>
    <font>
      <b/>
      <sz val="9"/>
      <color indexed="81"/>
      <name val="Tahoma"/>
      <family val="2"/>
    </font>
    <font>
      <sz val="9"/>
      <color indexed="81"/>
      <name val="Tahoma"/>
      <family val="2"/>
    </font>
    <font>
      <b/>
      <sz val="8"/>
      <color rgb="FFFF0000"/>
      <name val="Arial"/>
      <family val="2"/>
    </font>
    <font>
      <sz val="8"/>
      <name val="Arial"/>
      <family val="2"/>
    </font>
    <font>
      <sz val="8"/>
      <color theme="1"/>
      <name val="Aptos Narrow"/>
      <family val="2"/>
      <scheme val="minor"/>
    </font>
    <font>
      <sz val="8"/>
      <color rgb="FFFF0000"/>
      <name val="Arial"/>
      <family val="2"/>
    </font>
    <font>
      <b/>
      <sz val="8"/>
      <name val="Arial"/>
      <family val="2"/>
    </font>
    <font>
      <b/>
      <sz val="8"/>
      <color rgb="FFFFCB05"/>
      <name val="Roboto"/>
    </font>
    <font>
      <b/>
      <sz val="8"/>
      <color theme="1"/>
      <name val="Roboto"/>
    </font>
    <font>
      <sz val="11"/>
      <color theme="2" tint="-9.9978637043366805E-2"/>
      <name val="Aptos Narrow"/>
      <family val="2"/>
      <scheme val="minor"/>
    </font>
    <font>
      <b/>
      <sz val="11"/>
      <color rgb="FFFF0000"/>
      <name val="Aptos Narrow"/>
      <family val="2"/>
      <scheme val="minor"/>
    </font>
    <font>
      <b/>
      <u/>
      <sz val="9"/>
      <color indexed="81"/>
      <name val="Segoe UI"/>
      <family val="2"/>
    </font>
    <font>
      <b/>
      <sz val="12"/>
      <color rgb="FFFF0000"/>
      <name val="Aptos Narrow"/>
      <family val="2"/>
      <scheme val="minor"/>
    </font>
    <font>
      <sz val="11"/>
      <color rgb="FF000000"/>
      <name val="Calibri"/>
      <family val="2"/>
      <charset val="1"/>
    </font>
    <font>
      <b/>
      <sz val="15"/>
      <color theme="1"/>
      <name val="Calibri"/>
      <family val="2"/>
    </font>
    <font>
      <b/>
      <sz val="11"/>
      <name val="Calibri"/>
      <family val="2"/>
      <charset val="1"/>
    </font>
    <font>
      <i/>
      <sz val="9"/>
      <color indexed="81"/>
      <name val="Segoe UI"/>
      <family val="2"/>
    </font>
    <font>
      <b/>
      <i/>
      <sz val="9"/>
      <color indexed="81"/>
      <name val="Segoe UI"/>
      <family val="2"/>
    </font>
    <font>
      <b/>
      <sz val="8"/>
      <color rgb="FFFF0000"/>
      <name val="Roboto"/>
    </font>
    <font>
      <b/>
      <sz val="8"/>
      <color rgb="FFFFFF00"/>
      <name val="Roboto"/>
    </font>
    <font>
      <u val="singleAccounting"/>
      <sz val="8"/>
      <color theme="1"/>
      <name val="Roboto"/>
    </font>
    <font>
      <sz val="10"/>
      <color indexed="8"/>
      <name val="Calibri"/>
      <family val="2"/>
    </font>
    <font>
      <sz val="8"/>
      <color indexed="8"/>
      <name val="Roboto"/>
    </font>
    <font>
      <sz val="8"/>
      <name val="Roboto"/>
    </font>
    <font>
      <b/>
      <sz val="12"/>
      <color rgb="FFFF0000"/>
      <name val="Roboto"/>
    </font>
    <font>
      <b/>
      <sz val="14"/>
      <color theme="1"/>
      <name val="Roboto"/>
    </font>
    <font>
      <b/>
      <sz val="11"/>
      <color theme="1"/>
      <name val="Roboto"/>
    </font>
    <font>
      <sz val="11"/>
      <color rgb="FF000000"/>
      <name val="Roboto"/>
    </font>
    <font>
      <sz val="11"/>
      <color theme="1"/>
      <name val="Roboto"/>
    </font>
    <font>
      <b/>
      <sz val="10"/>
      <name val="Roboto"/>
    </font>
    <font>
      <sz val="10"/>
      <name val="Roboto"/>
    </font>
    <font>
      <b/>
      <sz val="11"/>
      <color rgb="FFFF0000"/>
      <name val="Roboto"/>
    </font>
    <font>
      <b/>
      <sz val="14"/>
      <color theme="0"/>
      <name val="Roboto"/>
    </font>
    <font>
      <sz val="11"/>
      <color rgb="FFFF0000"/>
      <name val="Roboto"/>
    </font>
    <font>
      <sz val="11"/>
      <color rgb="FF000000"/>
      <name val="Aptos Narrow"/>
      <family val="2"/>
      <scheme val="minor"/>
    </font>
    <font>
      <i/>
      <sz val="10"/>
      <color rgb="FFFF0000"/>
      <name val="Roboto"/>
    </font>
    <font>
      <b/>
      <u/>
      <sz val="10"/>
      <color theme="1"/>
      <name val="Roboto"/>
    </font>
  </fonts>
  <fills count="45">
    <fill>
      <patternFill patternType="none"/>
    </fill>
    <fill>
      <patternFill patternType="gray125"/>
    </fill>
    <fill>
      <patternFill patternType="solid">
        <fgColor theme="1"/>
        <bgColor indexed="64"/>
      </patternFill>
    </fill>
    <fill>
      <patternFill patternType="solid">
        <fgColor rgb="FFA6A6A6"/>
        <bgColor rgb="FF000000"/>
      </patternFill>
    </fill>
    <fill>
      <patternFill patternType="solid">
        <fgColor rgb="FF808080"/>
        <bgColor rgb="FF000000"/>
      </patternFill>
    </fill>
    <fill>
      <patternFill patternType="solid">
        <fgColor rgb="FF0070C0"/>
        <bgColor rgb="FF000000"/>
      </patternFill>
    </fill>
    <fill>
      <patternFill patternType="solid">
        <fgColor theme="0" tint="-0.14999847407452621"/>
        <bgColor rgb="FF000000"/>
      </patternFill>
    </fill>
    <fill>
      <patternFill patternType="solid">
        <fgColor rgb="FFFFFFCC"/>
        <bgColor indexed="64"/>
      </patternFill>
    </fill>
    <fill>
      <patternFill patternType="solid">
        <fgColor theme="5" tint="0.59999389629810485"/>
        <bgColor rgb="FF000000"/>
      </patternFill>
    </fill>
    <fill>
      <patternFill patternType="solid">
        <fgColor theme="4" tint="0.79998168889431442"/>
        <bgColor rgb="FF000000"/>
      </patternFill>
    </fill>
    <fill>
      <patternFill patternType="solid">
        <fgColor theme="9" tint="0.79998168889431442"/>
        <bgColor rgb="FF000000"/>
      </patternFill>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rgb="FFEADB2B"/>
        <bgColor indexed="64"/>
      </patternFill>
    </fill>
    <fill>
      <patternFill patternType="solid">
        <fgColor theme="2"/>
        <bgColor indexed="64"/>
      </patternFill>
    </fill>
    <fill>
      <patternFill patternType="solid">
        <fgColor theme="1" tint="0.34998626667073579"/>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1" tint="0.249977111117893"/>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4B4C4E"/>
        <bgColor indexed="64"/>
      </patternFill>
    </fill>
    <fill>
      <patternFill patternType="solid">
        <fgColor theme="4"/>
        <bgColor indexed="64"/>
      </patternFill>
    </fill>
    <fill>
      <patternFill patternType="solid">
        <fgColor theme="4" tint="0.79998168889431442"/>
        <bgColor indexed="64"/>
      </patternFill>
    </fill>
    <fill>
      <patternFill patternType="solid">
        <fgColor rgb="FFFED400"/>
        <bgColor rgb="FF000000"/>
      </patternFill>
    </fill>
    <fill>
      <patternFill patternType="solid">
        <fgColor rgb="FFEADB2B"/>
        <bgColor rgb="FF008000"/>
      </patternFill>
    </fill>
    <fill>
      <patternFill patternType="solid">
        <fgColor rgb="FFFFFF00"/>
        <bgColor indexed="64"/>
      </patternFill>
    </fill>
    <fill>
      <patternFill patternType="solid">
        <fgColor theme="3" tint="0.89999084444715716"/>
        <bgColor indexed="64"/>
      </patternFill>
    </fill>
    <fill>
      <patternFill patternType="solid">
        <fgColor theme="1" tint="4.9989318521683403E-2"/>
        <bgColor indexed="64"/>
      </patternFill>
    </fill>
    <fill>
      <patternFill patternType="solid">
        <fgColor theme="0" tint="-0.499984740745262"/>
        <bgColor indexed="64"/>
      </patternFill>
    </fill>
    <fill>
      <patternFill patternType="solid">
        <fgColor theme="5"/>
        <bgColor indexed="64"/>
      </patternFill>
    </fill>
    <fill>
      <patternFill patternType="solid">
        <fgColor rgb="FFA59868"/>
        <bgColor indexed="64"/>
      </patternFill>
    </fill>
    <fill>
      <patternFill patternType="solid">
        <fgColor rgb="FFFF0000"/>
        <bgColor indexed="64"/>
      </patternFill>
    </fill>
    <fill>
      <patternFill patternType="solid">
        <fgColor rgb="FFFFCB05"/>
        <bgColor indexed="64"/>
      </patternFill>
    </fill>
    <fill>
      <patternFill patternType="solid">
        <fgColor rgb="FFFFC000"/>
        <bgColor indexed="64"/>
      </patternFill>
    </fill>
    <fill>
      <patternFill patternType="solid">
        <fgColor rgb="FF7030A0"/>
        <bgColor indexed="64"/>
      </patternFill>
    </fill>
    <fill>
      <patternFill patternType="solid">
        <fgColor rgb="FF92D050"/>
        <bgColor indexed="64"/>
      </patternFill>
    </fill>
    <fill>
      <patternFill patternType="solid">
        <fgColor theme="8" tint="0.79998168889431442"/>
        <bgColor indexed="64"/>
      </patternFill>
    </fill>
    <fill>
      <patternFill patternType="solid">
        <fgColor rgb="FFFFFF99"/>
        <bgColor indexed="64"/>
      </patternFill>
    </fill>
    <fill>
      <patternFill patternType="solid">
        <fgColor rgb="FFFF9999"/>
        <bgColor indexed="64"/>
      </patternFill>
    </fill>
    <fill>
      <patternFill patternType="solid">
        <fgColor rgb="FFFF9900"/>
        <bgColor indexed="64"/>
      </patternFill>
    </fill>
  </fills>
  <borders count="73">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top style="thin">
        <color auto="1"/>
      </top>
      <bottom style="thin">
        <color auto="1"/>
      </bottom>
      <diagonal/>
    </border>
    <border>
      <left/>
      <right style="medium">
        <color indexed="64"/>
      </right>
      <top style="medium">
        <color indexed="64"/>
      </top>
      <bottom style="medium">
        <color indexed="64"/>
      </bottom>
      <diagonal/>
    </border>
    <border>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bottom/>
      <diagonal/>
    </border>
    <border>
      <left style="thin">
        <color auto="1"/>
      </left>
      <right style="thin">
        <color auto="1"/>
      </right>
      <top/>
      <bottom/>
      <diagonal/>
    </border>
    <border>
      <left/>
      <right style="medium">
        <color auto="1"/>
      </right>
      <top style="medium">
        <color auto="1"/>
      </top>
      <bottom style="thin">
        <color auto="1"/>
      </bottom>
      <diagonal/>
    </border>
    <border>
      <left style="hair">
        <color auto="1"/>
      </left>
      <right style="hair">
        <color auto="1"/>
      </right>
      <top style="medium">
        <color auto="1"/>
      </top>
      <bottom style="thin">
        <color auto="1"/>
      </bottom>
      <diagonal/>
    </border>
    <border>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rgb="FFFF0000"/>
      </left>
      <right style="thin">
        <color indexed="64"/>
      </right>
      <top style="medium">
        <color rgb="FFFF0000"/>
      </top>
      <bottom style="thin">
        <color indexed="64"/>
      </bottom>
      <diagonal/>
    </border>
    <border>
      <left style="thin">
        <color indexed="64"/>
      </left>
      <right style="thin">
        <color indexed="64"/>
      </right>
      <top style="medium">
        <color rgb="FFFF0000"/>
      </top>
      <bottom style="thin">
        <color indexed="64"/>
      </bottom>
      <diagonal/>
    </border>
    <border>
      <left/>
      <right/>
      <top style="medium">
        <color rgb="FFFF0000"/>
      </top>
      <bottom/>
      <diagonal/>
    </border>
    <border>
      <left/>
      <right style="medium">
        <color rgb="FFFF0000"/>
      </right>
      <top style="medium">
        <color rgb="FFFF0000"/>
      </top>
      <bottom/>
      <diagonal/>
    </border>
    <border>
      <left style="medium">
        <color rgb="FFFF0000"/>
      </left>
      <right style="thin">
        <color indexed="64"/>
      </right>
      <top style="thin">
        <color indexed="64"/>
      </top>
      <bottom style="thin">
        <color indexed="64"/>
      </bottom>
      <diagonal/>
    </border>
    <border>
      <left/>
      <right style="medium">
        <color rgb="FFFF0000"/>
      </right>
      <top/>
      <bottom/>
      <diagonal/>
    </border>
    <border>
      <left style="medium">
        <color rgb="FFFF0000"/>
      </left>
      <right style="thin">
        <color indexed="64"/>
      </right>
      <top style="thin">
        <color indexed="64"/>
      </top>
      <bottom style="medium">
        <color rgb="FFFF0000"/>
      </bottom>
      <diagonal/>
    </border>
    <border>
      <left style="thin">
        <color indexed="64"/>
      </left>
      <right style="thin">
        <color indexed="64"/>
      </right>
      <top style="thin">
        <color indexed="64"/>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right/>
      <top style="medium">
        <color indexed="64"/>
      </top>
      <bottom style="medium">
        <color indexed="64"/>
      </bottom>
      <diagonal/>
    </border>
    <border>
      <left style="thin">
        <color auto="1"/>
      </left>
      <right/>
      <top style="medium">
        <color auto="1"/>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s>
  <cellStyleXfs count="15">
    <xf numFmtId="0" fontId="0" fillId="0" borderId="0"/>
    <xf numFmtId="43" fontId="1" fillId="0" borderId="0" applyFont="0" applyFill="0" applyBorder="0" applyAlignment="0" applyProtection="0"/>
    <xf numFmtId="9" fontId="1" fillId="0" borderId="0" applyFont="0" applyFill="0" applyBorder="0" applyAlignment="0" applyProtection="0"/>
    <xf numFmtId="164" fontId="1" fillId="0" borderId="0"/>
    <xf numFmtId="44" fontId="1" fillId="0" borderId="0" applyFont="0" applyFill="0" applyBorder="0" applyAlignment="0" applyProtection="0"/>
    <xf numFmtId="0" fontId="16" fillId="0" borderId="0" applyNumberFormat="0" applyFill="0" applyBorder="0" applyAlignment="0" applyProtection="0"/>
    <xf numFmtId="164" fontId="1" fillId="0" borderId="0"/>
    <xf numFmtId="0" fontId="36" fillId="0" borderId="0"/>
    <xf numFmtId="0" fontId="1" fillId="0" borderId="0"/>
    <xf numFmtId="9" fontId="36" fillId="0" borderId="0" applyFill="0" applyBorder="0" applyAlignment="0" applyProtection="0"/>
    <xf numFmtId="0" fontId="50" fillId="0" borderId="0"/>
    <xf numFmtId="164" fontId="1" fillId="0" borderId="0"/>
    <xf numFmtId="170" fontId="1" fillId="0" borderId="0" applyFont="0" applyFill="0" applyBorder="0" applyAlignment="0" applyProtection="0"/>
    <xf numFmtId="0" fontId="58" fillId="0" borderId="0" applyNumberFormat="0" applyFill="0" applyBorder="0" applyProtection="0">
      <alignment horizontal="left" vertical="top"/>
    </xf>
    <xf numFmtId="0" fontId="1" fillId="0" borderId="0"/>
  </cellStyleXfs>
  <cellXfs count="723">
    <xf numFmtId="0" fontId="0" fillId="0" borderId="0" xfId="0"/>
    <xf numFmtId="164" fontId="1" fillId="2" borderId="0" xfId="3" applyFill="1"/>
    <xf numFmtId="164" fontId="2" fillId="2" borderId="0" xfId="3" applyFont="1" applyFill="1"/>
    <xf numFmtId="43" fontId="2" fillId="2" borderId="0" xfId="1" applyFont="1" applyFill="1"/>
    <xf numFmtId="164" fontId="3" fillId="4" borderId="1" xfId="3" applyFont="1" applyFill="1" applyBorder="1" applyAlignment="1">
      <alignment vertical="center"/>
    </xf>
    <xf numFmtId="43" fontId="3" fillId="4" borderId="1" xfId="1" applyFont="1" applyFill="1" applyBorder="1" applyAlignment="1">
      <alignment vertical="center"/>
    </xf>
    <xf numFmtId="166" fontId="3" fillId="4" borderId="1" xfId="3" applyNumberFormat="1" applyFont="1" applyFill="1" applyBorder="1" applyAlignment="1">
      <alignment vertical="center"/>
    </xf>
    <xf numFmtId="164" fontId="3" fillId="6" borderId="1" xfId="3" applyFont="1" applyFill="1" applyBorder="1" applyAlignment="1">
      <alignment vertical="center"/>
    </xf>
    <xf numFmtId="43" fontId="3" fillId="6" borderId="1" xfId="1" applyFont="1" applyFill="1" applyBorder="1" applyAlignment="1">
      <alignment vertical="center"/>
    </xf>
    <xf numFmtId="166" fontId="3" fillId="6" borderId="1" xfId="3" applyNumberFormat="1" applyFont="1" applyFill="1" applyBorder="1" applyAlignment="1">
      <alignment vertical="center"/>
    </xf>
    <xf numFmtId="164" fontId="4" fillId="4" borderId="1" xfId="3" applyFont="1" applyFill="1" applyBorder="1" applyAlignment="1">
      <alignment vertical="center"/>
    </xf>
    <xf numFmtId="43" fontId="4" fillId="4" borderId="1" xfId="1" applyFont="1" applyFill="1" applyBorder="1" applyAlignment="1">
      <alignment vertical="center"/>
    </xf>
    <xf numFmtId="166" fontId="4" fillId="4" borderId="1" xfId="3" applyNumberFormat="1" applyFont="1" applyFill="1" applyBorder="1" applyAlignment="1">
      <alignment vertical="center"/>
    </xf>
    <xf numFmtId="164" fontId="3" fillId="6" borderId="1" xfId="3" applyFont="1" applyFill="1" applyBorder="1" applyAlignment="1">
      <alignment horizontal="left" vertical="center"/>
    </xf>
    <xf numFmtId="43" fontId="3" fillId="6" borderId="1" xfId="1" applyFont="1" applyFill="1" applyBorder="1" applyAlignment="1">
      <alignment horizontal="left" vertical="center"/>
    </xf>
    <xf numFmtId="164" fontId="6" fillId="6" borderId="1" xfId="3" applyFont="1" applyFill="1" applyBorder="1" applyAlignment="1">
      <alignment vertical="center"/>
    </xf>
    <xf numFmtId="43" fontId="6" fillId="6" borderId="1" xfId="1" applyFont="1" applyFill="1" applyBorder="1" applyAlignment="1">
      <alignment vertical="center"/>
    </xf>
    <xf numFmtId="166" fontId="6" fillId="6" borderId="1" xfId="3" applyNumberFormat="1" applyFont="1" applyFill="1" applyBorder="1" applyAlignment="1">
      <alignment vertical="center"/>
    </xf>
    <xf numFmtId="166" fontId="3" fillId="7" borderId="1" xfId="3" applyNumberFormat="1" applyFont="1" applyFill="1" applyBorder="1" applyAlignment="1">
      <alignment vertical="center"/>
    </xf>
    <xf numFmtId="167" fontId="3" fillId="4" borderId="1" xfId="3" applyNumberFormat="1" applyFont="1" applyFill="1" applyBorder="1" applyAlignment="1">
      <alignment vertical="center"/>
    </xf>
    <xf numFmtId="167" fontId="4" fillId="5" borderId="1" xfId="1" applyNumberFormat="1" applyFont="1" applyFill="1" applyBorder="1" applyAlignment="1">
      <alignment vertical="center"/>
    </xf>
    <xf numFmtId="167" fontId="6" fillId="8" borderId="1" xfId="1" applyNumberFormat="1" applyFont="1" applyFill="1" applyBorder="1" applyAlignment="1">
      <alignment vertical="center"/>
    </xf>
    <xf numFmtId="10" fontId="6" fillId="9" borderId="1" xfId="2" applyNumberFormat="1" applyFont="1" applyFill="1" applyBorder="1" applyAlignment="1">
      <alignment vertical="center"/>
    </xf>
    <xf numFmtId="167" fontId="6" fillId="9" borderId="1" xfId="1" applyNumberFormat="1" applyFont="1" applyFill="1" applyBorder="1" applyAlignment="1">
      <alignment vertical="center"/>
    </xf>
    <xf numFmtId="166" fontId="3" fillId="10" borderId="1" xfId="3" applyNumberFormat="1" applyFont="1" applyFill="1" applyBorder="1" applyAlignment="1">
      <alignment vertical="center"/>
    </xf>
    <xf numFmtId="0" fontId="3" fillId="6" borderId="1" xfId="3" applyNumberFormat="1" applyFont="1" applyFill="1" applyBorder="1" applyAlignment="1">
      <alignment vertical="center"/>
    </xf>
    <xf numFmtId="0" fontId="7" fillId="14" borderId="0" xfId="0" applyFont="1" applyFill="1" applyAlignment="1">
      <alignment horizontal="left"/>
    </xf>
    <xf numFmtId="0" fontId="8" fillId="14" borderId="0" xfId="0" applyFont="1" applyFill="1"/>
    <xf numFmtId="0" fontId="8" fillId="14" borderId="0" xfId="0" applyFont="1" applyFill="1" applyAlignment="1">
      <alignment horizontal="center"/>
    </xf>
    <xf numFmtId="0" fontId="7" fillId="14" borderId="0" xfId="0" applyFont="1" applyFill="1" applyAlignment="1">
      <alignment horizontal="center"/>
    </xf>
    <xf numFmtId="44" fontId="8" fillId="14" borderId="0" xfId="4" applyFont="1" applyFill="1" applyAlignment="1">
      <alignment horizontal="center"/>
    </xf>
    <xf numFmtId="0" fontId="7" fillId="14" borderId="2" xfId="0" applyFont="1" applyFill="1" applyBorder="1" applyAlignment="1">
      <alignment horizontal="left"/>
    </xf>
    <xf numFmtId="0" fontId="8" fillId="14" borderId="2" xfId="0" applyFont="1" applyFill="1" applyBorder="1"/>
    <xf numFmtId="0" fontId="8" fillId="14" borderId="2" xfId="0" applyFont="1" applyFill="1" applyBorder="1" applyAlignment="1">
      <alignment horizontal="center"/>
    </xf>
    <xf numFmtId="44" fontId="8" fillId="14" borderId="2" xfId="4" applyFont="1" applyFill="1" applyBorder="1" applyAlignment="1">
      <alignment horizontal="center"/>
    </xf>
    <xf numFmtId="0" fontId="7" fillId="14" borderId="0" xfId="0" applyFont="1" applyFill="1"/>
    <xf numFmtId="44" fontId="7" fillId="14" borderId="0" xfId="4" applyFont="1" applyFill="1" applyAlignment="1">
      <alignment horizontal="center"/>
    </xf>
    <xf numFmtId="0" fontId="15" fillId="14" borderId="0" xfId="0" applyFont="1" applyFill="1" applyAlignment="1">
      <alignment horizontal="center"/>
    </xf>
    <xf numFmtId="0" fontId="8" fillId="14" borderId="0" xfId="0" applyFont="1" applyFill="1" applyAlignment="1">
      <alignment horizontal="left"/>
    </xf>
    <xf numFmtId="0" fontId="8" fillId="15" borderId="0" xfId="0" applyFont="1" applyFill="1"/>
    <xf numFmtId="0" fontId="8" fillId="16" borderId="0" xfId="0" applyFont="1" applyFill="1"/>
    <xf numFmtId="0" fontId="17" fillId="16" borderId="0" xfId="0" applyFont="1" applyFill="1"/>
    <xf numFmtId="0" fontId="8" fillId="16" borderId="0" xfId="0" applyFont="1" applyFill="1" applyAlignment="1">
      <alignment wrapText="1"/>
    </xf>
    <xf numFmtId="0" fontId="11" fillId="17" borderId="0" xfId="0" applyFont="1" applyFill="1"/>
    <xf numFmtId="0" fontId="18" fillId="17" borderId="0" xfId="0" applyFont="1" applyFill="1"/>
    <xf numFmtId="0" fontId="7" fillId="15" borderId="0" xfId="0" applyFont="1" applyFill="1" applyAlignment="1">
      <alignment horizontal="left"/>
    </xf>
    <xf numFmtId="0" fontId="19" fillId="20" borderId="0" xfId="0" applyFont="1" applyFill="1" applyAlignment="1">
      <alignment horizontal="left"/>
    </xf>
    <xf numFmtId="0" fontId="18" fillId="20" borderId="0" xfId="0" applyFont="1" applyFill="1" applyAlignment="1">
      <alignment horizontal="left"/>
    </xf>
    <xf numFmtId="44" fontId="8" fillId="18" borderId="12" xfId="4" applyFont="1" applyFill="1" applyBorder="1" applyAlignment="1">
      <alignment horizontal="center"/>
    </xf>
    <xf numFmtId="44" fontId="8" fillId="19" borderId="12" xfId="4" applyFont="1" applyFill="1" applyBorder="1" applyAlignment="1">
      <alignment horizontal="center"/>
    </xf>
    <xf numFmtId="0" fontId="8" fillId="18" borderId="13" xfId="0" applyFont="1" applyFill="1" applyBorder="1"/>
    <xf numFmtId="0" fontId="8" fillId="19" borderId="13" xfId="0" applyFont="1" applyFill="1" applyBorder="1"/>
    <xf numFmtId="44" fontId="7" fillId="18" borderId="13" xfId="4" applyFont="1" applyFill="1" applyBorder="1" applyAlignment="1">
      <alignment horizontal="center"/>
    </xf>
    <xf numFmtId="44" fontId="7" fillId="19" borderId="13" xfId="4" applyFont="1" applyFill="1" applyBorder="1" applyAlignment="1">
      <alignment horizontal="center"/>
    </xf>
    <xf numFmtId="44" fontId="8" fillId="18" borderId="13" xfId="4" applyFont="1" applyFill="1" applyBorder="1" applyAlignment="1">
      <alignment horizontal="center"/>
    </xf>
    <xf numFmtId="44" fontId="8" fillId="19" borderId="13" xfId="4" applyFont="1" applyFill="1" applyBorder="1" applyAlignment="1">
      <alignment horizontal="center"/>
    </xf>
    <xf numFmtId="44" fontId="7" fillId="18" borderId="14" xfId="4" applyFont="1" applyFill="1" applyBorder="1" applyAlignment="1">
      <alignment horizontal="center"/>
    </xf>
    <xf numFmtId="44" fontId="7" fillId="19" borderId="14" xfId="4" applyFont="1" applyFill="1" applyBorder="1" applyAlignment="1">
      <alignment horizontal="center"/>
    </xf>
    <xf numFmtId="0" fontId="7" fillId="15" borderId="2" xfId="0" applyFont="1" applyFill="1" applyBorder="1" applyAlignment="1">
      <alignment horizontal="left"/>
    </xf>
    <xf numFmtId="0" fontId="8" fillId="15" borderId="2" xfId="0" applyFont="1" applyFill="1" applyBorder="1"/>
    <xf numFmtId="0" fontId="14" fillId="11" borderId="15" xfId="0" applyFont="1" applyFill="1" applyBorder="1" applyAlignment="1">
      <alignment horizontal="left"/>
    </xf>
    <xf numFmtId="10" fontId="14" fillId="11" borderId="16" xfId="0" applyNumberFormat="1" applyFont="1" applyFill="1" applyBorder="1" applyAlignment="1">
      <alignment horizontal="center"/>
    </xf>
    <xf numFmtId="10" fontId="7" fillId="14" borderId="0" xfId="0" applyNumberFormat="1" applyFont="1" applyFill="1" applyAlignment="1">
      <alignment horizontal="center"/>
    </xf>
    <xf numFmtId="43" fontId="21" fillId="14" borderId="0" xfId="1" applyFont="1" applyFill="1" applyAlignment="1"/>
    <xf numFmtId="43" fontId="22" fillId="14" borderId="0" xfId="1" applyFont="1" applyFill="1" applyAlignment="1"/>
    <xf numFmtId="10" fontId="22" fillId="14" borderId="0" xfId="0" applyNumberFormat="1" applyFont="1" applyFill="1" applyAlignment="1">
      <alignment horizontal="center"/>
    </xf>
    <xf numFmtId="0" fontId="23" fillId="14" borderId="0" xfId="0" applyFont="1" applyFill="1"/>
    <xf numFmtId="0" fontId="24" fillId="11" borderId="1" xfId="0" applyFont="1" applyFill="1" applyBorder="1" applyAlignment="1">
      <alignment horizontal="center"/>
    </xf>
    <xf numFmtId="43" fontId="8" fillId="14" borderId="0" xfId="1" applyFont="1" applyFill="1" applyAlignment="1">
      <alignment horizontal="center"/>
    </xf>
    <xf numFmtId="43" fontId="7" fillId="14" borderId="0" xfId="1" applyFont="1" applyFill="1" applyAlignment="1">
      <alignment horizontal="center"/>
    </xf>
    <xf numFmtId="164" fontId="1" fillId="16" borderId="0" xfId="3" applyFill="1"/>
    <xf numFmtId="165" fontId="0" fillId="16" borderId="0" xfId="2" applyNumberFormat="1" applyFont="1" applyFill="1"/>
    <xf numFmtId="164" fontId="0" fillId="16" borderId="0" xfId="3" applyFont="1" applyFill="1"/>
    <xf numFmtId="43" fontId="1" fillId="16" borderId="0" xfId="1" applyFill="1"/>
    <xf numFmtId="44" fontId="1" fillId="16" borderId="0" xfId="4" applyFill="1"/>
    <xf numFmtId="12" fontId="1" fillId="16" borderId="0" xfId="1" applyNumberFormat="1" applyFill="1"/>
    <xf numFmtId="0" fontId="20" fillId="16" borderId="9" xfId="5" applyFont="1" applyFill="1" applyBorder="1" applyAlignment="1">
      <alignment vertical="center"/>
    </xf>
    <xf numFmtId="0" fontId="20" fillId="16" borderId="6" xfId="5" applyFont="1" applyFill="1" applyBorder="1" applyAlignment="1">
      <alignment vertical="center"/>
    </xf>
    <xf numFmtId="0" fontId="20" fillId="16" borderId="11" xfId="5" applyFont="1" applyFill="1" applyBorder="1" applyAlignment="1">
      <alignment vertical="center"/>
    </xf>
    <xf numFmtId="0" fontId="20" fillId="16" borderId="7" xfId="5" applyFont="1" applyFill="1" applyBorder="1" applyAlignment="1">
      <alignment vertical="center"/>
    </xf>
    <xf numFmtId="43" fontId="18" fillId="20" borderId="0" xfId="1" applyFont="1" applyFill="1" applyAlignment="1">
      <alignment horizontal="left"/>
    </xf>
    <xf numFmtId="43" fontId="7" fillId="14" borderId="0" xfId="1" applyFont="1" applyFill="1"/>
    <xf numFmtId="43" fontId="8" fillId="14" borderId="2" xfId="1" applyFont="1" applyFill="1" applyBorder="1" applyAlignment="1">
      <alignment horizontal="center"/>
    </xf>
    <xf numFmtId="43" fontId="8" fillId="14" borderId="0" xfId="1" applyFont="1" applyFill="1"/>
    <xf numFmtId="43" fontId="15" fillId="14" borderId="0" xfId="1" applyFont="1" applyFill="1" applyAlignment="1">
      <alignment horizontal="center"/>
    </xf>
    <xf numFmtId="44" fontId="26" fillId="14" borderId="0" xfId="4" applyFont="1" applyFill="1" applyAlignment="1">
      <alignment horizontal="center"/>
    </xf>
    <xf numFmtId="0" fontId="7" fillId="15" borderId="0" xfId="0" applyFont="1" applyFill="1" applyAlignment="1">
      <alignment horizontal="center"/>
    </xf>
    <xf numFmtId="43" fontId="26" fillId="14" borderId="0" xfId="1" applyFont="1" applyFill="1" applyAlignment="1">
      <alignment horizontal="center"/>
    </xf>
    <xf numFmtId="43" fontId="28" fillId="14" borderId="0" xfId="1" applyFont="1" applyFill="1" applyAlignment="1">
      <alignment horizontal="center"/>
    </xf>
    <xf numFmtId="43" fontId="8" fillId="14" borderId="1" xfId="1" applyFont="1" applyFill="1" applyBorder="1" applyAlignment="1">
      <alignment horizontal="center"/>
    </xf>
    <xf numFmtId="43" fontId="24" fillId="11" borderId="1" xfId="1" applyFont="1" applyFill="1" applyBorder="1" applyAlignment="1">
      <alignment horizontal="center"/>
    </xf>
    <xf numFmtId="43" fontId="24" fillId="16" borderId="1" xfId="1" applyFont="1" applyFill="1" applyBorder="1" applyAlignment="1">
      <alignment horizontal="center"/>
    </xf>
    <xf numFmtId="0" fontId="8" fillId="14" borderId="0" xfId="0" applyFont="1" applyFill="1" applyAlignment="1">
      <alignment horizontal="right"/>
    </xf>
    <xf numFmtId="0" fontId="7" fillId="14" borderId="0" xfId="0" applyFont="1" applyFill="1" applyAlignment="1">
      <alignment horizontal="right"/>
    </xf>
    <xf numFmtId="0" fontId="19" fillId="20" borderId="19" xfId="0" applyFont="1" applyFill="1" applyBorder="1" applyAlignment="1">
      <alignment horizontal="left"/>
    </xf>
    <xf numFmtId="43" fontId="18" fillId="20" borderId="20" xfId="1" applyFont="1" applyFill="1" applyBorder="1" applyAlignment="1">
      <alignment horizontal="left"/>
    </xf>
    <xf numFmtId="0" fontId="18" fillId="20" borderId="20" xfId="0" applyFont="1" applyFill="1" applyBorder="1" applyAlignment="1">
      <alignment horizontal="left"/>
    </xf>
    <xf numFmtId="0" fontId="18" fillId="20" borderId="21" xfId="0" applyFont="1" applyFill="1" applyBorder="1" applyAlignment="1">
      <alignment horizontal="left"/>
    </xf>
    <xf numFmtId="0" fontId="11" fillId="13" borderId="1" xfId="0" applyFont="1" applyFill="1" applyBorder="1" applyAlignment="1">
      <alignment horizontal="center"/>
    </xf>
    <xf numFmtId="9" fontId="8" fillId="14" borderId="0" xfId="0" applyNumberFormat="1" applyFont="1" applyFill="1"/>
    <xf numFmtId="0" fontId="8" fillId="14" borderId="1" xfId="0" applyFont="1" applyFill="1" applyBorder="1"/>
    <xf numFmtId="165" fontId="8" fillId="14" borderId="1" xfId="0" applyNumberFormat="1" applyFont="1" applyFill="1" applyBorder="1" applyAlignment="1">
      <alignment horizontal="center"/>
    </xf>
    <xf numFmtId="44" fontId="8" fillId="11" borderId="1" xfId="4" applyFont="1" applyFill="1" applyBorder="1"/>
    <xf numFmtId="0" fontId="0" fillId="23" borderId="1" xfId="0" applyFill="1" applyBorder="1"/>
    <xf numFmtId="165" fontId="35" fillId="11" borderId="1" xfId="0" applyNumberFormat="1" applyFont="1" applyFill="1" applyBorder="1" applyAlignment="1">
      <alignment vertical="center"/>
    </xf>
    <xf numFmtId="165" fontId="0" fillId="14" borderId="0" xfId="0" applyNumberFormat="1" applyFill="1"/>
    <xf numFmtId="0" fontId="0" fillId="14" borderId="0" xfId="0" applyFill="1"/>
    <xf numFmtId="1" fontId="5" fillId="17" borderId="1" xfId="1" applyNumberFormat="1" applyFont="1" applyFill="1" applyBorder="1" applyAlignment="1">
      <alignment horizontal="center"/>
    </xf>
    <xf numFmtId="165" fontId="0" fillId="14" borderId="1" xfId="2" applyNumberFormat="1" applyFont="1" applyFill="1" applyBorder="1" applyAlignment="1">
      <alignment vertical="center"/>
    </xf>
    <xf numFmtId="165" fontId="0" fillId="14" borderId="0" xfId="2" applyNumberFormat="1" applyFont="1" applyFill="1"/>
    <xf numFmtId="0" fontId="34" fillId="11" borderId="1" xfId="0" applyFont="1" applyFill="1" applyBorder="1"/>
    <xf numFmtId="9" fontId="35" fillId="11" borderId="1" xfId="2" applyFont="1" applyFill="1" applyBorder="1"/>
    <xf numFmtId="165" fontId="0" fillId="14" borderId="1" xfId="2" applyNumberFormat="1" applyFont="1" applyFill="1" applyBorder="1"/>
    <xf numFmtId="0" fontId="0" fillId="14" borderId="0" xfId="0" applyFill="1" applyAlignment="1">
      <alignment vertical="center"/>
    </xf>
    <xf numFmtId="168" fontId="0" fillId="14" borderId="0" xfId="0" applyNumberFormat="1" applyFill="1"/>
    <xf numFmtId="169" fontId="0" fillId="14" borderId="0" xfId="1" applyNumberFormat="1" applyFont="1" applyFill="1"/>
    <xf numFmtId="1" fontId="0" fillId="14" borderId="1" xfId="1" applyNumberFormat="1" applyFont="1" applyFill="1" applyBorder="1"/>
    <xf numFmtId="1" fontId="35" fillId="11" borderId="1" xfId="1" applyNumberFormat="1" applyFont="1" applyFill="1" applyBorder="1"/>
    <xf numFmtId="168" fontId="35" fillId="11" borderId="1" xfId="0" applyNumberFormat="1" applyFont="1" applyFill="1" applyBorder="1" applyAlignment="1">
      <alignment vertical="center"/>
    </xf>
    <xf numFmtId="168" fontId="35" fillId="11" borderId="25" xfId="0" applyNumberFormat="1" applyFont="1" applyFill="1" applyBorder="1" applyAlignment="1">
      <alignment vertical="center"/>
    </xf>
    <xf numFmtId="168" fontId="0" fillId="14" borderId="0" xfId="0" applyNumberFormat="1" applyFill="1" applyAlignment="1">
      <alignment vertical="center"/>
    </xf>
    <xf numFmtId="0" fontId="0" fillId="14" borderId="0" xfId="0" applyFill="1" applyAlignment="1">
      <alignment horizontal="center"/>
    </xf>
    <xf numFmtId="0" fontId="0" fillId="14" borderId="1" xfId="0" applyFill="1" applyBorder="1"/>
    <xf numFmtId="9" fontId="0" fillId="14" borderId="1" xfId="2" applyFont="1" applyFill="1" applyBorder="1" applyAlignment="1">
      <alignment horizontal="center"/>
    </xf>
    <xf numFmtId="169" fontId="0" fillId="14" borderId="0" xfId="1" applyNumberFormat="1" applyFont="1" applyFill="1" applyAlignment="1">
      <alignment horizontal="center"/>
    </xf>
    <xf numFmtId="0" fontId="35" fillId="11" borderId="1" xfId="0" applyFont="1" applyFill="1" applyBorder="1" applyAlignment="1">
      <alignment vertical="center"/>
    </xf>
    <xf numFmtId="168" fontId="0" fillId="14" borderId="1" xfId="4" applyNumberFormat="1" applyFont="1" applyFill="1" applyBorder="1" applyAlignment="1">
      <alignment vertical="center"/>
    </xf>
    <xf numFmtId="165" fontId="0" fillId="14" borderId="1" xfId="0" applyNumberFormat="1" applyFill="1" applyBorder="1" applyAlignment="1">
      <alignment vertical="center"/>
    </xf>
    <xf numFmtId="0" fontId="0" fillId="14" borderId="0" xfId="1" applyNumberFormat="1" applyFont="1" applyFill="1"/>
    <xf numFmtId="43" fontId="0" fillId="14" borderId="1" xfId="1" applyFont="1" applyFill="1" applyBorder="1" applyAlignment="1">
      <alignment vertical="center"/>
    </xf>
    <xf numFmtId="0" fontId="0" fillId="14" borderId="0" xfId="0" applyFill="1" applyAlignment="1">
      <alignment horizontal="right"/>
    </xf>
    <xf numFmtId="44" fontId="0" fillId="14" borderId="0" xfId="4" applyFont="1" applyFill="1"/>
    <xf numFmtId="44" fontId="0" fillId="14" borderId="0" xfId="0" applyNumberFormat="1" applyFill="1"/>
    <xf numFmtId="168" fontId="0" fillId="14" borderId="0" xfId="0" applyNumberFormat="1" applyFill="1" applyAlignment="1">
      <alignment horizontal="right"/>
    </xf>
    <xf numFmtId="0" fontId="0" fillId="11" borderId="0" xfId="0" applyFill="1"/>
    <xf numFmtId="0" fontId="39" fillId="11" borderId="0" xfId="7" applyFont="1" applyFill="1"/>
    <xf numFmtId="0" fontId="40" fillId="11" borderId="0" xfId="7" applyFont="1" applyFill="1"/>
    <xf numFmtId="0" fontId="40" fillId="11" borderId="0" xfId="7" applyFont="1" applyFill="1" applyAlignment="1">
      <alignment horizontal="center"/>
    </xf>
    <xf numFmtId="0" fontId="41" fillId="11" borderId="0" xfId="0" applyFont="1" applyFill="1"/>
    <xf numFmtId="0" fontId="40" fillId="12" borderId="1" xfId="7" applyFont="1" applyFill="1" applyBorder="1" applyAlignment="1">
      <alignment horizontal="center"/>
    </xf>
    <xf numFmtId="2" fontId="40" fillId="11" borderId="0" xfId="7" applyNumberFormat="1" applyFont="1" applyFill="1" applyAlignment="1">
      <alignment horizontal="center"/>
    </xf>
    <xf numFmtId="0" fontId="43" fillId="11" borderId="0" xfId="7" applyFont="1" applyFill="1"/>
    <xf numFmtId="0" fontId="43" fillId="11" borderId="0" xfId="7" applyFont="1" applyFill="1" applyAlignment="1">
      <alignment horizontal="center"/>
    </xf>
    <xf numFmtId="0" fontId="43" fillId="24" borderId="1" xfId="7" applyFont="1" applyFill="1" applyBorder="1" applyAlignment="1">
      <alignment horizontal="center"/>
    </xf>
    <xf numFmtId="0" fontId="42" fillId="12" borderId="1" xfId="7" applyFont="1" applyFill="1" applyBorder="1" applyAlignment="1">
      <alignment horizontal="center"/>
    </xf>
    <xf numFmtId="0" fontId="43" fillId="24" borderId="1" xfId="7" applyFont="1" applyFill="1" applyBorder="1"/>
    <xf numFmtId="2" fontId="40" fillId="12" borderId="1" xfId="7" applyNumberFormat="1" applyFont="1" applyFill="1" applyBorder="1" applyAlignment="1">
      <alignment horizontal="center"/>
    </xf>
    <xf numFmtId="2" fontId="40" fillId="11" borderId="0" xfId="7" applyNumberFormat="1" applyFont="1" applyFill="1"/>
    <xf numFmtId="0" fontId="42" fillId="12" borderId="1" xfId="8" applyFont="1" applyFill="1" applyBorder="1" applyAlignment="1">
      <alignment horizontal="center"/>
    </xf>
    <xf numFmtId="0" fontId="43" fillId="11" borderId="0" xfId="7" applyFont="1" applyFill="1" applyAlignment="1">
      <alignment horizontal="left"/>
    </xf>
    <xf numFmtId="0" fontId="39" fillId="11" borderId="1" xfId="7" applyFont="1" applyFill="1" applyBorder="1" applyAlignment="1">
      <alignment horizontal="center"/>
    </xf>
    <xf numFmtId="9" fontId="42" fillId="12" borderId="1" xfId="9" applyFont="1" applyFill="1" applyBorder="1" applyAlignment="1">
      <alignment horizontal="center"/>
    </xf>
    <xf numFmtId="9" fontId="40" fillId="11" borderId="0" xfId="9" applyFont="1" applyFill="1" applyAlignment="1">
      <alignment horizontal="center"/>
    </xf>
    <xf numFmtId="0" fontId="40" fillId="11" borderId="0" xfId="7" applyFont="1" applyFill="1" applyAlignment="1">
      <alignment horizontal="left" indent="2"/>
    </xf>
    <xf numFmtId="0" fontId="40" fillId="11" borderId="0" xfId="7" applyFont="1" applyFill="1" applyAlignment="1">
      <alignment horizontal="left"/>
    </xf>
    <xf numFmtId="9" fontId="42" fillId="24" borderId="1" xfId="9" applyFont="1" applyFill="1" applyBorder="1" applyAlignment="1">
      <alignment horizontal="center"/>
    </xf>
    <xf numFmtId="2" fontId="43" fillId="24" borderId="1" xfId="7" applyNumberFormat="1" applyFont="1" applyFill="1" applyBorder="1" applyAlignment="1">
      <alignment horizontal="center"/>
    </xf>
    <xf numFmtId="9" fontId="42" fillId="11" borderId="1" xfId="9" applyFont="1" applyFill="1" applyBorder="1" applyAlignment="1">
      <alignment horizontal="center"/>
    </xf>
    <xf numFmtId="0" fontId="44" fillId="25" borderId="1" xfId="0" applyFont="1" applyFill="1" applyBorder="1" applyAlignment="1">
      <alignment horizontal="center" vertical="center"/>
    </xf>
    <xf numFmtId="0" fontId="31" fillId="14" borderId="1" xfId="0" applyFont="1" applyFill="1" applyBorder="1" applyAlignment="1">
      <alignment horizontal="left" vertical="center"/>
    </xf>
    <xf numFmtId="0" fontId="9" fillId="11" borderId="1" xfId="0" applyFont="1" applyFill="1" applyBorder="1" applyAlignment="1">
      <alignment horizontal="center" vertical="center"/>
    </xf>
    <xf numFmtId="43" fontId="45" fillId="12" borderId="1" xfId="1" applyFont="1" applyFill="1" applyBorder="1" applyAlignment="1">
      <alignment horizontal="center" vertical="center"/>
    </xf>
    <xf numFmtId="0" fontId="46" fillId="11" borderId="0" xfId="0" applyFont="1" applyFill="1"/>
    <xf numFmtId="0" fontId="47" fillId="11" borderId="0" xfId="0" applyFont="1" applyFill="1" applyAlignment="1">
      <alignment horizontal="center"/>
    </xf>
    <xf numFmtId="0" fontId="31" fillId="14" borderId="1" xfId="0" applyFont="1" applyFill="1" applyBorder="1" applyAlignment="1">
      <alignment horizontal="center" vertical="center" wrapText="1"/>
    </xf>
    <xf numFmtId="0" fontId="7" fillId="14" borderId="0" xfId="0" quotePrefix="1" applyFont="1" applyFill="1" applyAlignment="1">
      <alignment horizontal="center"/>
    </xf>
    <xf numFmtId="0" fontId="11" fillId="26" borderId="26" xfId="0" applyFont="1" applyFill="1" applyBorder="1" applyAlignment="1">
      <alignment horizontal="center"/>
    </xf>
    <xf numFmtId="44" fontId="7" fillId="27" borderId="13" xfId="0" applyNumberFormat="1" applyFont="1" applyFill="1" applyBorder="1" applyAlignment="1">
      <alignment horizontal="center"/>
    </xf>
    <xf numFmtId="0" fontId="7" fillId="27" borderId="14" xfId="0" applyFont="1" applyFill="1" applyBorder="1" applyAlignment="1">
      <alignment horizontal="center"/>
    </xf>
    <xf numFmtId="43" fontId="8" fillId="14" borderId="2" xfId="0" applyNumberFormat="1" applyFont="1" applyFill="1" applyBorder="1" applyAlignment="1">
      <alignment horizontal="center"/>
    </xf>
    <xf numFmtId="10" fontId="22" fillId="14" borderId="0" xfId="0" applyNumberFormat="1" applyFont="1" applyFill="1" applyAlignment="1">
      <alignment horizontal="right"/>
    </xf>
    <xf numFmtId="167" fontId="47" fillId="28" borderId="1" xfId="1" applyNumberFormat="1" applyFont="1" applyFill="1" applyBorder="1" applyAlignment="1">
      <alignment vertical="center"/>
    </xf>
    <xf numFmtId="167" fontId="49" fillId="28" borderId="1" xfId="1" applyNumberFormat="1" applyFont="1" applyFill="1" applyBorder="1" applyAlignment="1">
      <alignment vertical="center"/>
    </xf>
    <xf numFmtId="165" fontId="0" fillId="16" borderId="0" xfId="2" applyNumberFormat="1" applyFont="1" applyFill="1" applyAlignment="1">
      <alignment vertical="center"/>
    </xf>
    <xf numFmtId="0" fontId="50" fillId="0" borderId="0" xfId="10"/>
    <xf numFmtId="10" fontId="6" fillId="9" borderId="5" xfId="2" applyNumberFormat="1" applyFont="1" applyFill="1" applyBorder="1" applyAlignment="1">
      <alignment vertical="center"/>
    </xf>
    <xf numFmtId="10" fontId="4" fillId="5" borderId="5" xfId="2" applyNumberFormat="1" applyFont="1" applyFill="1" applyBorder="1" applyAlignment="1">
      <alignment vertical="center"/>
    </xf>
    <xf numFmtId="164" fontId="3" fillId="3" borderId="4" xfId="3" applyFont="1" applyFill="1" applyBorder="1" applyAlignment="1">
      <alignment vertical="center"/>
    </xf>
    <xf numFmtId="43" fontId="3" fillId="3" borderId="4" xfId="1" applyFont="1" applyFill="1" applyBorder="1" applyAlignment="1">
      <alignment vertical="center"/>
    </xf>
    <xf numFmtId="166" fontId="3" fillId="3" borderId="4" xfId="3" applyNumberFormat="1" applyFont="1" applyFill="1" applyBorder="1" applyAlignment="1">
      <alignment vertical="center"/>
    </xf>
    <xf numFmtId="167" fontId="4" fillId="5" borderId="4" xfId="1" applyNumberFormat="1" applyFont="1" applyFill="1" applyBorder="1" applyAlignment="1">
      <alignment vertical="center"/>
    </xf>
    <xf numFmtId="164" fontId="3" fillId="4" borderId="43" xfId="3" applyFont="1" applyFill="1" applyBorder="1" applyAlignment="1">
      <alignment vertical="center"/>
    </xf>
    <xf numFmtId="43" fontId="3" fillId="4" borderId="43" xfId="1" applyFont="1" applyFill="1" applyBorder="1" applyAlignment="1">
      <alignment vertical="center"/>
    </xf>
    <xf numFmtId="166" fontId="3" fillId="10" borderId="43" xfId="3" applyNumberFormat="1" applyFont="1" applyFill="1" applyBorder="1" applyAlignment="1">
      <alignment vertical="center"/>
    </xf>
    <xf numFmtId="167" fontId="3" fillId="4" borderId="43" xfId="3" applyNumberFormat="1" applyFont="1" applyFill="1" applyBorder="1" applyAlignment="1">
      <alignment vertical="center"/>
    </xf>
    <xf numFmtId="164" fontId="1" fillId="16" borderId="44" xfId="3" applyFill="1" applyBorder="1"/>
    <xf numFmtId="164" fontId="1" fillId="16" borderId="45" xfId="3" applyFill="1" applyBorder="1"/>
    <xf numFmtId="165" fontId="0" fillId="16" borderId="47" xfId="2" applyNumberFormat="1" applyFont="1" applyFill="1" applyBorder="1"/>
    <xf numFmtId="164" fontId="0" fillId="16" borderId="47" xfId="3" applyFont="1" applyFill="1" applyBorder="1"/>
    <xf numFmtId="164" fontId="1" fillId="16" borderId="47" xfId="3" applyFill="1" applyBorder="1"/>
    <xf numFmtId="164" fontId="4" fillId="4" borderId="49" xfId="3" applyFont="1" applyFill="1" applyBorder="1" applyAlignment="1">
      <alignment vertical="center"/>
    </xf>
    <xf numFmtId="43" fontId="4" fillId="4" borderId="49" xfId="1" applyFont="1" applyFill="1" applyBorder="1" applyAlignment="1">
      <alignment vertical="center"/>
    </xf>
    <xf numFmtId="166" fontId="4" fillId="4" borderId="49" xfId="3" applyNumberFormat="1" applyFont="1" applyFill="1" applyBorder="1" applyAlignment="1">
      <alignment vertical="center"/>
    </xf>
    <xf numFmtId="167" fontId="49" fillId="28" borderId="49" xfId="1" applyNumberFormat="1" applyFont="1" applyFill="1" applyBorder="1" applyAlignment="1">
      <alignment vertical="center"/>
    </xf>
    <xf numFmtId="164" fontId="49" fillId="16" borderId="50" xfId="3" applyFont="1" applyFill="1" applyBorder="1"/>
    <xf numFmtId="164" fontId="1" fillId="16" borderId="50" xfId="3" applyFill="1" applyBorder="1"/>
    <xf numFmtId="164" fontId="1" fillId="16" borderId="51" xfId="3" applyFill="1" applyBorder="1"/>
    <xf numFmtId="0" fontId="11" fillId="13" borderId="1" xfId="0" applyFont="1" applyFill="1" applyBorder="1" applyAlignment="1">
      <alignment horizontal="center" vertical="center"/>
    </xf>
    <xf numFmtId="0" fontId="0" fillId="0" borderId="1" xfId="0" applyBorder="1"/>
    <xf numFmtId="0" fontId="0" fillId="0" borderId="4" xfId="0" applyBorder="1"/>
    <xf numFmtId="0" fontId="34" fillId="0" borderId="0" xfId="0" applyFont="1"/>
    <xf numFmtId="0" fontId="0" fillId="0" borderId="3" xfId="0" applyBorder="1"/>
    <xf numFmtId="0" fontId="0" fillId="0" borderId="10" xfId="0" applyBorder="1"/>
    <xf numFmtId="0" fontId="34" fillId="12" borderId="1" xfId="0" applyFont="1" applyFill="1" applyBorder="1" applyAlignment="1">
      <alignment vertical="center"/>
    </xf>
    <xf numFmtId="0" fontId="34" fillId="12" borderId="1" xfId="0" applyFont="1" applyFill="1" applyBorder="1"/>
    <xf numFmtId="0" fontId="9" fillId="27" borderId="1" xfId="0" applyFont="1" applyFill="1" applyBorder="1" applyAlignment="1">
      <alignment horizontal="center" vertical="center"/>
    </xf>
    <xf numFmtId="164" fontId="31" fillId="14" borderId="0" xfId="11" applyFont="1" applyFill="1"/>
    <xf numFmtId="0" fontId="31" fillId="14" borderId="0" xfId="11" applyNumberFormat="1" applyFont="1" applyFill="1"/>
    <xf numFmtId="9" fontId="31" fillId="30" borderId="55" xfId="11" applyNumberFormat="1" applyFont="1" applyFill="1" applyBorder="1" applyAlignment="1">
      <alignment horizontal="center" vertical="center"/>
    </xf>
    <xf numFmtId="164" fontId="31" fillId="30" borderId="56" xfId="11" applyFont="1" applyFill="1" applyBorder="1" applyAlignment="1">
      <alignment horizontal="left"/>
    </xf>
    <xf numFmtId="9" fontId="31" fillId="30" borderId="35" xfId="11" applyNumberFormat="1" applyFont="1" applyFill="1" applyBorder="1" applyAlignment="1">
      <alignment horizontal="center" vertical="center"/>
    </xf>
    <xf numFmtId="164" fontId="31" fillId="30" borderId="36" xfId="11" applyFont="1" applyFill="1" applyBorder="1" applyAlignment="1">
      <alignment horizontal="left"/>
    </xf>
    <xf numFmtId="9" fontId="31" fillId="30" borderId="35" xfId="4" applyNumberFormat="1" applyFont="1" applyFill="1" applyBorder="1" applyAlignment="1">
      <alignment horizontal="center" vertical="center"/>
    </xf>
    <xf numFmtId="9" fontId="31" fillId="30" borderId="35" xfId="2" applyFont="1" applyFill="1" applyBorder="1" applyAlignment="1">
      <alignment horizontal="center" vertical="center"/>
    </xf>
    <xf numFmtId="164" fontId="31" fillId="30" borderId="57" xfId="11" applyFont="1" applyFill="1" applyBorder="1" applyAlignment="1">
      <alignment horizontal="left"/>
    </xf>
    <xf numFmtId="164" fontId="44" fillId="30" borderId="58" xfId="11" applyFont="1" applyFill="1" applyBorder="1"/>
    <xf numFmtId="164" fontId="44" fillId="30" borderId="59" xfId="11" applyFont="1" applyFill="1" applyBorder="1"/>
    <xf numFmtId="164" fontId="31" fillId="14" borderId="22" xfId="11" applyFont="1" applyFill="1" applyBorder="1" applyAlignment="1">
      <alignment horizontal="left"/>
    </xf>
    <xf numFmtId="1" fontId="31" fillId="11" borderId="55" xfId="4" applyNumberFormat="1" applyFont="1" applyFill="1" applyBorder="1" applyAlignment="1">
      <alignment horizontal="center" vertical="center"/>
    </xf>
    <xf numFmtId="164" fontId="45" fillId="14" borderId="23" xfId="11" applyFont="1" applyFill="1" applyBorder="1" applyAlignment="1">
      <alignment horizontal="left" indent="1"/>
    </xf>
    <xf numFmtId="1" fontId="31" fillId="11" borderId="35" xfId="4" applyNumberFormat="1" applyFont="1" applyFill="1" applyBorder="1" applyAlignment="1">
      <alignment horizontal="center" vertical="center"/>
    </xf>
    <xf numFmtId="164" fontId="31" fillId="14" borderId="22" xfId="11" applyFont="1" applyFill="1" applyBorder="1" applyAlignment="1">
      <alignment horizontal="left" indent="2"/>
    </xf>
    <xf numFmtId="44" fontId="33" fillId="32" borderId="1" xfId="2" applyNumberFormat="1" applyFont="1" applyFill="1" applyBorder="1" applyAlignment="1">
      <alignment horizontal="center" vertical="center" wrapText="1"/>
    </xf>
    <xf numFmtId="10" fontId="33" fillId="32" borderId="1" xfId="2" applyNumberFormat="1" applyFont="1" applyFill="1" applyBorder="1" applyAlignment="1">
      <alignment horizontal="left" vertical="center" wrapText="1"/>
    </xf>
    <xf numFmtId="44" fontId="31" fillId="11" borderId="1" xfId="2" applyNumberFormat="1" applyFont="1" applyFill="1" applyBorder="1" applyAlignment="1">
      <alignment horizontal="center" vertical="center"/>
    </xf>
    <xf numFmtId="0" fontId="31" fillId="11" borderId="1" xfId="11" applyNumberFormat="1" applyFont="1" applyFill="1" applyBorder="1" applyAlignment="1">
      <alignment horizontal="left" vertical="center"/>
    </xf>
    <xf numFmtId="164" fontId="45" fillId="14" borderId="22" xfId="11" applyFont="1" applyFill="1" applyBorder="1" applyAlignment="1">
      <alignment horizontal="left" indent="1"/>
    </xf>
    <xf numFmtId="44" fontId="44" fillId="25" borderId="58" xfId="4" applyFont="1" applyFill="1" applyBorder="1" applyAlignment="1">
      <alignment horizontal="center" vertical="center"/>
    </xf>
    <xf numFmtId="164" fontId="44" fillId="25" borderId="29" xfId="11" applyFont="1" applyFill="1" applyBorder="1"/>
    <xf numFmtId="164" fontId="31" fillId="2" borderId="20" xfId="11" applyFont="1" applyFill="1" applyBorder="1"/>
    <xf numFmtId="164" fontId="33" fillId="2" borderId="29" xfId="11" applyFont="1" applyFill="1" applyBorder="1" applyAlignment="1">
      <alignment horizontal="left" vertical="center"/>
    </xf>
    <xf numFmtId="164" fontId="33" fillId="33" borderId="1" xfId="11" applyFont="1" applyFill="1" applyBorder="1" applyAlignment="1">
      <alignment horizontal="left" vertical="center" wrapText="1"/>
    </xf>
    <xf numFmtId="165" fontId="31" fillId="11" borderId="55" xfId="2" applyNumberFormat="1" applyFont="1" applyFill="1" applyBorder="1" applyAlignment="1">
      <alignment horizontal="right" vertical="center"/>
    </xf>
    <xf numFmtId="164" fontId="31" fillId="14" borderId="23" xfId="11" applyFont="1" applyFill="1" applyBorder="1" applyAlignment="1">
      <alignment horizontal="left"/>
    </xf>
    <xf numFmtId="44" fontId="45" fillId="12" borderId="35" xfId="4" applyFont="1" applyFill="1" applyBorder="1"/>
    <xf numFmtId="164" fontId="45" fillId="12" borderId="32" xfId="11" applyFont="1" applyFill="1" applyBorder="1" applyAlignment="1">
      <alignment horizontal="left" indent="1"/>
    </xf>
    <xf numFmtId="44" fontId="31" fillId="11" borderId="55" xfId="4" applyFont="1" applyFill="1" applyBorder="1" applyAlignment="1">
      <alignment horizontal="center" vertical="center"/>
    </xf>
    <xf numFmtId="44" fontId="31" fillId="11" borderId="60" xfId="4" applyFont="1" applyFill="1" applyBorder="1"/>
    <xf numFmtId="44" fontId="31" fillId="11" borderId="35" xfId="4" applyFont="1" applyFill="1" applyBorder="1" applyAlignment="1">
      <alignment horizontal="center" vertical="center"/>
    </xf>
    <xf numFmtId="44" fontId="31" fillId="11" borderId="35" xfId="4" applyFont="1" applyFill="1" applyBorder="1"/>
    <xf numFmtId="164" fontId="31" fillId="11" borderId="35" xfId="4" applyNumberFormat="1" applyFont="1" applyFill="1" applyBorder="1" applyAlignment="1">
      <alignment horizontal="center" vertical="center"/>
    </xf>
    <xf numFmtId="164" fontId="31" fillId="30" borderId="22" xfId="11" applyFont="1" applyFill="1" applyBorder="1" applyAlignment="1">
      <alignment horizontal="left"/>
    </xf>
    <xf numFmtId="44" fontId="31" fillId="11" borderId="61" xfId="4" applyFont="1" applyFill="1" applyBorder="1"/>
    <xf numFmtId="44" fontId="44" fillId="25" borderId="35" xfId="4" applyFont="1" applyFill="1" applyBorder="1"/>
    <xf numFmtId="164" fontId="44" fillId="25" borderId="32" xfId="11" applyFont="1" applyFill="1" applyBorder="1"/>
    <xf numFmtId="164" fontId="44" fillId="25" borderId="61" xfId="11" applyFont="1" applyFill="1" applyBorder="1" applyAlignment="1">
      <alignment horizontal="center" vertical="center"/>
    </xf>
    <xf numFmtId="164" fontId="44" fillId="25" borderId="62" xfId="11" applyFont="1" applyFill="1" applyBorder="1"/>
    <xf numFmtId="9" fontId="31" fillId="11" borderId="55" xfId="2" applyFont="1" applyFill="1" applyBorder="1"/>
    <xf numFmtId="164" fontId="45" fillId="14" borderId="23" xfId="11" applyFont="1" applyFill="1" applyBorder="1" applyAlignment="1">
      <alignment horizontal="left"/>
    </xf>
    <xf numFmtId="165" fontId="31" fillId="11" borderId="55" xfId="2" applyNumberFormat="1" applyFont="1" applyFill="1" applyBorder="1"/>
    <xf numFmtId="44" fontId="45" fillId="11" borderId="60" xfId="4" applyFont="1" applyFill="1" applyBorder="1"/>
    <xf numFmtId="164" fontId="45" fillId="14" borderId="22" xfId="11" applyFont="1" applyFill="1" applyBorder="1" applyAlignment="1">
      <alignment horizontal="left"/>
    </xf>
    <xf numFmtId="165" fontId="31" fillId="34" borderId="60" xfId="2" applyNumberFormat="1" applyFont="1" applyFill="1" applyBorder="1"/>
    <xf numFmtId="164" fontId="31" fillId="34" borderId="22" xfId="11" applyFont="1" applyFill="1" applyBorder="1" applyAlignment="1">
      <alignment horizontal="left"/>
    </xf>
    <xf numFmtId="165" fontId="31" fillId="11" borderId="35" xfId="2" applyNumberFormat="1" applyFont="1" applyFill="1" applyBorder="1"/>
    <xf numFmtId="0" fontId="16" fillId="0" borderId="0" xfId="5" applyNumberFormat="1"/>
    <xf numFmtId="44" fontId="45" fillId="11" borderId="35" xfId="4" applyFont="1" applyFill="1" applyBorder="1"/>
    <xf numFmtId="164" fontId="44" fillId="25" borderId="40" xfId="11" applyFont="1" applyFill="1" applyBorder="1"/>
    <xf numFmtId="165" fontId="45" fillId="11" borderId="35" xfId="2" applyNumberFormat="1" applyFont="1" applyFill="1" applyBorder="1"/>
    <xf numFmtId="164" fontId="45" fillId="14" borderId="0" xfId="11" applyFont="1" applyFill="1"/>
    <xf numFmtId="164" fontId="44" fillId="14" borderId="0" xfId="11" applyFont="1" applyFill="1"/>
    <xf numFmtId="164" fontId="33" fillId="14" borderId="0" xfId="11" applyFont="1" applyFill="1" applyAlignment="1">
      <alignment horizontal="center" vertical="center"/>
    </xf>
    <xf numFmtId="164" fontId="33" fillId="2" borderId="38" xfId="11" applyFont="1" applyFill="1" applyBorder="1" applyAlignment="1">
      <alignment horizontal="center" vertical="center"/>
    </xf>
    <xf numFmtId="0" fontId="31" fillId="14" borderId="17" xfId="11" applyNumberFormat="1" applyFont="1" applyFill="1" applyBorder="1"/>
    <xf numFmtId="0" fontId="31" fillId="11" borderId="35" xfId="11" applyNumberFormat="1" applyFont="1" applyFill="1" applyBorder="1"/>
    <xf numFmtId="164" fontId="31" fillId="11" borderId="35" xfId="11" applyFont="1" applyFill="1" applyBorder="1"/>
    <xf numFmtId="49" fontId="31" fillId="11" borderId="35" xfId="11" applyNumberFormat="1" applyFont="1" applyFill="1" applyBorder="1"/>
    <xf numFmtId="164" fontId="31" fillId="2" borderId="0" xfId="11" applyFont="1" applyFill="1"/>
    <xf numFmtId="0" fontId="27" fillId="2" borderId="21" xfId="11" applyNumberFormat="1" applyFont="1" applyFill="1" applyBorder="1"/>
    <xf numFmtId="0" fontId="27" fillId="2" borderId="20" xfId="11" applyNumberFormat="1" applyFont="1" applyFill="1" applyBorder="1"/>
    <xf numFmtId="164" fontId="33" fillId="2" borderId="38" xfId="11" applyFont="1" applyFill="1" applyBorder="1" applyAlignment="1">
      <alignment vertical="center"/>
    </xf>
    <xf numFmtId="164" fontId="31" fillId="11" borderId="0" xfId="3" applyFont="1" applyFill="1"/>
    <xf numFmtId="0" fontId="31" fillId="11" borderId="0" xfId="3" applyNumberFormat="1" applyFont="1" applyFill="1"/>
    <xf numFmtId="9" fontId="31" fillId="11" borderId="0" xfId="2" applyFont="1" applyFill="1" applyBorder="1"/>
    <xf numFmtId="0" fontId="31" fillId="11" borderId="0" xfId="3" applyNumberFormat="1" applyFont="1" applyFill="1" applyAlignment="1">
      <alignment horizontal="left"/>
    </xf>
    <xf numFmtId="0" fontId="31" fillId="11" borderId="0" xfId="3" applyNumberFormat="1" applyFont="1" applyFill="1" applyAlignment="1">
      <alignment horizontal="left" vertical="center"/>
    </xf>
    <xf numFmtId="0" fontId="31" fillId="11" borderId="0" xfId="3" applyNumberFormat="1" applyFont="1" applyFill="1" applyAlignment="1">
      <alignment horizontal="center" vertical="center"/>
    </xf>
    <xf numFmtId="164" fontId="31" fillId="22" borderId="1" xfId="3" applyFont="1" applyFill="1" applyBorder="1"/>
    <xf numFmtId="44" fontId="31" fillId="22" borderId="1" xfId="3" applyNumberFormat="1" applyFont="1" applyFill="1" applyBorder="1"/>
    <xf numFmtId="164" fontId="31" fillId="35" borderId="1" xfId="3" applyFont="1" applyFill="1" applyBorder="1"/>
    <xf numFmtId="44" fontId="31" fillId="22" borderId="1" xfId="4" applyFont="1" applyFill="1" applyBorder="1"/>
    <xf numFmtId="0" fontId="45" fillId="22" borderId="1" xfId="3" applyNumberFormat="1" applyFont="1" applyFill="1" applyBorder="1"/>
    <xf numFmtId="44" fontId="45" fillId="22" borderId="1" xfId="3" applyNumberFormat="1" applyFont="1" applyFill="1" applyBorder="1"/>
    <xf numFmtId="10" fontId="45" fillId="22" borderId="1" xfId="2" applyNumberFormat="1" applyFont="1" applyFill="1" applyBorder="1" applyAlignment="1">
      <alignment horizontal="center"/>
    </xf>
    <xf numFmtId="9" fontId="45" fillId="22" borderId="1" xfId="2" applyFont="1" applyFill="1" applyBorder="1" applyAlignment="1">
      <alignment horizontal="center"/>
    </xf>
    <xf numFmtId="164" fontId="45" fillId="22" borderId="1" xfId="3" applyFont="1" applyFill="1" applyBorder="1"/>
    <xf numFmtId="0" fontId="45" fillId="22" borderId="1" xfId="3" applyNumberFormat="1" applyFont="1" applyFill="1" applyBorder="1" applyAlignment="1">
      <alignment horizontal="left"/>
    </xf>
    <xf numFmtId="0" fontId="45" fillId="22" borderId="1" xfId="3" applyNumberFormat="1" applyFont="1" applyFill="1" applyBorder="1" applyAlignment="1">
      <alignment horizontal="left" vertical="center"/>
    </xf>
    <xf numFmtId="0" fontId="45" fillId="22" borderId="1" xfId="3" applyNumberFormat="1" applyFont="1" applyFill="1" applyBorder="1" applyAlignment="1">
      <alignment horizontal="center" vertical="center"/>
    </xf>
    <xf numFmtId="9" fontId="31" fillId="12" borderId="5" xfId="3" applyNumberFormat="1" applyFont="1" applyFill="1" applyBorder="1" applyAlignment="1">
      <alignment horizontal="center" vertical="center"/>
    </xf>
    <xf numFmtId="10" fontId="31" fillId="12" borderId="5" xfId="2" applyNumberFormat="1" applyFont="1" applyFill="1" applyBorder="1" applyAlignment="1">
      <alignment horizontal="center" vertical="center"/>
    </xf>
    <xf numFmtId="44" fontId="31" fillId="12" borderId="5" xfId="3" applyNumberFormat="1" applyFont="1" applyFill="1" applyBorder="1" applyAlignment="1">
      <alignment horizontal="center" vertical="center"/>
    </xf>
    <xf numFmtId="44" fontId="31" fillId="12" borderId="5" xfId="4" applyFont="1" applyFill="1" applyBorder="1" applyAlignment="1">
      <alignment horizontal="center" vertical="center"/>
    </xf>
    <xf numFmtId="9" fontId="9" fillId="18" borderId="5" xfId="2" applyFont="1" applyFill="1" applyBorder="1" applyAlignment="1">
      <alignment horizontal="center" vertical="center"/>
    </xf>
    <xf numFmtId="44" fontId="31" fillId="12" borderId="1" xfId="4" applyFont="1" applyFill="1" applyBorder="1" applyAlignment="1">
      <alignment horizontal="center" vertical="center"/>
    </xf>
    <xf numFmtId="44" fontId="31" fillId="12" borderId="6" xfId="3" applyNumberFormat="1" applyFont="1" applyFill="1" applyBorder="1" applyAlignment="1">
      <alignment horizontal="center" vertical="center"/>
    </xf>
    <xf numFmtId="164" fontId="31" fillId="35" borderId="37" xfId="3" applyFont="1" applyFill="1" applyBorder="1" applyAlignment="1">
      <alignment horizontal="center" vertical="center"/>
    </xf>
    <xf numFmtId="164" fontId="31" fillId="11" borderId="8" xfId="3" applyFont="1" applyFill="1" applyBorder="1" applyAlignment="1">
      <alignment horizontal="center" vertical="center"/>
    </xf>
    <xf numFmtId="164" fontId="31" fillId="11" borderId="5" xfId="3" applyFont="1" applyFill="1" applyBorder="1" applyAlignment="1">
      <alignment horizontal="center" vertical="center"/>
    </xf>
    <xf numFmtId="44" fontId="31" fillId="11" borderId="5" xfId="3" applyNumberFormat="1" applyFont="1" applyFill="1" applyBorder="1" applyAlignment="1">
      <alignment horizontal="center" vertical="center"/>
    </xf>
    <xf numFmtId="44" fontId="31" fillId="11" borderId="5" xfId="4" applyFont="1" applyFill="1" applyBorder="1" applyAlignment="1">
      <alignment horizontal="center" vertical="center"/>
    </xf>
    <xf numFmtId="44" fontId="31" fillId="11" borderId="6" xfId="4" applyFont="1" applyFill="1" applyBorder="1" applyAlignment="1">
      <alignment horizontal="center" vertical="center"/>
    </xf>
    <xf numFmtId="0" fontId="31" fillId="11" borderId="8" xfId="3" applyNumberFormat="1" applyFont="1" applyFill="1" applyBorder="1" applyAlignment="1">
      <alignment horizontal="center" vertical="center"/>
    </xf>
    <xf numFmtId="10" fontId="31" fillId="11" borderId="5" xfId="2" applyNumberFormat="1" applyFont="1" applyFill="1" applyBorder="1" applyAlignment="1">
      <alignment horizontal="center" vertical="center"/>
    </xf>
    <xf numFmtId="9" fontId="31" fillId="11" borderId="5" xfId="2" applyFont="1" applyFill="1" applyBorder="1" applyAlignment="1">
      <alignment horizontal="center" vertical="center"/>
    </xf>
    <xf numFmtId="44" fontId="31" fillId="11" borderId="1" xfId="3" applyNumberFormat="1" applyFont="1" applyFill="1" applyBorder="1" applyAlignment="1">
      <alignment horizontal="center" vertical="center"/>
    </xf>
    <xf numFmtId="44" fontId="31" fillId="11" borderId="1" xfId="4" applyFont="1" applyFill="1" applyBorder="1" applyAlignment="1">
      <alignment horizontal="center" vertical="center"/>
    </xf>
    <xf numFmtId="0" fontId="31" fillId="11" borderId="5" xfId="3" applyNumberFormat="1" applyFont="1" applyFill="1" applyBorder="1" applyAlignment="1">
      <alignment horizontal="left" vertical="center" wrapText="1"/>
    </xf>
    <xf numFmtId="0" fontId="31" fillId="30" borderId="5" xfId="3" applyNumberFormat="1" applyFont="1" applyFill="1" applyBorder="1" applyAlignment="1">
      <alignment horizontal="center" vertical="center"/>
    </xf>
    <xf numFmtId="0" fontId="31" fillId="11" borderId="5" xfId="3" applyNumberFormat="1" applyFont="1" applyFill="1" applyBorder="1" applyAlignment="1">
      <alignment horizontal="center" vertical="center"/>
    </xf>
    <xf numFmtId="9" fontId="31" fillId="12" borderId="1" xfId="3" applyNumberFormat="1" applyFont="1" applyFill="1" applyBorder="1" applyAlignment="1">
      <alignment horizontal="center" vertical="center"/>
    </xf>
    <xf numFmtId="10" fontId="31" fillId="12" borderId="1" xfId="2" applyNumberFormat="1" applyFont="1" applyFill="1" applyBorder="1" applyAlignment="1">
      <alignment horizontal="center" vertical="center"/>
    </xf>
    <xf numFmtId="44" fontId="31" fillId="12" borderId="1" xfId="3" applyNumberFormat="1" applyFont="1" applyFill="1" applyBorder="1" applyAlignment="1">
      <alignment horizontal="center" vertical="center"/>
    </xf>
    <xf numFmtId="9" fontId="9" fillId="18" borderId="1" xfId="2" applyFont="1" applyFill="1" applyBorder="1" applyAlignment="1">
      <alignment horizontal="center" vertical="center"/>
    </xf>
    <xf numFmtId="44" fontId="31" fillId="12" borderId="25" xfId="3" applyNumberFormat="1" applyFont="1" applyFill="1" applyBorder="1" applyAlignment="1">
      <alignment horizontal="center" vertical="center"/>
    </xf>
    <xf numFmtId="164" fontId="31" fillId="11" borderId="3" xfId="3" applyFont="1" applyFill="1" applyBorder="1" applyAlignment="1">
      <alignment horizontal="center" vertical="center"/>
    </xf>
    <xf numFmtId="164" fontId="31" fillId="11" borderId="1" xfId="3" applyFont="1" applyFill="1" applyBorder="1" applyAlignment="1">
      <alignment horizontal="center" vertical="center"/>
    </xf>
    <xf numFmtId="44" fontId="31" fillId="11" borderId="25" xfId="4" applyFont="1" applyFill="1" applyBorder="1" applyAlignment="1">
      <alignment horizontal="center" vertical="center"/>
    </xf>
    <xf numFmtId="0" fontId="31" fillId="11" borderId="3" xfId="3" applyNumberFormat="1" applyFont="1" applyFill="1" applyBorder="1" applyAlignment="1">
      <alignment horizontal="center" vertical="center"/>
    </xf>
    <xf numFmtId="10" fontId="31" fillId="11" borderId="1" xfId="2" applyNumberFormat="1" applyFont="1" applyFill="1" applyBorder="1" applyAlignment="1">
      <alignment horizontal="center" vertical="center"/>
    </xf>
    <xf numFmtId="9" fontId="31" fillId="11" borderId="1" xfId="2" applyFont="1" applyFill="1" applyBorder="1" applyAlignment="1">
      <alignment horizontal="center" vertical="center"/>
    </xf>
    <xf numFmtId="0" fontId="31" fillId="11" borderId="1" xfId="3" applyNumberFormat="1" applyFont="1" applyFill="1" applyBorder="1" applyAlignment="1">
      <alignment horizontal="left" vertical="center" wrapText="1"/>
    </xf>
    <xf numFmtId="0" fontId="31" fillId="30" borderId="1" xfId="3" applyNumberFormat="1" applyFont="1" applyFill="1" applyBorder="1" applyAlignment="1">
      <alignment horizontal="center" vertical="center"/>
    </xf>
    <xf numFmtId="0" fontId="31" fillId="11" borderId="1" xfId="3" applyNumberFormat="1" applyFont="1" applyFill="1" applyBorder="1" applyAlignment="1">
      <alignment horizontal="center" vertical="center"/>
    </xf>
    <xf numFmtId="0" fontId="45" fillId="11" borderId="1" xfId="3" applyNumberFormat="1" applyFont="1" applyFill="1" applyBorder="1" applyAlignment="1">
      <alignment horizontal="left" vertical="center" wrapText="1"/>
    </xf>
    <xf numFmtId="9" fontId="55" fillId="30" borderId="1" xfId="2" applyFont="1" applyFill="1" applyBorder="1" applyAlignment="1">
      <alignment horizontal="center" vertical="center"/>
    </xf>
    <xf numFmtId="164" fontId="45" fillId="11" borderId="1" xfId="3" applyFont="1" applyFill="1" applyBorder="1" applyAlignment="1">
      <alignment horizontal="center" vertical="center" wrapText="1"/>
    </xf>
    <xf numFmtId="164" fontId="31" fillId="35" borderId="37" xfId="3" applyFont="1" applyFill="1" applyBorder="1"/>
    <xf numFmtId="164" fontId="45" fillId="11" borderId="4" xfId="3" applyFont="1" applyFill="1" applyBorder="1" applyAlignment="1">
      <alignment horizontal="center" vertical="center" wrapText="1"/>
    </xf>
    <xf numFmtId="10" fontId="45" fillId="11" borderId="1" xfId="2" applyNumberFormat="1" applyFont="1" applyFill="1" applyBorder="1" applyAlignment="1">
      <alignment horizontal="center" vertical="center" wrapText="1"/>
    </xf>
    <xf numFmtId="164" fontId="45" fillId="11" borderId="3" xfId="3" applyFont="1" applyFill="1" applyBorder="1" applyAlignment="1">
      <alignment horizontal="center" vertical="center" wrapText="1"/>
    </xf>
    <xf numFmtId="164" fontId="45" fillId="11" borderId="1" xfId="3" applyFont="1" applyFill="1" applyBorder="1" applyAlignment="1">
      <alignment horizontal="center" vertical="center"/>
    </xf>
    <xf numFmtId="164" fontId="45" fillId="11" borderId="25" xfId="3" applyFont="1" applyFill="1" applyBorder="1" applyAlignment="1">
      <alignment horizontal="center" vertical="center" wrapText="1"/>
    </xf>
    <xf numFmtId="0" fontId="45" fillId="11" borderId="10" xfId="3" applyNumberFormat="1" applyFont="1" applyFill="1" applyBorder="1" applyAlignment="1">
      <alignment vertical="center" wrapText="1"/>
    </xf>
    <xf numFmtId="44" fontId="45" fillId="11" borderId="1" xfId="3" applyNumberFormat="1" applyFont="1" applyFill="1" applyBorder="1" applyAlignment="1">
      <alignment horizontal="center" vertical="center"/>
    </xf>
    <xf numFmtId="10" fontId="45" fillId="11" borderId="1" xfId="2" applyNumberFormat="1" applyFont="1" applyFill="1" applyBorder="1" applyAlignment="1">
      <alignment horizontal="center" vertical="center"/>
    </xf>
    <xf numFmtId="9" fontId="45" fillId="11" borderId="1" xfId="2" applyFont="1" applyFill="1" applyBorder="1" applyAlignment="1">
      <alignment horizontal="center" vertical="center"/>
    </xf>
    <xf numFmtId="44" fontId="45" fillId="11" borderId="1" xfId="4" applyFont="1" applyFill="1" applyBorder="1" applyAlignment="1">
      <alignment horizontal="center" vertical="center"/>
    </xf>
    <xf numFmtId="0" fontId="45" fillId="11" borderId="1" xfId="3" applyNumberFormat="1" applyFont="1" applyFill="1" applyBorder="1" applyAlignment="1">
      <alignment horizontal="center" vertical="center"/>
    </xf>
    <xf numFmtId="164" fontId="45" fillId="24" borderId="1" xfId="3" applyFont="1" applyFill="1" applyBorder="1" applyAlignment="1">
      <alignment horizontal="center" vertical="center"/>
    </xf>
    <xf numFmtId="164" fontId="45" fillId="24" borderId="25" xfId="3" applyFont="1" applyFill="1" applyBorder="1" applyAlignment="1">
      <alignment horizontal="center" vertical="center"/>
    </xf>
    <xf numFmtId="164" fontId="45" fillId="24" borderId="24" xfId="3" applyFont="1" applyFill="1" applyBorder="1" applyAlignment="1">
      <alignment horizontal="center" vertical="center"/>
    </xf>
    <xf numFmtId="164" fontId="45" fillId="24" borderId="3" xfId="3" applyFont="1" applyFill="1" applyBorder="1" applyAlignment="1">
      <alignment horizontal="center" vertical="center"/>
    </xf>
    <xf numFmtId="164" fontId="33" fillId="2" borderId="1" xfId="3" applyFont="1" applyFill="1" applyBorder="1"/>
    <xf numFmtId="164" fontId="33" fillId="2" borderId="11" xfId="3" applyFont="1" applyFill="1" applyBorder="1"/>
    <xf numFmtId="164" fontId="33" fillId="2" borderId="11" xfId="3" applyFont="1" applyFill="1" applyBorder="1" applyAlignment="1">
      <alignment horizontal="center"/>
    </xf>
    <xf numFmtId="0" fontId="33" fillId="2" borderId="0" xfId="3" applyNumberFormat="1" applyFont="1" applyFill="1"/>
    <xf numFmtId="164" fontId="33" fillId="2" borderId="0" xfId="3" applyFont="1" applyFill="1"/>
    <xf numFmtId="0" fontId="33" fillId="2" borderId="0" xfId="3" applyNumberFormat="1" applyFont="1" applyFill="1" applyAlignment="1">
      <alignment horizontal="left"/>
    </xf>
    <xf numFmtId="164" fontId="31" fillId="2" borderId="0" xfId="3" applyFont="1" applyFill="1"/>
    <xf numFmtId="0" fontId="33" fillId="11" borderId="0" xfId="3" applyNumberFormat="1" applyFont="1" applyFill="1" applyAlignment="1">
      <alignment horizontal="center" vertical="center"/>
    </xf>
    <xf numFmtId="164" fontId="31" fillId="37" borderId="37" xfId="3" applyFont="1" applyFill="1" applyBorder="1"/>
    <xf numFmtId="9" fontId="31" fillId="11" borderId="0" xfId="2" applyFont="1" applyFill="1"/>
    <xf numFmtId="164" fontId="31" fillId="11" borderId="1" xfId="3" applyFont="1" applyFill="1" applyBorder="1"/>
    <xf numFmtId="44" fontId="31" fillId="22" borderId="25" xfId="3" applyNumberFormat="1" applyFont="1" applyFill="1" applyBorder="1"/>
    <xf numFmtId="164" fontId="31" fillId="22" borderId="3" xfId="3" applyFont="1" applyFill="1" applyBorder="1"/>
    <xf numFmtId="44" fontId="31" fillId="22" borderId="25" xfId="4" applyFont="1" applyFill="1" applyBorder="1"/>
    <xf numFmtId="0" fontId="45" fillId="22" borderId="3" xfId="3" applyNumberFormat="1" applyFont="1" applyFill="1" applyBorder="1"/>
    <xf numFmtId="164" fontId="45" fillId="22" borderId="25" xfId="3" applyFont="1" applyFill="1" applyBorder="1"/>
    <xf numFmtId="0" fontId="45" fillId="22" borderId="24" xfId="3" applyNumberFormat="1" applyFont="1" applyFill="1" applyBorder="1" applyAlignment="1">
      <alignment horizontal="left"/>
    </xf>
    <xf numFmtId="0" fontId="45" fillId="22" borderId="24" xfId="3" applyNumberFormat="1" applyFont="1" applyFill="1" applyBorder="1" applyAlignment="1">
      <alignment horizontal="left" vertical="center"/>
    </xf>
    <xf numFmtId="0" fontId="45" fillId="22" borderId="24" xfId="3" applyNumberFormat="1" applyFont="1" applyFill="1" applyBorder="1" applyAlignment="1">
      <alignment horizontal="center" vertical="center"/>
    </xf>
    <xf numFmtId="0" fontId="45" fillId="22" borderId="3" xfId="3" applyNumberFormat="1" applyFont="1" applyFill="1" applyBorder="1" applyAlignment="1">
      <alignment horizontal="center" vertical="center"/>
    </xf>
    <xf numFmtId="0" fontId="45" fillId="11" borderId="1" xfId="3" applyNumberFormat="1" applyFont="1" applyFill="1" applyBorder="1" applyAlignment="1">
      <alignment vertical="center" wrapText="1"/>
    </xf>
    <xf numFmtId="164" fontId="33" fillId="2" borderId="1" xfId="3" applyFont="1" applyFill="1" applyBorder="1" applyAlignment="1">
      <alignment horizontal="center"/>
    </xf>
    <xf numFmtId="0" fontId="33" fillId="2" borderId="1" xfId="3" applyNumberFormat="1" applyFont="1" applyFill="1" applyBorder="1"/>
    <xf numFmtId="0" fontId="33" fillId="2" borderId="1" xfId="3" applyNumberFormat="1" applyFont="1" applyFill="1" applyBorder="1" applyAlignment="1">
      <alignment horizontal="left"/>
    </xf>
    <xf numFmtId="0" fontId="31" fillId="11" borderId="0" xfId="2" applyNumberFormat="1" applyFont="1" applyFill="1" applyAlignment="1">
      <alignment horizontal="left"/>
    </xf>
    <xf numFmtId="0" fontId="31" fillId="11" borderId="0" xfId="2" applyNumberFormat="1" applyFont="1" applyFill="1" applyAlignment="1">
      <alignment horizontal="center" vertical="center"/>
    </xf>
    <xf numFmtId="164" fontId="31" fillId="35" borderId="1" xfId="3" applyFont="1" applyFill="1" applyBorder="1" applyAlignment="1">
      <alignment horizontal="center" vertical="center"/>
    </xf>
    <xf numFmtId="0" fontId="31" fillId="30" borderId="1" xfId="3" applyNumberFormat="1" applyFont="1" applyFill="1" applyBorder="1" applyAlignment="1">
      <alignment horizontal="left" vertical="center" wrapText="1"/>
    </xf>
    <xf numFmtId="44" fontId="57" fillId="11" borderId="1" xfId="3" applyNumberFormat="1" applyFont="1" applyFill="1" applyBorder="1" applyAlignment="1">
      <alignment horizontal="center" vertical="center"/>
    </xf>
    <xf numFmtId="164" fontId="31" fillId="38" borderId="1" xfId="3" applyFont="1" applyFill="1" applyBorder="1"/>
    <xf numFmtId="164" fontId="55" fillId="38" borderId="1" xfId="3" applyFont="1" applyFill="1" applyBorder="1"/>
    <xf numFmtId="164" fontId="55" fillId="37" borderId="1" xfId="3" applyFont="1" applyFill="1" applyBorder="1"/>
    <xf numFmtId="164" fontId="55" fillId="37" borderId="1" xfId="3" applyFont="1" applyFill="1" applyBorder="1" applyAlignment="1">
      <alignment horizontal="center"/>
    </xf>
    <xf numFmtId="164" fontId="55" fillId="37" borderId="1" xfId="3" applyFont="1" applyFill="1" applyBorder="1" applyAlignment="1">
      <alignment horizontal="left"/>
    </xf>
    <xf numFmtId="164" fontId="31" fillId="35" borderId="5" xfId="3" applyFont="1" applyFill="1" applyBorder="1"/>
    <xf numFmtId="0" fontId="55" fillId="37" borderId="0" xfId="3" applyNumberFormat="1" applyFont="1" applyFill="1"/>
    <xf numFmtId="164" fontId="55" fillId="37" borderId="0" xfId="3" applyFont="1" applyFill="1"/>
    <xf numFmtId="0" fontId="55" fillId="37" borderId="0" xfId="3" applyNumberFormat="1" applyFont="1" applyFill="1" applyAlignment="1">
      <alignment horizontal="left"/>
    </xf>
    <xf numFmtId="164" fontId="31" fillId="11" borderId="28" xfId="3" applyFont="1" applyFill="1" applyBorder="1"/>
    <xf numFmtId="0" fontId="59" fillId="12" borderId="3" xfId="13" applyFont="1" applyFill="1" applyBorder="1" applyAlignment="1">
      <alignment horizontal="left" vertical="top" wrapText="1"/>
    </xf>
    <xf numFmtId="0" fontId="59" fillId="39" borderId="1" xfId="13" applyFont="1" applyFill="1" applyBorder="1">
      <alignment horizontal="left" vertical="top"/>
    </xf>
    <xf numFmtId="0" fontId="59" fillId="36" borderId="1" xfId="13" applyFont="1" applyFill="1" applyBorder="1">
      <alignment horizontal="left" vertical="top"/>
    </xf>
    <xf numFmtId="0" fontId="60" fillId="38" borderId="1" xfId="13" applyFont="1" applyFill="1" applyBorder="1">
      <alignment horizontal="left" vertical="top"/>
    </xf>
    <xf numFmtId="0" fontId="59" fillId="30" borderId="1" xfId="13" applyFont="1" applyFill="1" applyBorder="1">
      <alignment horizontal="left" vertical="top"/>
    </xf>
    <xf numFmtId="0" fontId="59" fillId="12" borderId="54" xfId="13" applyFont="1" applyFill="1" applyBorder="1" applyAlignment="1">
      <alignment horizontal="left" vertical="top" wrapText="1"/>
    </xf>
    <xf numFmtId="0" fontId="59" fillId="40" borderId="1" xfId="13" applyFont="1" applyFill="1" applyBorder="1">
      <alignment horizontal="left" vertical="top"/>
    </xf>
    <xf numFmtId="0" fontId="33" fillId="36" borderId="63" xfId="13" applyFont="1" applyFill="1" applyBorder="1" applyAlignment="1">
      <alignment horizontal="center" vertical="top"/>
    </xf>
    <xf numFmtId="0" fontId="33" fillId="36" borderId="15" xfId="13" applyFont="1" applyFill="1" applyBorder="1" applyAlignment="1">
      <alignment horizontal="center" vertical="top"/>
    </xf>
    <xf numFmtId="44" fontId="31" fillId="11" borderId="0" xfId="3" applyNumberFormat="1" applyFont="1" applyFill="1"/>
    <xf numFmtId="9" fontId="31" fillId="11" borderId="1" xfId="2" applyFont="1" applyFill="1" applyBorder="1"/>
    <xf numFmtId="44" fontId="31" fillId="11" borderId="1" xfId="3" applyNumberFormat="1" applyFont="1" applyFill="1" applyBorder="1"/>
    <xf numFmtId="10" fontId="31" fillId="11" borderId="1" xfId="2" applyNumberFormat="1" applyFont="1" applyFill="1" applyBorder="1"/>
    <xf numFmtId="164" fontId="31" fillId="11" borderId="1" xfId="3" applyFont="1" applyFill="1" applyBorder="1" applyAlignment="1">
      <alignment wrapText="1"/>
    </xf>
    <xf numFmtId="172" fontId="31" fillId="11" borderId="0" xfId="3" applyNumberFormat="1" applyFont="1" applyFill="1"/>
    <xf numFmtId="165" fontId="31" fillId="11" borderId="0" xfId="2" applyNumberFormat="1" applyFont="1" applyFill="1"/>
    <xf numFmtId="10" fontId="31" fillId="11" borderId="28" xfId="2" applyNumberFormat="1" applyFont="1" applyFill="1" applyBorder="1"/>
    <xf numFmtId="10" fontId="31" fillId="30" borderId="28" xfId="2" applyNumberFormat="1" applyFont="1" applyFill="1" applyBorder="1"/>
    <xf numFmtId="44" fontId="31" fillId="11" borderId="28" xfId="4" applyFont="1" applyFill="1" applyBorder="1"/>
    <xf numFmtId="9" fontId="31" fillId="30" borderId="0" xfId="2" applyFont="1" applyFill="1"/>
    <xf numFmtId="164" fontId="45" fillId="11" borderId="0" xfId="3" applyFont="1" applyFill="1"/>
    <xf numFmtId="170" fontId="31" fillId="11" borderId="0" xfId="12" applyFont="1" applyFill="1"/>
    <xf numFmtId="170" fontId="31" fillId="30" borderId="0" xfId="12" applyFont="1" applyFill="1"/>
    <xf numFmtId="164" fontId="31" fillId="30" borderId="0" xfId="3" applyFont="1" applyFill="1"/>
    <xf numFmtId="164" fontId="45" fillId="41" borderId="28" xfId="3" applyFont="1" applyFill="1" applyBorder="1" applyAlignment="1">
      <alignment horizontal="center" wrapText="1"/>
    </xf>
    <xf numFmtId="164" fontId="45" fillId="41" borderId="0" xfId="3" applyFont="1" applyFill="1" applyAlignment="1">
      <alignment horizontal="center" wrapText="1"/>
    </xf>
    <xf numFmtId="164" fontId="45" fillId="30" borderId="0" xfId="3" applyFont="1" applyFill="1" applyAlignment="1">
      <alignment horizontal="center" vertical="center" wrapText="1"/>
    </xf>
    <xf numFmtId="164" fontId="45" fillId="41" borderId="0" xfId="3" applyFont="1" applyFill="1" applyAlignment="1">
      <alignment horizontal="center" vertical="center" wrapText="1"/>
    </xf>
    <xf numFmtId="164" fontId="45" fillId="41" borderId="28" xfId="3" applyFont="1" applyFill="1" applyBorder="1" applyAlignment="1">
      <alignment wrapText="1"/>
    </xf>
    <xf numFmtId="164" fontId="45" fillId="41" borderId="0" xfId="3" applyFont="1" applyFill="1" applyAlignment="1">
      <alignment wrapText="1"/>
    </xf>
    <xf numFmtId="172" fontId="45" fillId="41" borderId="0" xfId="3" applyNumberFormat="1" applyFont="1" applyFill="1" applyAlignment="1">
      <alignment wrapText="1"/>
    </xf>
    <xf numFmtId="0" fontId="8" fillId="11" borderId="1" xfId="0" applyFont="1" applyFill="1" applyBorder="1" applyAlignment="1">
      <alignment horizontal="center" vertical="center"/>
    </xf>
    <xf numFmtId="0" fontId="8" fillId="11" borderId="0" xfId="0" applyFont="1" applyFill="1" applyAlignment="1">
      <alignment horizontal="center"/>
    </xf>
    <xf numFmtId="0" fontId="8" fillId="11" borderId="0" xfId="0" applyFont="1" applyFill="1" applyAlignment="1">
      <alignment wrapText="1"/>
    </xf>
    <xf numFmtId="0" fontId="8" fillId="11" borderId="0" xfId="0" applyFont="1" applyFill="1"/>
    <xf numFmtId="0" fontId="9" fillId="0" borderId="1" xfId="0" applyFont="1" applyBorder="1" applyAlignment="1">
      <alignment vertical="center" wrapText="1"/>
    </xf>
    <xf numFmtId="0" fontId="8" fillId="11" borderId="0" xfId="0" applyFont="1" applyFill="1" applyAlignment="1">
      <alignment vertical="center"/>
    </xf>
    <xf numFmtId="0" fontId="7" fillId="11" borderId="0" xfId="0" applyFont="1" applyFill="1" applyAlignment="1">
      <alignment horizontal="left"/>
    </xf>
    <xf numFmtId="0" fontId="7" fillId="12" borderId="4" xfId="0" applyFont="1" applyFill="1" applyBorder="1" applyAlignment="1">
      <alignment horizontal="center" vertical="center"/>
    </xf>
    <xf numFmtId="0" fontId="8" fillId="0" borderId="1" xfId="0" applyFont="1" applyBorder="1" applyAlignment="1">
      <alignment horizontal="center" vertical="center"/>
    </xf>
    <xf numFmtId="0" fontId="8" fillId="11" borderId="0" xfId="0" applyFont="1" applyFill="1" applyAlignment="1">
      <alignment horizontal="center" vertical="center"/>
    </xf>
    <xf numFmtId="0" fontId="8" fillId="11" borderId="0" xfId="0" applyFont="1" applyFill="1" applyAlignment="1">
      <alignment horizontal="center" vertical="center" wrapText="1"/>
    </xf>
    <xf numFmtId="0" fontId="7" fillId="12" borderId="1" xfId="0" applyFont="1" applyFill="1" applyBorder="1" applyAlignment="1">
      <alignment vertical="center"/>
    </xf>
    <xf numFmtId="0" fontId="7" fillId="12" borderId="1" xfId="0" applyFont="1" applyFill="1" applyBorder="1" applyAlignment="1">
      <alignment vertical="center" wrapText="1"/>
    </xf>
    <xf numFmtId="0" fontId="7" fillId="11" borderId="1" xfId="0" applyFont="1" applyFill="1" applyBorder="1" applyAlignment="1">
      <alignment horizontal="center" vertical="center"/>
    </xf>
    <xf numFmtId="0" fontId="7" fillId="11" borderId="1" xfId="0" applyFont="1" applyFill="1" applyBorder="1" applyAlignment="1">
      <alignment horizontal="center" vertical="center" wrapText="1"/>
    </xf>
    <xf numFmtId="0" fontId="7" fillId="12" borderId="3" xfId="0" applyFont="1" applyFill="1" applyBorder="1" applyAlignment="1">
      <alignment vertical="center"/>
    </xf>
    <xf numFmtId="0" fontId="7" fillId="12" borderId="24" xfId="0" applyFont="1" applyFill="1" applyBorder="1" applyAlignment="1">
      <alignment vertical="center"/>
    </xf>
    <xf numFmtId="0" fontId="7" fillId="12" borderId="25" xfId="0" applyFont="1" applyFill="1" applyBorder="1" applyAlignment="1">
      <alignment vertical="center" wrapText="1"/>
    </xf>
    <xf numFmtId="0" fontId="7" fillId="12" borderId="24" xfId="0" applyFont="1" applyFill="1" applyBorder="1" applyAlignment="1">
      <alignment vertical="center" wrapText="1"/>
    </xf>
    <xf numFmtId="0" fontId="7" fillId="12" borderId="25" xfId="0" applyFont="1" applyFill="1" applyBorder="1" applyAlignment="1">
      <alignment vertical="center"/>
    </xf>
    <xf numFmtId="0" fontId="7" fillId="12" borderId="1" xfId="0" applyFont="1" applyFill="1" applyBorder="1" applyAlignment="1">
      <alignment horizontal="center" vertical="center"/>
    </xf>
    <xf numFmtId="0" fontId="8" fillId="11" borderId="1" xfId="0" applyFont="1" applyFill="1" applyBorder="1" applyAlignment="1">
      <alignment vertical="center"/>
    </xf>
    <xf numFmtId="43" fontId="8" fillId="11" borderId="1" xfId="0" applyNumberFormat="1" applyFont="1" applyFill="1" applyBorder="1" applyAlignment="1">
      <alignment vertical="center"/>
    </xf>
    <xf numFmtId="0" fontId="8" fillId="12" borderId="1" xfId="0" quotePrefix="1" applyFont="1" applyFill="1" applyBorder="1" applyAlignment="1">
      <alignment horizontal="center" vertical="center"/>
    </xf>
    <xf numFmtId="0" fontId="8" fillId="21" borderId="1" xfId="0" applyFont="1" applyFill="1" applyBorder="1" applyAlignment="1">
      <alignment horizontal="center" vertical="center"/>
    </xf>
    <xf numFmtId="0" fontId="9" fillId="21" borderId="1" xfId="0" applyFont="1" applyFill="1" applyBorder="1" applyAlignment="1">
      <alignment vertical="center" wrapText="1"/>
    </xf>
    <xf numFmtId="0" fontId="8" fillId="21" borderId="1" xfId="0" applyFont="1" applyFill="1" applyBorder="1" applyAlignment="1">
      <alignment vertical="center"/>
    </xf>
    <xf numFmtId="0" fontId="9" fillId="0" borderId="1" xfId="0" quotePrefix="1" applyFont="1" applyBorder="1" applyAlignment="1">
      <alignment vertical="center" wrapText="1"/>
    </xf>
    <xf numFmtId="0" fontId="9" fillId="0" borderId="0" xfId="0" applyFont="1" applyAlignment="1">
      <alignment vertical="center" wrapText="1"/>
    </xf>
    <xf numFmtId="44" fontId="8" fillId="14" borderId="0" xfId="0" applyNumberFormat="1" applyFont="1" applyFill="1"/>
    <xf numFmtId="0" fontId="8" fillId="44" borderId="0" xfId="0" applyFont="1" applyFill="1"/>
    <xf numFmtId="0" fontId="0" fillId="31" borderId="4" xfId="0" applyFill="1" applyBorder="1"/>
    <xf numFmtId="0" fontId="0" fillId="31" borderId="1" xfId="0" applyFill="1" applyBorder="1"/>
    <xf numFmtId="0" fontId="0" fillId="16" borderId="1" xfId="0" applyFill="1" applyBorder="1"/>
    <xf numFmtId="0" fontId="0" fillId="0" borderId="27" xfId="0" applyBorder="1"/>
    <xf numFmtId="0" fontId="0" fillId="0" borderId="25" xfId="0" applyBorder="1"/>
    <xf numFmtId="0" fontId="7" fillId="16" borderId="1" xfId="0" applyFont="1" applyFill="1" applyBorder="1"/>
    <xf numFmtId="0" fontId="8" fillId="16" borderId="1" xfId="0" applyFont="1" applyFill="1" applyBorder="1"/>
    <xf numFmtId="43" fontId="8" fillId="16" borderId="1" xfId="1" applyFont="1" applyFill="1" applyBorder="1"/>
    <xf numFmtId="44" fontId="8" fillId="16" borderId="1" xfId="4" applyFont="1" applyFill="1" applyBorder="1"/>
    <xf numFmtId="43" fontId="7" fillId="16" borderId="1" xfId="1" applyFont="1" applyFill="1" applyBorder="1"/>
    <xf numFmtId="0" fontId="63" fillId="29" borderId="1" xfId="10" applyFont="1" applyFill="1" applyBorder="1" applyAlignment="1">
      <alignment horizontal="left" vertical="top"/>
    </xf>
    <xf numFmtId="0" fontId="63" fillId="29" borderId="63" xfId="10" applyFont="1" applyFill="1" applyBorder="1" applyAlignment="1">
      <alignment vertical="center" wrapText="1"/>
    </xf>
    <xf numFmtId="0" fontId="63" fillId="29" borderId="33" xfId="10" applyFont="1" applyFill="1" applyBorder="1" applyAlignment="1">
      <alignment vertical="center" wrapText="1"/>
    </xf>
    <xf numFmtId="0" fontId="63" fillId="29" borderId="35" xfId="10" applyFont="1" applyFill="1" applyBorder="1" applyAlignment="1">
      <alignment vertical="top"/>
    </xf>
    <xf numFmtId="0" fontId="63" fillId="29" borderId="25" xfId="10" applyFont="1" applyFill="1" applyBorder="1" applyAlignment="1">
      <alignment horizontal="left" vertical="top"/>
    </xf>
    <xf numFmtId="0" fontId="63" fillId="29" borderId="36" xfId="10" applyFont="1" applyFill="1" applyBorder="1" applyAlignment="1">
      <alignment horizontal="center" vertical="center"/>
    </xf>
    <xf numFmtId="0" fontId="63" fillId="29" borderId="37" xfId="10" applyFont="1" applyFill="1" applyBorder="1" applyAlignment="1">
      <alignment horizontal="center" vertical="center" wrapText="1"/>
    </xf>
    <xf numFmtId="0" fontId="63" fillId="29" borderId="37" xfId="10" applyFont="1" applyFill="1" applyBorder="1" applyAlignment="1">
      <alignment horizontal="center" vertical="center"/>
    </xf>
    <xf numFmtId="0" fontId="64" fillId="0" borderId="31" xfId="10" applyFont="1" applyBorder="1" applyAlignment="1">
      <alignment horizontal="center" vertical="center"/>
    </xf>
    <xf numFmtId="0" fontId="64" fillId="0" borderId="3" xfId="10" applyFont="1" applyBorder="1" applyAlignment="1">
      <alignment horizontal="center" vertical="center"/>
    </xf>
    <xf numFmtId="0" fontId="64" fillId="0" borderId="1" xfId="10" applyFont="1" applyBorder="1" applyAlignment="1">
      <alignment horizontal="center" vertical="center"/>
    </xf>
    <xf numFmtId="0" fontId="64" fillId="0" borderId="30" xfId="10" applyFont="1" applyBorder="1" applyAlignment="1">
      <alignment horizontal="left"/>
    </xf>
    <xf numFmtId="0" fontId="64" fillId="0" borderId="38" xfId="10" applyFont="1" applyBorder="1" applyAlignment="1">
      <alignment horizontal="left"/>
    </xf>
    <xf numFmtId="0" fontId="64" fillId="0" borderId="30" xfId="10" applyFont="1" applyBorder="1" applyAlignment="1">
      <alignment horizontal="left" vertical="center"/>
    </xf>
    <xf numFmtId="0" fontId="64" fillId="0" borderId="39" xfId="10" applyFont="1" applyBorder="1" applyAlignment="1">
      <alignment horizontal="left"/>
    </xf>
    <xf numFmtId="0" fontId="64" fillId="0" borderId="20" xfId="10" applyFont="1" applyBorder="1" applyAlignment="1">
      <alignment horizontal="left"/>
    </xf>
    <xf numFmtId="0" fontId="64" fillId="0" borderId="21" xfId="10" applyFont="1" applyBorder="1" applyAlignment="1">
      <alignment horizontal="left"/>
    </xf>
    <xf numFmtId="0" fontId="64" fillId="0" borderId="31" xfId="10" applyFont="1" applyBorder="1" applyAlignment="1">
      <alignment horizontal="center"/>
    </xf>
    <xf numFmtId="0" fontId="64" fillId="0" borderId="3" xfId="10" applyFont="1" applyBorder="1" applyAlignment="1">
      <alignment horizontal="center"/>
    </xf>
    <xf numFmtId="0" fontId="64" fillId="0" borderId="1" xfId="10" applyFont="1" applyBorder="1" applyAlignment="1">
      <alignment horizontal="center"/>
    </xf>
    <xf numFmtId="0" fontId="8" fillId="0" borderId="0" xfId="0" applyFont="1" applyAlignment="1">
      <alignment horizontal="left" vertical="center" wrapText="1"/>
    </xf>
    <xf numFmtId="0" fontId="8" fillId="11" borderId="0" xfId="0" applyFont="1" applyFill="1" applyAlignment="1">
      <alignment vertical="center" wrapText="1"/>
    </xf>
    <xf numFmtId="0" fontId="66" fillId="14" borderId="0" xfId="0" applyFont="1" applyFill="1" applyAlignment="1">
      <alignment horizontal="left"/>
    </xf>
    <xf numFmtId="0" fontId="67" fillId="14" borderId="0" xfId="0" applyFont="1" applyFill="1"/>
    <xf numFmtId="0" fontId="67" fillId="14" borderId="0" xfId="0" applyFont="1" applyFill="1" applyAlignment="1">
      <alignment horizontal="left"/>
    </xf>
    <xf numFmtId="43" fontId="24" fillId="24" borderId="1" xfId="1" applyFont="1" applyFill="1" applyBorder="1" applyAlignment="1">
      <alignment horizontal="center"/>
    </xf>
    <xf numFmtId="0" fontId="8" fillId="11" borderId="3" xfId="0" applyFont="1" applyFill="1" applyBorder="1" applyAlignment="1">
      <alignment vertical="center" wrapText="1"/>
    </xf>
    <xf numFmtId="0" fontId="7" fillId="12" borderId="1" xfId="0" applyFont="1" applyFill="1" applyBorder="1" applyAlignment="1">
      <alignment horizontal="center" vertical="center" wrapText="1"/>
    </xf>
    <xf numFmtId="0" fontId="8" fillId="11" borderId="1" xfId="0" applyFont="1" applyFill="1" applyBorder="1" applyAlignment="1">
      <alignment vertical="center" wrapText="1"/>
    </xf>
    <xf numFmtId="0" fontId="8" fillId="0" borderId="1" xfId="0" applyFont="1" applyBorder="1" applyAlignment="1">
      <alignment vertical="center" wrapText="1"/>
    </xf>
    <xf numFmtId="0" fontId="7" fillId="14" borderId="19" xfId="0" applyFont="1" applyFill="1" applyBorder="1"/>
    <xf numFmtId="43" fontId="8" fillId="14" borderId="21" xfId="0" applyNumberFormat="1" applyFont="1" applyFill="1" applyBorder="1"/>
    <xf numFmtId="43" fontId="8" fillId="14" borderId="17" xfId="0" applyNumberFormat="1" applyFont="1" applyFill="1" applyBorder="1"/>
    <xf numFmtId="44" fontId="8" fillId="14" borderId="17" xfId="0" applyNumberFormat="1" applyFont="1" applyFill="1" applyBorder="1"/>
    <xf numFmtId="0" fontId="7" fillId="14" borderId="22" xfId="0" applyFont="1" applyFill="1" applyBorder="1"/>
    <xf numFmtId="0" fontId="7" fillId="14" borderId="23" xfId="0" applyFont="1" applyFill="1" applyBorder="1"/>
    <xf numFmtId="0" fontId="7" fillId="14" borderId="2" xfId="0" applyFont="1" applyFill="1" applyBorder="1"/>
    <xf numFmtId="44" fontId="8" fillId="14" borderId="18" xfId="4" applyFont="1" applyFill="1" applyBorder="1"/>
    <xf numFmtId="44" fontId="8" fillId="14" borderId="17" xfId="4" applyFont="1" applyFill="1" applyBorder="1"/>
    <xf numFmtId="166" fontId="8" fillId="14" borderId="0" xfId="0" applyNumberFormat="1" applyFont="1" applyFill="1"/>
    <xf numFmtId="0" fontId="7" fillId="44" borderId="0" xfId="0" applyFont="1" applyFill="1" applyAlignment="1">
      <alignment horizontal="left"/>
    </xf>
    <xf numFmtId="43" fontId="8" fillId="44" borderId="0" xfId="1" applyFont="1" applyFill="1" applyAlignment="1">
      <alignment horizontal="center"/>
    </xf>
    <xf numFmtId="0" fontId="8" fillId="44" borderId="0" xfId="0" applyFont="1" applyFill="1" applyAlignment="1">
      <alignment horizontal="center"/>
    </xf>
    <xf numFmtId="43" fontId="8" fillId="13" borderId="1" xfId="0" applyNumberFormat="1" applyFont="1" applyFill="1" applyBorder="1" applyAlignment="1">
      <alignment vertical="center"/>
    </xf>
    <xf numFmtId="0" fontId="8" fillId="13" borderId="1" xfId="0" applyFont="1" applyFill="1" applyBorder="1" applyAlignment="1">
      <alignment vertical="center"/>
    </xf>
    <xf numFmtId="0" fontId="8" fillId="42" borderId="1" xfId="0" applyFont="1" applyFill="1" applyBorder="1" applyAlignment="1">
      <alignment vertical="center"/>
    </xf>
    <xf numFmtId="0" fontId="8" fillId="43" borderId="1" xfId="0" applyFont="1" applyFill="1" applyBorder="1" applyAlignment="1">
      <alignment vertical="center"/>
    </xf>
    <xf numFmtId="173" fontId="69" fillId="36" borderId="69" xfId="14" applyNumberFormat="1" applyFont="1" applyFill="1" applyBorder="1" applyAlignment="1">
      <alignment horizontal="center" vertical="center"/>
    </xf>
    <xf numFmtId="173" fontId="69" fillId="36" borderId="55" xfId="14" applyNumberFormat="1" applyFont="1" applyFill="1" applyBorder="1" applyAlignment="1">
      <alignment horizontal="center" vertical="center"/>
    </xf>
    <xf numFmtId="0" fontId="0" fillId="12" borderId="0" xfId="0" applyFill="1"/>
    <xf numFmtId="0" fontId="65" fillId="12" borderId="67" xfId="14" applyFont="1" applyFill="1" applyBorder="1" applyAlignment="1">
      <alignment horizontal="left" vertical="center"/>
    </xf>
    <xf numFmtId="173" fontId="65" fillId="12" borderId="58" xfId="14" applyNumberFormat="1" applyFont="1" applyFill="1" applyBorder="1" applyAlignment="1">
      <alignment horizontal="center" vertical="center"/>
    </xf>
    <xf numFmtId="0" fontId="65" fillId="12" borderId="68" xfId="14" applyFont="1" applyFill="1" applyBorder="1" applyAlignment="1">
      <alignment horizontal="left" vertical="center"/>
    </xf>
    <xf numFmtId="173" fontId="65" fillId="12" borderId="35" xfId="14" applyNumberFormat="1" applyFont="1" applyFill="1" applyBorder="1" applyAlignment="1">
      <alignment horizontal="center" vertical="center"/>
    </xf>
    <xf numFmtId="0" fontId="68" fillId="12" borderId="68" xfId="14" applyFont="1" applyFill="1" applyBorder="1" applyAlignment="1">
      <alignment horizontal="left" vertical="center"/>
    </xf>
    <xf numFmtId="0" fontId="63" fillId="12" borderId="68" xfId="14" applyFont="1" applyFill="1" applyBorder="1" applyAlignment="1">
      <alignment horizontal="left" vertical="center" wrapText="1"/>
    </xf>
    <xf numFmtId="0" fontId="65" fillId="12" borderId="0" xfId="14" applyFont="1" applyFill="1" applyAlignment="1">
      <alignment horizontal="center" vertical="center"/>
    </xf>
    <xf numFmtId="0" fontId="65" fillId="12" borderId="0" xfId="14" applyFont="1" applyFill="1" applyAlignment="1">
      <alignment horizontal="left" vertical="center"/>
    </xf>
    <xf numFmtId="0" fontId="68" fillId="12" borderId="19" xfId="14" applyFont="1" applyFill="1" applyBorder="1" applyAlignment="1">
      <alignment horizontal="left" vertical="center"/>
    </xf>
    <xf numFmtId="165" fontId="68" fillId="12" borderId="21" xfId="2" applyNumberFormat="1" applyFont="1" applyFill="1" applyBorder="1" applyAlignment="1">
      <alignment horizontal="center" vertical="center"/>
    </xf>
    <xf numFmtId="0" fontId="63" fillId="12" borderId="31" xfId="14" applyFont="1" applyFill="1" applyBorder="1" applyAlignment="1">
      <alignment horizontal="left" vertical="center"/>
    </xf>
    <xf numFmtId="165" fontId="65" fillId="12" borderId="35" xfId="14" applyNumberFormat="1" applyFont="1" applyFill="1" applyBorder="1" applyAlignment="1">
      <alignment horizontal="center" vertical="center"/>
    </xf>
    <xf numFmtId="0" fontId="68" fillId="12" borderId="22" xfId="14" applyFont="1" applyFill="1" applyBorder="1" applyAlignment="1">
      <alignment horizontal="left" vertical="center"/>
    </xf>
    <xf numFmtId="165" fontId="68" fillId="12" borderId="17" xfId="2" applyNumberFormat="1" applyFont="1" applyFill="1" applyBorder="1" applyAlignment="1">
      <alignment horizontal="center" vertical="center"/>
    </xf>
    <xf numFmtId="165" fontId="65" fillId="12" borderId="35" xfId="14" applyNumberFormat="1" applyFont="1" applyFill="1" applyBorder="1" applyAlignment="1">
      <alignment horizontal="center" vertical="center" wrapText="1"/>
    </xf>
    <xf numFmtId="0" fontId="70" fillId="12" borderId="22" xfId="14" applyFont="1" applyFill="1" applyBorder="1" applyAlignment="1">
      <alignment horizontal="left" vertical="center"/>
    </xf>
    <xf numFmtId="0" fontId="65" fillId="12" borderId="17" xfId="14" applyFont="1" applyFill="1" applyBorder="1" applyAlignment="1">
      <alignment horizontal="center" vertical="center"/>
    </xf>
    <xf numFmtId="0" fontId="63" fillId="12" borderId="23" xfId="14" applyFont="1" applyFill="1" applyBorder="1" applyAlignment="1">
      <alignment horizontal="center" vertical="center"/>
    </xf>
    <xf numFmtId="165" fontId="63" fillId="12" borderId="18" xfId="14" applyNumberFormat="1" applyFont="1" applyFill="1" applyBorder="1" applyAlignment="1">
      <alignment horizontal="center" vertical="center"/>
    </xf>
    <xf numFmtId="173" fontId="65" fillId="12" borderId="60" xfId="14" applyNumberFormat="1" applyFont="1" applyFill="1" applyBorder="1" applyAlignment="1">
      <alignment horizontal="center" vertical="center"/>
    </xf>
    <xf numFmtId="10" fontId="65" fillId="12" borderId="61" xfId="14" applyNumberFormat="1" applyFont="1" applyFill="1" applyBorder="1" applyAlignment="1">
      <alignment horizontal="center"/>
    </xf>
    <xf numFmtId="173" fontId="63" fillId="11" borderId="26" xfId="14" applyNumberFormat="1" applyFont="1" applyFill="1" applyBorder="1" applyAlignment="1">
      <alignment horizontal="center" vertical="center"/>
    </xf>
    <xf numFmtId="0" fontId="65" fillId="43" borderId="68" xfId="14" applyFont="1" applyFill="1" applyBorder="1" applyAlignment="1">
      <alignment horizontal="left" vertical="center" wrapText="1"/>
    </xf>
    <xf numFmtId="173" fontId="65" fillId="43" borderId="35" xfId="14" applyNumberFormat="1" applyFont="1" applyFill="1" applyBorder="1" applyAlignment="1">
      <alignment horizontal="center" vertical="center"/>
    </xf>
    <xf numFmtId="9" fontId="1" fillId="16" borderId="0" xfId="2" applyFill="1"/>
    <xf numFmtId="10" fontId="1" fillId="16" borderId="0" xfId="2" applyNumberFormat="1" applyFill="1"/>
    <xf numFmtId="10" fontId="0" fillId="16" borderId="0" xfId="2" applyNumberFormat="1" applyFont="1" applyFill="1"/>
    <xf numFmtId="10" fontId="4" fillId="5" borderId="1" xfId="2" applyNumberFormat="1" applyFont="1" applyFill="1" applyBorder="1" applyAlignment="1">
      <alignment vertical="center"/>
    </xf>
    <xf numFmtId="164" fontId="3" fillId="6" borderId="42" xfId="3" applyFont="1" applyFill="1" applyBorder="1" applyAlignment="1">
      <alignment vertical="center"/>
    </xf>
    <xf numFmtId="164" fontId="3" fillId="6" borderId="46" xfId="3" applyFont="1" applyFill="1" applyBorder="1" applyAlignment="1">
      <alignment vertical="center"/>
    </xf>
    <xf numFmtId="164" fontId="3" fillId="6" borderId="48" xfId="3" applyFont="1" applyFill="1" applyBorder="1" applyAlignment="1">
      <alignment vertical="center"/>
    </xf>
    <xf numFmtId="166" fontId="71" fillId="10" borderId="1" xfId="3" applyNumberFormat="1" applyFont="1" applyFill="1" applyBorder="1" applyAlignment="1">
      <alignment vertical="center"/>
    </xf>
    <xf numFmtId="44" fontId="45" fillId="16" borderId="1" xfId="4" applyFont="1" applyFill="1" applyBorder="1" applyAlignment="1">
      <alignment horizontal="center" vertical="center"/>
    </xf>
    <xf numFmtId="164" fontId="45" fillId="16" borderId="1" xfId="3" applyFont="1" applyFill="1" applyBorder="1" applyAlignment="1">
      <alignment horizontal="center" vertical="center" wrapText="1"/>
    </xf>
    <xf numFmtId="44" fontId="31" fillId="16" borderId="1" xfId="3" applyNumberFormat="1" applyFont="1" applyFill="1" applyBorder="1" applyAlignment="1">
      <alignment horizontal="center" vertical="center"/>
    </xf>
    <xf numFmtId="44" fontId="31" fillId="16" borderId="1" xfId="4" applyFont="1" applyFill="1" applyBorder="1" applyAlignment="1">
      <alignment horizontal="center" vertical="center"/>
    </xf>
    <xf numFmtId="44" fontId="57" fillId="16" borderId="1" xfId="3" applyNumberFormat="1" applyFont="1" applyFill="1" applyBorder="1" applyAlignment="1">
      <alignment horizontal="center" vertical="center"/>
    </xf>
    <xf numFmtId="9" fontId="45" fillId="16" borderId="1" xfId="4" applyNumberFormat="1" applyFont="1" applyFill="1" applyBorder="1" applyAlignment="1">
      <alignment horizontal="center" vertical="center"/>
    </xf>
    <xf numFmtId="0" fontId="55" fillId="11" borderId="0" xfId="3" applyNumberFormat="1" applyFont="1" applyFill="1" applyAlignment="1">
      <alignment horizontal="left"/>
    </xf>
    <xf numFmtId="164" fontId="55" fillId="11" borderId="0" xfId="3" applyFont="1" applyFill="1"/>
    <xf numFmtId="0" fontId="7" fillId="15" borderId="19" xfId="0" applyFont="1" applyFill="1" applyBorder="1" applyAlignment="1">
      <alignment horizontal="left"/>
    </xf>
    <xf numFmtId="0" fontId="8" fillId="15" borderId="20" xfId="0" applyFont="1" applyFill="1" applyBorder="1"/>
    <xf numFmtId="0" fontId="7" fillId="15" borderId="22" xfId="0" applyFont="1" applyFill="1" applyBorder="1" applyAlignment="1">
      <alignment horizontal="left"/>
    </xf>
    <xf numFmtId="0" fontId="7" fillId="15" borderId="23" xfId="0" applyFont="1" applyFill="1" applyBorder="1" applyAlignment="1">
      <alignment horizontal="left"/>
    </xf>
    <xf numFmtId="0" fontId="8" fillId="14" borderId="0" xfId="0" applyFont="1" applyFill="1" applyAlignment="1">
      <alignment vertical="center"/>
    </xf>
    <xf numFmtId="0" fontId="8" fillId="14" borderId="0" xfId="0" applyFont="1" applyFill="1" applyAlignment="1">
      <alignment horizontal="center" vertical="center"/>
    </xf>
    <xf numFmtId="0" fontId="11" fillId="13" borderId="1" xfId="0" applyFont="1" applyFill="1" applyBorder="1" applyAlignment="1">
      <alignment horizontal="center" vertical="center" wrapText="1"/>
    </xf>
    <xf numFmtId="44" fontId="8" fillId="11" borderId="1" xfId="4" applyFont="1" applyFill="1" applyBorder="1" applyAlignment="1">
      <alignment vertical="center"/>
    </xf>
    <xf numFmtId="164" fontId="11" fillId="33" borderId="1" xfId="3" applyFont="1" applyFill="1" applyBorder="1" applyAlignment="1">
      <alignment horizontal="left" vertical="center" wrapText="1"/>
    </xf>
    <xf numFmtId="0" fontId="8" fillId="11" borderId="1" xfId="3" applyNumberFormat="1" applyFont="1" applyFill="1" applyBorder="1" applyAlignment="1">
      <alignment horizontal="left" vertical="center"/>
    </xf>
    <xf numFmtId="44" fontId="8" fillId="11" borderId="1" xfId="2" applyNumberFormat="1" applyFont="1" applyFill="1" applyBorder="1" applyAlignment="1">
      <alignment horizontal="center" vertical="center"/>
    </xf>
    <xf numFmtId="171" fontId="8" fillId="11" borderId="1" xfId="12" applyNumberFormat="1" applyFont="1" applyFill="1" applyBorder="1" applyAlignment="1">
      <alignment horizontal="center" vertical="center"/>
    </xf>
    <xf numFmtId="171" fontId="8" fillId="11" borderId="1" xfId="12" applyNumberFormat="1" applyFont="1" applyFill="1" applyBorder="1" applyAlignment="1">
      <alignment vertical="center"/>
    </xf>
    <xf numFmtId="10" fontId="11" fillId="32" borderId="1" xfId="2" applyNumberFormat="1" applyFont="1" applyFill="1" applyBorder="1" applyAlignment="1">
      <alignment horizontal="left" vertical="center" wrapText="1"/>
    </xf>
    <xf numFmtId="44" fontId="11" fillId="32" borderId="1" xfId="2" applyNumberFormat="1" applyFont="1" applyFill="1" applyBorder="1" applyAlignment="1">
      <alignment horizontal="center" vertical="center" wrapText="1"/>
    </xf>
    <xf numFmtId="0" fontId="8" fillId="14" borderId="1" xfId="0" applyFont="1" applyFill="1" applyBorder="1" applyAlignment="1">
      <alignment vertical="center"/>
    </xf>
    <xf numFmtId="165" fontId="8" fillId="14" borderId="1" xfId="0" applyNumberFormat="1" applyFont="1" applyFill="1" applyBorder="1" applyAlignment="1">
      <alignment horizontal="center" vertical="center"/>
    </xf>
    <xf numFmtId="44" fontId="8" fillId="14" borderId="1" xfId="4" applyFont="1" applyFill="1" applyBorder="1" applyAlignment="1">
      <alignment vertical="center"/>
    </xf>
    <xf numFmtId="165" fontId="32" fillId="11" borderId="1" xfId="2" applyNumberFormat="1" applyFont="1" applyFill="1" applyBorder="1" applyAlignment="1">
      <alignment horizontal="center" vertical="center"/>
    </xf>
    <xf numFmtId="0" fontId="7" fillId="14" borderId="1" xfId="0" applyFont="1" applyFill="1" applyBorder="1" applyAlignment="1">
      <alignment vertical="center"/>
    </xf>
    <xf numFmtId="165" fontId="7" fillId="14" borderId="1" xfId="0" applyNumberFormat="1" applyFont="1" applyFill="1" applyBorder="1" applyAlignment="1">
      <alignment horizontal="center" vertical="center"/>
    </xf>
    <xf numFmtId="44" fontId="7" fillId="14" borderId="1" xfId="4" applyFont="1" applyFill="1" applyBorder="1" applyAlignment="1">
      <alignment vertical="center"/>
    </xf>
    <xf numFmtId="44" fontId="31" fillId="14" borderId="1" xfId="0" applyNumberFormat="1" applyFont="1" applyFill="1" applyBorder="1" applyAlignment="1">
      <alignment vertical="center"/>
    </xf>
    <xf numFmtId="44" fontId="31" fillId="22" borderId="1" xfId="0" applyNumberFormat="1" applyFont="1" applyFill="1" applyBorder="1" applyAlignment="1">
      <alignment vertical="center"/>
    </xf>
    <xf numFmtId="0" fontId="7" fillId="22" borderId="1" xfId="0" applyFont="1" applyFill="1" applyBorder="1" applyAlignment="1">
      <alignment vertical="center"/>
    </xf>
    <xf numFmtId="0" fontId="7" fillId="22" borderId="1" xfId="0" applyFont="1" applyFill="1" applyBorder="1" applyAlignment="1">
      <alignment horizontal="center" vertical="center"/>
    </xf>
    <xf numFmtId="0" fontId="8" fillId="14" borderId="1" xfId="0" applyFont="1" applyFill="1" applyBorder="1" applyAlignment="1">
      <alignment horizontal="center" vertical="center"/>
    </xf>
    <xf numFmtId="44" fontId="8" fillId="14" borderId="1" xfId="4" applyFont="1" applyFill="1" applyBorder="1" applyAlignment="1">
      <alignment horizontal="center" vertical="center"/>
    </xf>
    <xf numFmtId="0" fontId="8" fillId="14" borderId="0" xfId="0" quotePrefix="1" applyFont="1" applyFill="1" applyAlignment="1">
      <alignment vertical="center"/>
    </xf>
    <xf numFmtId="164" fontId="11" fillId="33" borderId="1" xfId="3" applyFont="1" applyFill="1" applyBorder="1" applyAlignment="1">
      <alignment horizontal="center" vertical="center" wrapText="1"/>
    </xf>
    <xf numFmtId="0" fontId="72" fillId="14" borderId="0" xfId="0" applyFont="1" applyFill="1"/>
    <xf numFmtId="0" fontId="7" fillId="15" borderId="0" xfId="0" applyFont="1" applyFill="1"/>
    <xf numFmtId="0" fontId="8" fillId="15" borderId="0" xfId="0" applyFont="1" applyFill="1" applyAlignment="1">
      <alignment vertical="center"/>
    </xf>
    <xf numFmtId="0" fontId="18" fillId="17" borderId="0" xfId="0" applyFont="1" applyFill="1" applyAlignment="1">
      <alignment horizontal="left" vertical="center" wrapText="1"/>
    </xf>
    <xf numFmtId="0" fontId="18" fillId="17" borderId="1" xfId="0" applyFont="1" applyFill="1" applyBorder="1" applyAlignment="1">
      <alignment horizontal="center" vertical="center" wrapText="1"/>
    </xf>
    <xf numFmtId="0" fontId="19" fillId="17" borderId="0" xfId="0" applyFont="1" applyFill="1" applyAlignment="1">
      <alignment horizontal="left" vertical="center" wrapText="1"/>
    </xf>
    <xf numFmtId="0" fontId="16" fillId="19" borderId="1" xfId="5" applyFill="1" applyBorder="1" applyAlignment="1">
      <alignment vertical="center"/>
    </xf>
    <xf numFmtId="0" fontId="8" fillId="19" borderId="1" xfId="0" applyFont="1" applyFill="1" applyBorder="1" applyAlignment="1">
      <alignment horizontal="center" vertical="center"/>
    </xf>
    <xf numFmtId="0" fontId="8" fillId="16" borderId="1" xfId="0" applyFont="1" applyFill="1" applyBorder="1" applyAlignment="1">
      <alignment horizontal="center" vertical="center"/>
    </xf>
    <xf numFmtId="0" fontId="16" fillId="16" borderId="8" xfId="5" applyFill="1" applyBorder="1" applyAlignment="1">
      <alignment vertical="center" wrapText="1"/>
    </xf>
    <xf numFmtId="0" fontId="16" fillId="16" borderId="9" xfId="5" applyFill="1" applyBorder="1" applyAlignment="1">
      <alignment vertical="center" wrapText="1"/>
    </xf>
    <xf numFmtId="0" fontId="16" fillId="16" borderId="6" xfId="5" applyFill="1" applyBorder="1" applyAlignment="1">
      <alignment vertical="center" wrapText="1"/>
    </xf>
    <xf numFmtId="0" fontId="16" fillId="16" borderId="10" xfId="5" applyFill="1" applyBorder="1" applyAlignment="1">
      <alignment vertical="center" wrapText="1"/>
    </xf>
    <xf numFmtId="0" fontId="16" fillId="16" borderId="11" xfId="5" applyFill="1" applyBorder="1" applyAlignment="1">
      <alignment vertical="center" wrapText="1"/>
    </xf>
    <xf numFmtId="0" fontId="16" fillId="16" borderId="7" xfId="5" applyFill="1" applyBorder="1" applyAlignment="1">
      <alignment vertical="center" wrapText="1"/>
    </xf>
    <xf numFmtId="0" fontId="63" fillId="29" borderId="31" xfId="10" applyFont="1" applyFill="1" applyBorder="1" applyAlignment="1">
      <alignment horizontal="left" vertical="top"/>
    </xf>
    <xf numFmtId="0" fontId="63" fillId="29" borderId="1" xfId="10" applyFont="1" applyFill="1" applyBorder="1" applyAlignment="1">
      <alignment horizontal="center" vertical="center"/>
    </xf>
    <xf numFmtId="0" fontId="64" fillId="0" borderId="5" xfId="10" applyFont="1" applyBorder="1" applyAlignment="1">
      <alignment horizontal="left" vertical="center"/>
    </xf>
    <xf numFmtId="0" fontId="64" fillId="0" borderId="37" xfId="10" applyFont="1" applyBorder="1" applyAlignment="1">
      <alignment horizontal="left" vertical="center"/>
    </xf>
    <xf numFmtId="0" fontId="64" fillId="0" borderId="53" xfId="10" applyFont="1" applyBorder="1" applyAlignment="1">
      <alignment horizontal="left" vertical="center"/>
    </xf>
    <xf numFmtId="0" fontId="64" fillId="0" borderId="64" xfId="10" applyFont="1" applyBorder="1" applyAlignment="1">
      <alignment horizontal="left" vertical="center"/>
    </xf>
    <xf numFmtId="0" fontId="64" fillId="0" borderId="33" xfId="10" applyFont="1" applyBorder="1" applyAlignment="1">
      <alignment horizontal="left" vertical="center"/>
    </xf>
    <xf numFmtId="0" fontId="64" fillId="0" borderId="15" xfId="10" applyFont="1" applyBorder="1" applyAlignment="1">
      <alignment horizontal="center" vertical="center"/>
    </xf>
    <xf numFmtId="0" fontId="64" fillId="0" borderId="63" xfId="10" applyFont="1" applyBorder="1" applyAlignment="1">
      <alignment horizontal="center" vertical="center"/>
    </xf>
    <xf numFmtId="0" fontId="64" fillId="0" borderId="33" xfId="10" applyFont="1" applyBorder="1" applyAlignment="1">
      <alignment horizontal="center" vertical="center"/>
    </xf>
    <xf numFmtId="0" fontId="62" fillId="29" borderId="29" xfId="10" applyFont="1" applyFill="1" applyBorder="1" applyAlignment="1">
      <alignment horizontal="center" vertical="center"/>
    </xf>
    <xf numFmtId="0" fontId="62" fillId="29" borderId="30" xfId="10" applyFont="1" applyFill="1" applyBorder="1" applyAlignment="1">
      <alignment horizontal="center" vertical="center"/>
    </xf>
    <xf numFmtId="0" fontId="62" fillId="29" borderId="20" xfId="10" applyFont="1" applyFill="1" applyBorder="1" applyAlignment="1">
      <alignment horizontal="center" vertical="center"/>
    </xf>
    <xf numFmtId="0" fontId="62" fillId="29" borderId="21" xfId="10" applyFont="1" applyFill="1" applyBorder="1" applyAlignment="1">
      <alignment horizontal="center" vertical="center"/>
    </xf>
    <xf numFmtId="0" fontId="51" fillId="29" borderId="20" xfId="10" applyFont="1" applyFill="1" applyBorder="1" applyAlignment="1">
      <alignment horizontal="center" vertical="center"/>
    </xf>
    <xf numFmtId="0" fontId="51" fillId="29" borderId="21" xfId="10" applyFont="1" applyFill="1" applyBorder="1" applyAlignment="1">
      <alignment horizontal="center" vertical="center"/>
    </xf>
    <xf numFmtId="0" fontId="51" fillId="29" borderId="11" xfId="10" applyFont="1" applyFill="1" applyBorder="1" applyAlignment="1">
      <alignment horizontal="center" vertical="center"/>
    </xf>
    <xf numFmtId="0" fontId="51" fillId="29" borderId="34" xfId="10" applyFont="1" applyFill="1" applyBorder="1" applyAlignment="1">
      <alignment horizontal="center" vertical="center"/>
    </xf>
    <xf numFmtId="0" fontId="63" fillId="29" borderId="32" xfId="10" applyFont="1" applyFill="1" applyBorder="1" applyAlignment="1">
      <alignment horizontal="left" vertical="top"/>
    </xf>
    <xf numFmtId="0" fontId="63" fillId="29" borderId="7" xfId="10" applyFont="1" applyFill="1" applyBorder="1" applyAlignment="1">
      <alignment horizontal="left" vertical="top"/>
    </xf>
    <xf numFmtId="0" fontId="63" fillId="29" borderId="4" xfId="10" applyFont="1" applyFill="1" applyBorder="1" applyAlignment="1">
      <alignment horizontal="left" vertical="top"/>
    </xf>
    <xf numFmtId="0" fontId="63" fillId="29" borderId="32" xfId="10" applyFont="1" applyFill="1" applyBorder="1" applyAlignment="1">
      <alignment horizontal="center" vertical="top"/>
    </xf>
    <xf numFmtId="0" fontId="63" fillId="29" borderId="40" xfId="10" applyFont="1" applyFill="1" applyBorder="1" applyAlignment="1">
      <alignment horizontal="center" vertical="top"/>
    </xf>
    <xf numFmtId="0" fontId="64" fillId="0" borderId="65" xfId="10" applyFont="1" applyBorder="1" applyAlignment="1">
      <alignment horizontal="left" vertical="center"/>
    </xf>
    <xf numFmtId="0" fontId="64" fillId="0" borderId="36" xfId="10" applyFont="1" applyBorder="1" applyAlignment="1">
      <alignment horizontal="left" vertical="center"/>
    </xf>
    <xf numFmtId="0" fontId="64" fillId="0" borderId="56" xfId="10" applyFont="1" applyBorder="1" applyAlignment="1">
      <alignment horizontal="left" vertical="center"/>
    </xf>
    <xf numFmtId="0" fontId="65" fillId="0" borderId="66" xfId="0" applyFont="1" applyBorder="1" applyAlignment="1">
      <alignment horizontal="left" vertical="center"/>
    </xf>
    <xf numFmtId="0" fontId="65" fillId="0" borderId="58" xfId="0" applyFont="1" applyBorder="1" applyAlignment="1">
      <alignment horizontal="left" vertical="center"/>
    </xf>
    <xf numFmtId="0" fontId="65" fillId="0" borderId="1" xfId="0" applyFont="1" applyBorder="1" applyAlignment="1">
      <alignment horizontal="left" vertical="center"/>
    </xf>
    <xf numFmtId="0" fontId="65" fillId="0" borderId="35" xfId="0" applyFont="1" applyBorder="1" applyAlignment="1">
      <alignment horizontal="left" vertical="center"/>
    </xf>
    <xf numFmtId="0" fontId="65" fillId="0" borderId="52" xfId="0" applyFont="1" applyBorder="1" applyAlignment="1">
      <alignment horizontal="left" vertical="center"/>
    </xf>
    <xf numFmtId="0" fontId="65" fillId="0" borderId="55" xfId="0" applyFont="1" applyBorder="1" applyAlignment="1">
      <alignment horizontal="left" vertical="center"/>
    </xf>
    <xf numFmtId="0" fontId="65" fillId="0" borderId="65" xfId="0" applyFont="1" applyBorder="1" applyAlignment="1">
      <alignment horizontal="left" vertical="center"/>
    </xf>
    <xf numFmtId="0" fontId="65" fillId="0" borderId="36" xfId="0" applyFont="1" applyBorder="1" applyAlignment="1">
      <alignment horizontal="left" vertical="center"/>
    </xf>
    <xf numFmtId="0" fontId="65" fillId="0" borderId="56" xfId="0" applyFont="1" applyBorder="1" applyAlignment="1">
      <alignment horizontal="left" vertical="center"/>
    </xf>
    <xf numFmtId="0" fontId="52" fillId="0" borderId="41" xfId="10" applyFont="1" applyBorder="1" applyAlignment="1">
      <alignment horizontal="left" vertical="top"/>
    </xf>
    <xf numFmtId="0" fontId="17" fillId="30" borderId="27" xfId="0" applyFont="1" applyFill="1" applyBorder="1" applyAlignment="1">
      <alignment horizontal="center" vertical="center" wrapText="1"/>
    </xf>
    <xf numFmtId="0" fontId="8" fillId="11" borderId="3" xfId="0" applyFont="1" applyFill="1" applyBorder="1" applyAlignment="1">
      <alignment horizontal="left" vertical="center" wrapText="1"/>
    </xf>
    <xf numFmtId="0" fontId="8" fillId="11" borderId="25" xfId="0" applyFont="1" applyFill="1" applyBorder="1" applyAlignment="1">
      <alignment horizontal="left" vertical="center" wrapText="1"/>
    </xf>
    <xf numFmtId="0" fontId="11" fillId="13" borderId="8" xfId="0" applyFont="1" applyFill="1" applyBorder="1" applyAlignment="1">
      <alignment horizontal="center" vertical="center" wrapText="1"/>
    </xf>
    <xf numFmtId="0" fontId="11" fillId="13" borderId="9" xfId="0" applyFont="1" applyFill="1" applyBorder="1" applyAlignment="1">
      <alignment horizontal="center" vertical="center" wrapText="1"/>
    </xf>
    <xf numFmtId="0" fontId="11" fillId="13" borderId="10" xfId="0" applyFont="1" applyFill="1" applyBorder="1" applyAlignment="1">
      <alignment horizontal="center" vertical="center" wrapText="1"/>
    </xf>
    <xf numFmtId="0" fontId="11" fillId="13" borderId="11" xfId="0" applyFont="1" applyFill="1" applyBorder="1" applyAlignment="1">
      <alignment horizontal="center" vertical="center" wrapText="1"/>
    </xf>
    <xf numFmtId="0" fontId="7" fillId="12" borderId="5" xfId="0" applyFont="1" applyFill="1" applyBorder="1" applyAlignment="1">
      <alignment horizontal="center" vertical="center" wrapText="1"/>
    </xf>
    <xf numFmtId="0" fontId="7" fillId="12" borderId="4" xfId="0" applyFont="1" applyFill="1" applyBorder="1" applyAlignment="1">
      <alignment horizontal="center" vertical="center" wrapText="1"/>
    </xf>
    <xf numFmtId="0" fontId="7" fillId="12" borderId="1" xfId="0" applyFont="1" applyFill="1" applyBorder="1" applyAlignment="1">
      <alignment horizontal="center" vertical="center" wrapText="1"/>
    </xf>
    <xf numFmtId="0" fontId="7" fillId="12" borderId="4" xfId="0" applyFont="1" applyFill="1" applyBorder="1" applyAlignment="1">
      <alignment horizontal="center" vertical="center"/>
    </xf>
    <xf numFmtId="0" fontId="7" fillId="12" borderId="10" xfId="0" applyFont="1" applyFill="1" applyBorder="1" applyAlignment="1">
      <alignment horizontal="center" vertical="center"/>
    </xf>
    <xf numFmtId="0" fontId="7" fillId="12" borderId="1" xfId="0" applyFont="1" applyFill="1" applyBorder="1" applyAlignment="1">
      <alignment horizontal="center" vertical="center"/>
    </xf>
    <xf numFmtId="0" fontId="8" fillId="0" borderId="3" xfId="0" applyFont="1" applyBorder="1" applyAlignment="1">
      <alignment horizontal="left" vertical="center" wrapText="1"/>
    </xf>
    <xf numFmtId="0" fontId="8" fillId="0" borderId="25" xfId="0" applyFont="1" applyBorder="1" applyAlignment="1">
      <alignment horizontal="left" vertical="center" wrapText="1"/>
    </xf>
    <xf numFmtId="0" fontId="7" fillId="12" borderId="27" xfId="0" applyFont="1" applyFill="1" applyBorder="1" applyAlignment="1">
      <alignment horizontal="center" vertical="center" wrapText="1"/>
    </xf>
    <xf numFmtId="0" fontId="7" fillId="12" borderId="28" xfId="0" applyFont="1" applyFill="1" applyBorder="1" applyAlignment="1">
      <alignment horizontal="center" vertical="center" wrapText="1"/>
    </xf>
    <xf numFmtId="0" fontId="7" fillId="12" borderId="10" xfId="0" applyFont="1" applyFill="1" applyBorder="1" applyAlignment="1">
      <alignment horizontal="center" vertical="center" wrapText="1"/>
    </xf>
    <xf numFmtId="0" fontId="7" fillId="12" borderId="7" xfId="0" applyFont="1" applyFill="1" applyBorder="1" applyAlignment="1">
      <alignment horizontal="center" vertical="center" wrapText="1"/>
    </xf>
    <xf numFmtId="0" fontId="73" fillId="11" borderId="3" xfId="0" applyFont="1" applyFill="1" applyBorder="1" applyAlignment="1">
      <alignment horizontal="left" vertical="center" wrapText="1"/>
    </xf>
    <xf numFmtId="0" fontId="8" fillId="21" borderId="3" xfId="0" applyFont="1" applyFill="1" applyBorder="1" applyAlignment="1">
      <alignment horizontal="left" vertical="center" wrapText="1"/>
    </xf>
    <xf numFmtId="0" fontId="8" fillId="21" borderId="25" xfId="0" applyFont="1" applyFill="1" applyBorder="1" applyAlignment="1">
      <alignment horizontal="left" vertical="center" wrapText="1"/>
    </xf>
    <xf numFmtId="0" fontId="8" fillId="11" borderId="3" xfId="0" applyFont="1" applyFill="1" applyBorder="1" applyAlignment="1">
      <alignment horizontal="center" vertical="center" wrapText="1"/>
    </xf>
    <xf numFmtId="0" fontId="8" fillId="11" borderId="25" xfId="0" applyFont="1" applyFill="1" applyBorder="1" applyAlignment="1">
      <alignment horizontal="center" vertical="center" wrapText="1"/>
    </xf>
    <xf numFmtId="0" fontId="7" fillId="12" borderId="8" xfId="0" applyFont="1" applyFill="1" applyBorder="1" applyAlignment="1">
      <alignment horizontal="center" vertical="center" wrapText="1"/>
    </xf>
    <xf numFmtId="0" fontId="7" fillId="12" borderId="6" xfId="0" applyFont="1" applyFill="1" applyBorder="1" applyAlignment="1">
      <alignment horizontal="center" vertical="center" wrapText="1"/>
    </xf>
    <xf numFmtId="0" fontId="8" fillId="0" borderId="3" xfId="0" applyFont="1" applyBorder="1" applyAlignment="1">
      <alignment horizontal="center" vertical="center" wrapText="1"/>
    </xf>
    <xf numFmtId="0" fontId="8" fillId="0" borderId="25" xfId="0" applyFont="1" applyBorder="1" applyAlignment="1">
      <alignment horizontal="center" vertical="center" wrapText="1"/>
    </xf>
    <xf numFmtId="0" fontId="7" fillId="11" borderId="3" xfId="0" applyFont="1" applyFill="1" applyBorder="1" applyAlignment="1">
      <alignment horizontal="left" vertical="center" wrapText="1"/>
    </xf>
    <xf numFmtId="0" fontId="7" fillId="11" borderId="25" xfId="0" applyFont="1" applyFill="1" applyBorder="1" applyAlignment="1">
      <alignment horizontal="left" vertical="center" wrapText="1"/>
    </xf>
    <xf numFmtId="0" fontId="7" fillId="12" borderId="5" xfId="0" applyFont="1" applyFill="1" applyBorder="1" applyAlignment="1">
      <alignment horizontal="center" vertical="center"/>
    </xf>
    <xf numFmtId="0" fontId="7" fillId="12" borderId="3" xfId="0" applyFont="1" applyFill="1" applyBorder="1" applyAlignment="1">
      <alignment horizontal="left" vertical="center"/>
    </xf>
    <xf numFmtId="0" fontId="7" fillId="12" borderId="25" xfId="0" applyFont="1" applyFill="1" applyBorder="1" applyAlignment="1">
      <alignment horizontal="left" vertical="center"/>
    </xf>
    <xf numFmtId="0" fontId="30" fillId="14" borderId="0" xfId="1" applyNumberFormat="1" applyFont="1" applyFill="1" applyAlignment="1">
      <alignment vertical="center" wrapText="1"/>
    </xf>
    <xf numFmtId="0" fontId="30" fillId="14" borderId="11" xfId="1" applyNumberFormat="1" applyFont="1" applyFill="1" applyBorder="1" applyAlignment="1">
      <alignment vertical="center" wrapText="1"/>
    </xf>
    <xf numFmtId="0" fontId="61" fillId="30" borderId="0" xfId="3" applyNumberFormat="1" applyFont="1" applyFill="1" applyAlignment="1">
      <alignment horizontal="center" vertical="center" wrapText="1"/>
    </xf>
    <xf numFmtId="0" fontId="61" fillId="30" borderId="2" xfId="3" applyNumberFormat="1" applyFont="1" applyFill="1" applyBorder="1" applyAlignment="1">
      <alignment horizontal="center" vertical="center" wrapText="1"/>
    </xf>
    <xf numFmtId="0" fontId="27" fillId="20" borderId="0" xfId="0" applyFont="1" applyFill="1" applyAlignment="1">
      <alignment vertical="top" wrapText="1"/>
    </xf>
    <xf numFmtId="0" fontId="27" fillId="20" borderId="17" xfId="0" applyFont="1" applyFill="1" applyBorder="1" applyAlignment="1">
      <alignment vertical="top" wrapText="1"/>
    </xf>
    <xf numFmtId="0" fontId="29" fillId="21" borderId="2" xfId="5" applyFont="1" applyFill="1" applyBorder="1" applyAlignment="1">
      <alignment vertical="top" wrapText="1"/>
    </xf>
    <xf numFmtId="0" fontId="29" fillId="21" borderId="18" xfId="5" applyFont="1" applyFill="1" applyBorder="1" applyAlignment="1">
      <alignment vertical="top" wrapText="1"/>
    </xf>
    <xf numFmtId="0" fontId="7" fillId="15" borderId="0" xfId="0" applyFont="1" applyFill="1" applyAlignment="1">
      <alignment horizontal="center"/>
    </xf>
    <xf numFmtId="0" fontId="7" fillId="15" borderId="2" xfId="0" applyFont="1" applyFill="1" applyBorder="1" applyAlignment="1">
      <alignment horizontal="center"/>
    </xf>
    <xf numFmtId="0" fontId="27" fillId="20" borderId="2" xfId="0" applyFont="1" applyFill="1" applyBorder="1" applyAlignment="1">
      <alignment vertical="top" wrapText="1"/>
    </xf>
    <xf numFmtId="164" fontId="3" fillId="6" borderId="1" xfId="3" applyFont="1" applyFill="1" applyBorder="1" applyAlignment="1">
      <alignment horizontal="center" vertical="center"/>
    </xf>
    <xf numFmtId="167" fontId="5" fillId="5" borderId="1" xfId="1" applyNumberFormat="1" applyFont="1" applyFill="1" applyBorder="1" applyAlignment="1">
      <alignment horizontal="right" vertical="center"/>
    </xf>
    <xf numFmtId="164" fontId="3" fillId="6" borderId="4" xfId="3" applyFont="1" applyFill="1" applyBorder="1" applyAlignment="1">
      <alignment horizontal="center" vertical="center"/>
    </xf>
    <xf numFmtId="167" fontId="3" fillId="6" borderId="1" xfId="3" applyNumberFormat="1" applyFont="1" applyFill="1" applyBorder="1" applyAlignment="1">
      <alignment horizontal="center" vertical="center"/>
    </xf>
    <xf numFmtId="10" fontId="11" fillId="32" borderId="3" xfId="2" applyNumberFormat="1" applyFont="1" applyFill="1" applyBorder="1" applyAlignment="1">
      <alignment horizontal="center" vertical="center" wrapText="1"/>
    </xf>
    <xf numFmtId="10" fontId="11" fillId="32" borderId="24" xfId="2" applyNumberFormat="1" applyFont="1" applyFill="1" applyBorder="1" applyAlignment="1">
      <alignment horizontal="center" vertical="center" wrapText="1"/>
    </xf>
    <xf numFmtId="10" fontId="11" fillId="32" borderId="25" xfId="2" applyNumberFormat="1" applyFont="1" applyFill="1" applyBorder="1" applyAlignment="1">
      <alignment horizontal="center" vertical="center" wrapText="1"/>
    </xf>
    <xf numFmtId="10" fontId="11" fillId="32" borderId="1" xfId="2" applyNumberFormat="1" applyFont="1" applyFill="1" applyBorder="1" applyAlignment="1">
      <alignment horizontal="center" vertical="center" wrapText="1"/>
    </xf>
    <xf numFmtId="0" fontId="27" fillId="20" borderId="22" xfId="0" applyFont="1" applyFill="1" applyBorder="1" applyAlignment="1">
      <alignment vertical="top" wrapText="1"/>
    </xf>
    <xf numFmtId="0" fontId="27" fillId="20" borderId="23" xfId="0" applyFont="1" applyFill="1" applyBorder="1" applyAlignment="1">
      <alignment vertical="top" wrapText="1"/>
    </xf>
    <xf numFmtId="0" fontId="27" fillId="20" borderId="18" xfId="0" applyFont="1" applyFill="1" applyBorder="1" applyAlignment="1">
      <alignment vertical="top" wrapText="1"/>
    </xf>
    <xf numFmtId="0" fontId="17" fillId="21" borderId="15" xfId="5" applyFont="1" applyFill="1" applyBorder="1" applyAlignment="1">
      <alignment vertical="top" wrapText="1"/>
    </xf>
    <xf numFmtId="0" fontId="17" fillId="21" borderId="63" xfId="5" applyFont="1" applyFill="1" applyBorder="1" applyAlignment="1">
      <alignment vertical="top" wrapText="1"/>
    </xf>
    <xf numFmtId="0" fontId="17" fillId="21" borderId="33" xfId="5" applyFont="1" applyFill="1" applyBorder="1" applyAlignment="1">
      <alignment vertical="top" wrapText="1"/>
    </xf>
    <xf numFmtId="0" fontId="11" fillId="13" borderId="5" xfId="0" applyFont="1" applyFill="1" applyBorder="1" applyAlignment="1">
      <alignment horizontal="center" vertical="center"/>
    </xf>
    <xf numFmtId="0" fontId="11" fillId="13" borderId="4" xfId="0" applyFont="1" applyFill="1" applyBorder="1" applyAlignment="1">
      <alignment horizontal="center" vertical="center"/>
    </xf>
    <xf numFmtId="0" fontId="11" fillId="13" borderId="5" xfId="0" applyFont="1" applyFill="1" applyBorder="1" applyAlignment="1">
      <alignment horizontal="center" vertical="center" wrapText="1"/>
    </xf>
    <xf numFmtId="0" fontId="11" fillId="13" borderId="4" xfId="0" applyFont="1" applyFill="1" applyBorder="1" applyAlignment="1">
      <alignment horizontal="center" vertical="center" wrapText="1"/>
    </xf>
    <xf numFmtId="0" fontId="11" fillId="13" borderId="1" xfId="0" applyFont="1" applyFill="1" applyBorder="1" applyAlignment="1">
      <alignment horizontal="center" vertical="center"/>
    </xf>
    <xf numFmtId="0" fontId="11" fillId="13" borderId="3" xfId="0" applyFont="1" applyFill="1" applyBorder="1" applyAlignment="1">
      <alignment horizontal="center"/>
    </xf>
    <xf numFmtId="0" fontId="11" fillId="13" borderId="24" xfId="0" applyFont="1" applyFill="1" applyBorder="1" applyAlignment="1">
      <alignment horizontal="center"/>
    </xf>
    <xf numFmtId="0" fontId="11" fillId="13" borderId="25" xfId="0" applyFont="1" applyFill="1" applyBorder="1" applyAlignment="1">
      <alignment horizontal="center"/>
    </xf>
    <xf numFmtId="164" fontId="45" fillId="24" borderId="5" xfId="3" applyFont="1" applyFill="1" applyBorder="1" applyAlignment="1">
      <alignment horizontal="center" vertical="center" wrapText="1"/>
    </xf>
    <xf numFmtId="164" fontId="45" fillId="24" borderId="4" xfId="3" applyFont="1" applyFill="1" applyBorder="1" applyAlignment="1">
      <alignment horizontal="center" vertical="center" wrapText="1"/>
    </xf>
    <xf numFmtId="164" fontId="45" fillId="24" borderId="1" xfId="3" applyFont="1" applyFill="1" applyBorder="1" applyAlignment="1">
      <alignment horizontal="center" vertical="center" wrapText="1"/>
    </xf>
    <xf numFmtId="164" fontId="45" fillId="24" borderId="6" xfId="3" applyFont="1" applyFill="1" applyBorder="1" applyAlignment="1">
      <alignment horizontal="center" vertical="center" wrapText="1"/>
    </xf>
    <xf numFmtId="164" fontId="45" fillId="24" borderId="7" xfId="3" applyFont="1" applyFill="1" applyBorder="1" applyAlignment="1">
      <alignment horizontal="center" vertical="center" wrapText="1"/>
    </xf>
    <xf numFmtId="0" fontId="45" fillId="24" borderId="8" xfId="3" applyNumberFormat="1" applyFont="1" applyFill="1" applyBorder="1" applyAlignment="1">
      <alignment horizontal="center" vertical="center" wrapText="1"/>
    </xf>
    <xf numFmtId="0" fontId="45" fillId="24" borderId="10" xfId="3" applyNumberFormat="1" applyFont="1" applyFill="1" applyBorder="1" applyAlignment="1">
      <alignment horizontal="center" vertical="center" wrapText="1"/>
    </xf>
    <xf numFmtId="0" fontId="56" fillId="36" borderId="11" xfId="3" applyNumberFormat="1" applyFont="1" applyFill="1" applyBorder="1" applyAlignment="1">
      <alignment horizontal="left" vertical="center"/>
    </xf>
    <xf numFmtId="0" fontId="45" fillId="24" borderId="1" xfId="3" applyNumberFormat="1" applyFont="1" applyFill="1" applyBorder="1" applyAlignment="1">
      <alignment horizontal="center" vertical="center"/>
    </xf>
    <xf numFmtId="0" fontId="45" fillId="24" borderId="1" xfId="3" applyNumberFormat="1" applyFont="1" applyFill="1" applyBorder="1" applyAlignment="1">
      <alignment horizontal="left" vertical="center"/>
    </xf>
    <xf numFmtId="164" fontId="45" fillId="24" borderId="1" xfId="3" applyFont="1" applyFill="1" applyBorder="1" applyAlignment="1">
      <alignment horizontal="center" vertical="center"/>
    </xf>
    <xf numFmtId="164" fontId="45" fillId="24" borderId="8" xfId="3" applyFont="1" applyFill="1" applyBorder="1" applyAlignment="1">
      <alignment horizontal="center" vertical="center" wrapText="1"/>
    </xf>
    <xf numFmtId="164" fontId="45" fillId="24" borderId="10" xfId="3" applyFont="1" applyFill="1" applyBorder="1" applyAlignment="1">
      <alignment horizontal="center" vertical="center" wrapText="1"/>
    </xf>
    <xf numFmtId="0" fontId="56" fillId="36" borderId="1" xfId="3" applyNumberFormat="1" applyFont="1" applyFill="1" applyBorder="1" applyAlignment="1">
      <alignment horizontal="left" vertical="center"/>
    </xf>
    <xf numFmtId="0" fontId="45" fillId="24" borderId="1" xfId="3" applyNumberFormat="1" applyFont="1" applyFill="1" applyBorder="1" applyAlignment="1">
      <alignment horizontal="center" vertical="center" wrapText="1"/>
    </xf>
    <xf numFmtId="164" fontId="45" fillId="15" borderId="1" xfId="3" applyFont="1" applyFill="1" applyBorder="1" applyAlignment="1">
      <alignment horizontal="center" vertical="center" wrapText="1"/>
    </xf>
    <xf numFmtId="164" fontId="55" fillId="11" borderId="11" xfId="3" applyFont="1" applyFill="1" applyBorder="1" applyAlignment="1">
      <alignment horizontal="center"/>
    </xf>
    <xf numFmtId="164" fontId="55" fillId="11" borderId="7" xfId="3" applyFont="1" applyFill="1" applyBorder="1" applyAlignment="1">
      <alignment horizontal="center"/>
    </xf>
    <xf numFmtId="43" fontId="45" fillId="12" borderId="3" xfId="1" applyFont="1" applyFill="1" applyBorder="1" applyAlignment="1">
      <alignment horizontal="center" vertical="center"/>
    </xf>
    <xf numFmtId="43" fontId="45" fillId="12" borderId="24" xfId="1" applyFont="1" applyFill="1" applyBorder="1" applyAlignment="1">
      <alignment horizontal="center" vertical="center"/>
    </xf>
    <xf numFmtId="43" fontId="45" fillId="12" borderId="25" xfId="1" applyFont="1" applyFill="1" applyBorder="1" applyAlignment="1">
      <alignment horizontal="center" vertical="center"/>
    </xf>
    <xf numFmtId="0" fontId="43" fillId="11" borderId="1" xfId="7" applyFont="1" applyFill="1" applyBorder="1" applyAlignment="1">
      <alignment horizontal="left"/>
    </xf>
    <xf numFmtId="0" fontId="43" fillId="24" borderId="1" xfId="7" applyFont="1" applyFill="1" applyBorder="1" applyAlignment="1">
      <alignment horizontal="center"/>
    </xf>
    <xf numFmtId="2" fontId="39" fillId="12" borderId="3" xfId="7" applyNumberFormat="1" applyFont="1" applyFill="1" applyBorder="1" applyAlignment="1">
      <alignment horizontal="center"/>
    </xf>
    <xf numFmtId="2" fontId="39" fillId="12" borderId="25" xfId="7" applyNumberFormat="1" applyFont="1" applyFill="1" applyBorder="1" applyAlignment="1">
      <alignment horizontal="center"/>
    </xf>
    <xf numFmtId="0" fontId="43" fillId="22" borderId="3" xfId="7" applyFont="1" applyFill="1" applyBorder="1" applyAlignment="1">
      <alignment horizontal="left"/>
    </xf>
    <xf numFmtId="0" fontId="43" fillId="22" borderId="25" xfId="7" applyFont="1" applyFill="1" applyBorder="1" applyAlignment="1">
      <alignment horizontal="left"/>
    </xf>
    <xf numFmtId="0" fontId="55" fillId="14" borderId="0" xfId="0" applyFont="1" applyFill="1"/>
    <xf numFmtId="165" fontId="32" fillId="11" borderId="3" xfId="2" applyNumberFormat="1" applyFont="1" applyFill="1" applyBorder="1" applyAlignment="1">
      <alignment horizontal="center" vertical="center"/>
    </xf>
    <xf numFmtId="0" fontId="14" fillId="15" borderId="70" xfId="0" applyFont="1" applyFill="1" applyBorder="1" applyAlignment="1">
      <alignment horizontal="center" vertical="center" wrapText="1"/>
    </xf>
    <xf numFmtId="0" fontId="14" fillId="15" borderId="71" xfId="0" applyFont="1" applyFill="1" applyBorder="1" applyAlignment="1">
      <alignment horizontal="center" vertical="center"/>
    </xf>
    <xf numFmtId="0" fontId="14" fillId="15" borderId="72" xfId="0" applyFont="1" applyFill="1" applyBorder="1" applyAlignment="1">
      <alignment horizontal="center" vertical="center"/>
    </xf>
  </cellXfs>
  <cellStyles count="15">
    <cellStyle name="Hiperlink" xfId="5" builtinId="8"/>
    <cellStyle name="Moeda" xfId="4" builtinId="4"/>
    <cellStyle name="Normal" xfId="0" builtinId="0"/>
    <cellStyle name="Normal 11" xfId="13" xr:uid="{5E75C755-C238-4AA9-894A-5C88D6358021}"/>
    <cellStyle name="Normal 2" xfId="3" xr:uid="{467FC56F-3ACF-47B5-BE33-5651283CE860}"/>
    <cellStyle name="Normal 2 2" xfId="7" xr:uid="{306B3D33-A82C-44CD-A2E5-C817CD839FDF}"/>
    <cellStyle name="Normal 3" xfId="6" xr:uid="{67F2C4D4-14D2-42E8-8E7C-C07EEEA4B7FC}"/>
    <cellStyle name="Normal 3 2" xfId="8" xr:uid="{65B583B3-4593-4834-A86D-76B2C63663C9}"/>
    <cellStyle name="Normal 4" xfId="10" xr:uid="{17DA5A90-C296-4DC2-B4E3-18CA3BEECA08}"/>
    <cellStyle name="Normal 5" xfId="11" xr:uid="{F89E3524-438D-4747-8736-9041972D1E97}"/>
    <cellStyle name="Normal 6" xfId="14" xr:uid="{6667B9D7-3FC1-4ED5-95DF-87F9101F1724}"/>
    <cellStyle name="Porcentagem" xfId="2" builtinId="5"/>
    <cellStyle name="Porcentagem 2" xfId="9" xr:uid="{6BC25D13-E60C-4150-A0CC-AB7D42F7F41A}"/>
    <cellStyle name="Vírgula" xfId="1" builtinId="3"/>
    <cellStyle name="Vírgula 2" xfId="12" xr:uid="{0618A76D-2333-4FED-897C-5C32DEF34E96}"/>
  </cellStyles>
  <dxfs count="10">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FF99"/>
        </patternFill>
      </fill>
    </dxf>
    <dxf>
      <fill>
        <patternFill>
          <bgColor rgb="FFFFFF99"/>
        </patternFill>
      </fill>
    </dxf>
    <dxf>
      <fill>
        <patternFill>
          <fgColor theme="0"/>
          <bgColor rgb="FFFF9999"/>
        </patternFill>
      </fill>
    </dxf>
    <dxf>
      <fill>
        <patternFill>
          <bgColor rgb="FFFFFF99"/>
        </patternFill>
      </fill>
    </dxf>
  </dxfs>
  <tableStyles count="0" defaultTableStyle="TableStyleMedium2" defaultPivotStyle="PivotStyleLight16"/>
  <colors>
    <mruColors>
      <color rgb="FFEADB2B"/>
      <color rgb="FFFF9999"/>
      <color rgb="FFFF9900"/>
      <color rgb="FFFF9966"/>
      <color rgb="FFFFFF99"/>
      <color rgb="FFFFFFCC"/>
      <color rgb="FFFED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openxmlformats.org/officeDocument/2006/relationships/customXml" Target="../customXml/item1.xml"/><Relationship Id="rId3" Type="http://schemas.openxmlformats.org/officeDocument/2006/relationships/worksheet" Target="worksheets/sheet3.xml"/><Relationship Id="rId21" Type="http://schemas.microsoft.com/office/2022/10/relationships/richValueRel" Target="richData/richValueRel.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Structure" Target="richData/rdrichvaluestructure.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 Target="richData/rdrichvalue.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Investimento</a:t>
            </a:r>
            <a:r>
              <a:rPr lang="pt-BR" baseline="0"/>
              <a:t> x Retorno</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ROI!$F$2</c:f>
              <c:strCache>
                <c:ptCount val="1"/>
                <c:pt idx="0">
                  <c:v>Month</c:v>
                </c:pt>
              </c:strCache>
            </c:strRef>
          </c:tx>
          <c:spPr>
            <a:solidFill>
              <a:schemeClr val="accent1"/>
            </a:solidFill>
            <a:ln>
              <a:noFill/>
            </a:ln>
            <a:effectLst/>
          </c:spPr>
          <c:invertIfNegative val="0"/>
          <c:val>
            <c:numRef>
              <c:f>ROI!$G$2:$AV$2</c:f>
              <c:numCache>
                <c:formatCode>0</c:formatCode>
                <c:ptCount val="4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numCache>
            </c:numRef>
          </c:val>
          <c:extLst>
            <c:ext xmlns:c16="http://schemas.microsoft.com/office/drawing/2014/chart" uri="{C3380CC4-5D6E-409C-BE32-E72D297353CC}">
              <c16:uniqueId val="{00000000-47F6-43DF-907E-C3622C9E147A}"/>
            </c:ext>
          </c:extLst>
        </c:ser>
        <c:ser>
          <c:idx val="1"/>
          <c:order val="1"/>
          <c:tx>
            <c:strRef>
              <c:f>ROI!$F$4</c:f>
              <c:strCache>
                <c:ptCount val="1"/>
                <c:pt idx="0">
                  <c:v>(A) Investiment</c:v>
                </c:pt>
              </c:strCache>
            </c:strRef>
          </c:tx>
          <c:spPr>
            <a:solidFill>
              <a:schemeClr val="accent2"/>
            </a:solidFill>
            <a:ln>
              <a:noFill/>
            </a:ln>
            <a:effectLst/>
          </c:spPr>
          <c:invertIfNegative val="0"/>
          <c:val>
            <c:numRef>
              <c:f>ROI!$G$4:$AP$4</c:f>
              <c:numCache>
                <c:formatCode>0</c:formatCode>
                <c:ptCount val="36"/>
                <c:pt idx="0">
                  <c:v>24.283333333333335</c:v>
                </c:pt>
                <c:pt idx="1">
                  <c:v>24.283333333333335</c:v>
                </c:pt>
                <c:pt idx="2">
                  <c:v>24.283333333333335</c:v>
                </c:pt>
                <c:pt idx="3">
                  <c:v>24.283333333333335</c:v>
                </c:pt>
                <c:pt idx="4">
                  <c:v>24.283333333333335</c:v>
                </c:pt>
                <c:pt idx="5">
                  <c:v>24.283333333333335</c:v>
                </c:pt>
                <c:pt idx="6">
                  <c:v>3.2250000000000001</c:v>
                </c:pt>
                <c:pt idx="7">
                  <c:v>3.2250000000000001</c:v>
                </c:pt>
                <c:pt idx="8">
                  <c:v>3.2250000000000001</c:v>
                </c:pt>
                <c:pt idx="9">
                  <c:v>3.2250000000000001</c:v>
                </c:pt>
                <c:pt idx="10">
                  <c:v>3.2250000000000001</c:v>
                </c:pt>
                <c:pt idx="11">
                  <c:v>3.2250000000000001</c:v>
                </c:pt>
                <c:pt idx="12">
                  <c:v>3.2250000000000001</c:v>
                </c:pt>
                <c:pt idx="13">
                  <c:v>3.2250000000000001</c:v>
                </c:pt>
                <c:pt idx="14">
                  <c:v>3.2250000000000001</c:v>
                </c:pt>
                <c:pt idx="15">
                  <c:v>3.2250000000000001</c:v>
                </c:pt>
                <c:pt idx="16">
                  <c:v>3.2250000000000001</c:v>
                </c:pt>
                <c:pt idx="17">
                  <c:v>3.2250000000000001</c:v>
                </c:pt>
                <c:pt idx="18">
                  <c:v>3.2250000000000001</c:v>
                </c:pt>
                <c:pt idx="19">
                  <c:v>3.2250000000000001</c:v>
                </c:pt>
                <c:pt idx="20">
                  <c:v>3.2250000000000001</c:v>
                </c:pt>
                <c:pt idx="21">
                  <c:v>3.2250000000000001</c:v>
                </c:pt>
                <c:pt idx="22">
                  <c:v>3.2250000000000001</c:v>
                </c:pt>
                <c:pt idx="23">
                  <c:v>3.2250000000000001</c:v>
                </c:pt>
                <c:pt idx="24">
                  <c:v>3.2250000000000001</c:v>
                </c:pt>
                <c:pt idx="25">
                  <c:v>3.2250000000000001</c:v>
                </c:pt>
                <c:pt idx="26">
                  <c:v>3.2250000000000001</c:v>
                </c:pt>
                <c:pt idx="27">
                  <c:v>3.2250000000000001</c:v>
                </c:pt>
                <c:pt idx="28">
                  <c:v>3.2250000000000001</c:v>
                </c:pt>
                <c:pt idx="29">
                  <c:v>3.2250000000000001</c:v>
                </c:pt>
                <c:pt idx="30">
                  <c:v>3.2250000000000001</c:v>
                </c:pt>
                <c:pt idx="31">
                  <c:v>3.2250000000000001</c:v>
                </c:pt>
                <c:pt idx="32">
                  <c:v>3.2250000000000001</c:v>
                </c:pt>
                <c:pt idx="33">
                  <c:v>3.2250000000000001</c:v>
                </c:pt>
                <c:pt idx="34">
                  <c:v>3.2250000000000001</c:v>
                </c:pt>
                <c:pt idx="35">
                  <c:v>3.2250000000000001</c:v>
                </c:pt>
              </c:numCache>
            </c:numRef>
          </c:val>
          <c:extLst>
            <c:ext xmlns:c16="http://schemas.microsoft.com/office/drawing/2014/chart" uri="{C3380CC4-5D6E-409C-BE32-E72D297353CC}">
              <c16:uniqueId val="{00000001-47F6-43DF-907E-C3622C9E147A}"/>
            </c:ext>
          </c:extLst>
        </c:ser>
        <c:ser>
          <c:idx val="2"/>
          <c:order val="2"/>
          <c:tx>
            <c:strRef>
              <c:f>ROI!$F$5</c:f>
              <c:strCache>
                <c:ptCount val="1"/>
                <c:pt idx="0">
                  <c:v>(B) Benefits</c:v>
                </c:pt>
              </c:strCache>
            </c:strRef>
          </c:tx>
          <c:spPr>
            <a:solidFill>
              <a:schemeClr val="accent3"/>
            </a:solidFill>
            <a:ln>
              <a:noFill/>
            </a:ln>
            <a:effectLst/>
          </c:spPr>
          <c:invertIfNegative val="0"/>
          <c:val>
            <c:numRef>
              <c:f>ROI!$G$5:$AV$5</c:f>
              <c:numCache>
                <c:formatCode>0</c:formatCode>
                <c:ptCount val="42"/>
                <c:pt idx="0">
                  <c:v>0</c:v>
                </c:pt>
                <c:pt idx="1">
                  <c:v>0</c:v>
                </c:pt>
                <c:pt idx="2">
                  <c:v>0</c:v>
                </c:pt>
                <c:pt idx="3">
                  <c:v>0</c:v>
                </c:pt>
                <c:pt idx="4">
                  <c:v>0</c:v>
                </c:pt>
                <c:pt idx="5">
                  <c:v>0</c:v>
                </c:pt>
                <c:pt idx="6">
                  <c:v>13.416666666666666</c:v>
                </c:pt>
                <c:pt idx="7">
                  <c:v>13.416666666666666</c:v>
                </c:pt>
                <c:pt idx="8">
                  <c:v>13.416666666666666</c:v>
                </c:pt>
                <c:pt idx="9">
                  <c:v>13.416666666666666</c:v>
                </c:pt>
                <c:pt idx="10">
                  <c:v>13.416666666666666</c:v>
                </c:pt>
                <c:pt idx="11">
                  <c:v>13.416666666666666</c:v>
                </c:pt>
                <c:pt idx="12">
                  <c:v>13.416666666666666</c:v>
                </c:pt>
                <c:pt idx="13">
                  <c:v>13.416666666666666</c:v>
                </c:pt>
                <c:pt idx="14">
                  <c:v>13.416666666666666</c:v>
                </c:pt>
                <c:pt idx="15">
                  <c:v>13.416666666666666</c:v>
                </c:pt>
                <c:pt idx="16">
                  <c:v>13.416666666666666</c:v>
                </c:pt>
                <c:pt idx="17">
                  <c:v>13.416666666666666</c:v>
                </c:pt>
                <c:pt idx="18">
                  <c:v>13.416666666666666</c:v>
                </c:pt>
                <c:pt idx="19">
                  <c:v>13.416666666666666</c:v>
                </c:pt>
                <c:pt idx="20">
                  <c:v>13.416666666666666</c:v>
                </c:pt>
                <c:pt idx="21">
                  <c:v>13.416666666666666</c:v>
                </c:pt>
                <c:pt idx="22">
                  <c:v>13.416666666666666</c:v>
                </c:pt>
                <c:pt idx="23">
                  <c:v>13.416666666666666</c:v>
                </c:pt>
                <c:pt idx="24">
                  <c:v>13.416666666666666</c:v>
                </c:pt>
                <c:pt idx="25">
                  <c:v>13.416666666666666</c:v>
                </c:pt>
                <c:pt idx="26">
                  <c:v>13.416666666666666</c:v>
                </c:pt>
                <c:pt idx="27">
                  <c:v>13.416666666666666</c:v>
                </c:pt>
                <c:pt idx="28">
                  <c:v>13.416666666666666</c:v>
                </c:pt>
                <c:pt idx="29">
                  <c:v>13.416666666666666</c:v>
                </c:pt>
                <c:pt idx="30">
                  <c:v>13.416666666666666</c:v>
                </c:pt>
                <c:pt idx="31">
                  <c:v>13.416666666666666</c:v>
                </c:pt>
                <c:pt idx="32">
                  <c:v>13.416666666666666</c:v>
                </c:pt>
                <c:pt idx="33">
                  <c:v>13.416666666666666</c:v>
                </c:pt>
                <c:pt idx="34">
                  <c:v>13.416666666666666</c:v>
                </c:pt>
                <c:pt idx="35">
                  <c:v>13.416666666666666</c:v>
                </c:pt>
                <c:pt idx="36">
                  <c:v>13.416666666666666</c:v>
                </c:pt>
                <c:pt idx="37">
                  <c:v>13.416666666666666</c:v>
                </c:pt>
                <c:pt idx="38">
                  <c:v>13.416666666666666</c:v>
                </c:pt>
                <c:pt idx="39">
                  <c:v>13.416666666666666</c:v>
                </c:pt>
                <c:pt idx="40">
                  <c:v>13.416666666666666</c:v>
                </c:pt>
                <c:pt idx="41">
                  <c:v>13.416666666666666</c:v>
                </c:pt>
              </c:numCache>
            </c:numRef>
          </c:val>
          <c:extLst>
            <c:ext xmlns:c16="http://schemas.microsoft.com/office/drawing/2014/chart" uri="{C3380CC4-5D6E-409C-BE32-E72D297353CC}">
              <c16:uniqueId val="{00000002-47F6-43DF-907E-C3622C9E147A}"/>
            </c:ext>
          </c:extLst>
        </c:ser>
        <c:ser>
          <c:idx val="3"/>
          <c:order val="3"/>
          <c:tx>
            <c:strRef>
              <c:f>ROI!$F$6</c:f>
              <c:strCache>
                <c:ptCount val="1"/>
                <c:pt idx="0">
                  <c:v>(B-A)</c:v>
                </c:pt>
              </c:strCache>
            </c:strRef>
          </c:tx>
          <c:spPr>
            <a:solidFill>
              <a:schemeClr val="accent4"/>
            </a:solidFill>
            <a:ln>
              <a:noFill/>
            </a:ln>
            <a:effectLst/>
          </c:spPr>
          <c:invertIfNegative val="0"/>
          <c:val>
            <c:numRef>
              <c:f>ROI!$G$6:$AV$6</c:f>
              <c:numCache>
                <c:formatCode>0</c:formatCode>
                <c:ptCount val="42"/>
                <c:pt idx="0">
                  <c:v>-24.283333333333335</c:v>
                </c:pt>
                <c:pt idx="1">
                  <c:v>-24.283333333333335</c:v>
                </c:pt>
                <c:pt idx="2">
                  <c:v>-24.283333333333335</c:v>
                </c:pt>
                <c:pt idx="3">
                  <c:v>-24.283333333333335</c:v>
                </c:pt>
                <c:pt idx="4">
                  <c:v>-24.283333333333335</c:v>
                </c:pt>
                <c:pt idx="5">
                  <c:v>-24.283333333333335</c:v>
                </c:pt>
                <c:pt idx="6">
                  <c:v>10.191666666666666</c:v>
                </c:pt>
                <c:pt idx="7">
                  <c:v>10.191666666666666</c:v>
                </c:pt>
                <c:pt idx="8">
                  <c:v>10.191666666666666</c:v>
                </c:pt>
                <c:pt idx="9">
                  <c:v>10.191666666666666</c:v>
                </c:pt>
                <c:pt idx="10">
                  <c:v>10.191666666666666</c:v>
                </c:pt>
                <c:pt idx="11">
                  <c:v>10.191666666666666</c:v>
                </c:pt>
                <c:pt idx="12">
                  <c:v>10.191666666666666</c:v>
                </c:pt>
                <c:pt idx="13">
                  <c:v>10.191666666666666</c:v>
                </c:pt>
                <c:pt idx="14">
                  <c:v>10.191666666666666</c:v>
                </c:pt>
                <c:pt idx="15">
                  <c:v>10.191666666666666</c:v>
                </c:pt>
                <c:pt idx="16">
                  <c:v>10.191666666666666</c:v>
                </c:pt>
                <c:pt idx="17">
                  <c:v>10.191666666666666</c:v>
                </c:pt>
                <c:pt idx="18">
                  <c:v>10.191666666666666</c:v>
                </c:pt>
                <c:pt idx="19">
                  <c:v>10.191666666666666</c:v>
                </c:pt>
                <c:pt idx="20">
                  <c:v>10.191666666666666</c:v>
                </c:pt>
                <c:pt idx="21">
                  <c:v>10.191666666666666</c:v>
                </c:pt>
                <c:pt idx="22">
                  <c:v>10.191666666666666</c:v>
                </c:pt>
                <c:pt idx="23">
                  <c:v>10.191666666666666</c:v>
                </c:pt>
                <c:pt idx="24">
                  <c:v>10.191666666666666</c:v>
                </c:pt>
                <c:pt idx="25">
                  <c:v>10.191666666666666</c:v>
                </c:pt>
                <c:pt idx="26">
                  <c:v>10.191666666666666</c:v>
                </c:pt>
                <c:pt idx="27">
                  <c:v>10.191666666666666</c:v>
                </c:pt>
                <c:pt idx="28">
                  <c:v>10.191666666666666</c:v>
                </c:pt>
                <c:pt idx="29">
                  <c:v>10.191666666666666</c:v>
                </c:pt>
                <c:pt idx="30">
                  <c:v>10.191666666666666</c:v>
                </c:pt>
                <c:pt idx="31">
                  <c:v>10.191666666666666</c:v>
                </c:pt>
                <c:pt idx="32">
                  <c:v>10.191666666666666</c:v>
                </c:pt>
                <c:pt idx="33">
                  <c:v>10.191666666666666</c:v>
                </c:pt>
                <c:pt idx="34">
                  <c:v>10.191666666666666</c:v>
                </c:pt>
                <c:pt idx="35">
                  <c:v>10.191666666666666</c:v>
                </c:pt>
                <c:pt idx="36">
                  <c:v>10.191666666666666</c:v>
                </c:pt>
                <c:pt idx="37">
                  <c:v>10.191666666666666</c:v>
                </c:pt>
                <c:pt idx="38">
                  <c:v>10.191666666666666</c:v>
                </c:pt>
                <c:pt idx="39">
                  <c:v>10.191666666666666</c:v>
                </c:pt>
                <c:pt idx="40">
                  <c:v>10.191666666666666</c:v>
                </c:pt>
                <c:pt idx="41">
                  <c:v>10.191666666666666</c:v>
                </c:pt>
              </c:numCache>
            </c:numRef>
          </c:val>
          <c:extLst>
            <c:ext xmlns:c16="http://schemas.microsoft.com/office/drawing/2014/chart" uri="{C3380CC4-5D6E-409C-BE32-E72D297353CC}">
              <c16:uniqueId val="{00000003-47F6-43DF-907E-C3622C9E147A}"/>
            </c:ext>
          </c:extLst>
        </c:ser>
        <c:ser>
          <c:idx val="4"/>
          <c:order val="4"/>
          <c:tx>
            <c:strRef>
              <c:f>ROI!$F$7</c:f>
              <c:strCache>
                <c:ptCount val="1"/>
                <c:pt idx="0">
                  <c:v>(B-A) Acummulated</c:v>
                </c:pt>
              </c:strCache>
            </c:strRef>
          </c:tx>
          <c:spPr>
            <a:solidFill>
              <a:schemeClr val="accent5"/>
            </a:solidFill>
            <a:ln>
              <a:noFill/>
            </a:ln>
            <a:effectLst/>
          </c:spPr>
          <c:invertIfNegative val="0"/>
          <c:val>
            <c:numRef>
              <c:f>ROI!$G$7:$AV$7</c:f>
              <c:numCache>
                <c:formatCode>0</c:formatCode>
                <c:ptCount val="42"/>
                <c:pt idx="0">
                  <c:v>-24.283333333333335</c:v>
                </c:pt>
                <c:pt idx="1">
                  <c:v>-48.56666666666667</c:v>
                </c:pt>
                <c:pt idx="2">
                  <c:v>-72.850000000000009</c:v>
                </c:pt>
                <c:pt idx="3">
                  <c:v>-97.13333333333334</c:v>
                </c:pt>
                <c:pt idx="4">
                  <c:v>-121.41666666666667</c:v>
                </c:pt>
                <c:pt idx="5">
                  <c:v>-145.70000000000002</c:v>
                </c:pt>
                <c:pt idx="6">
                  <c:v>-135.50833333333335</c:v>
                </c:pt>
                <c:pt idx="7">
                  <c:v>-125.31666666666669</c:v>
                </c:pt>
                <c:pt idx="8">
                  <c:v>-115.12500000000003</c:v>
                </c:pt>
                <c:pt idx="9">
                  <c:v>-104.93333333333337</c:v>
                </c:pt>
                <c:pt idx="10">
                  <c:v>-94.741666666666703</c:v>
                </c:pt>
                <c:pt idx="11">
                  <c:v>-84.55000000000004</c:v>
                </c:pt>
                <c:pt idx="12">
                  <c:v>-74.358333333333377</c:v>
                </c:pt>
                <c:pt idx="13">
                  <c:v>-64.166666666666714</c:v>
                </c:pt>
                <c:pt idx="14">
                  <c:v>-53.975000000000051</c:v>
                </c:pt>
                <c:pt idx="15">
                  <c:v>-43.783333333333388</c:v>
                </c:pt>
                <c:pt idx="16">
                  <c:v>-33.591666666666725</c:v>
                </c:pt>
                <c:pt idx="17">
                  <c:v>-23.400000000000059</c:v>
                </c:pt>
                <c:pt idx="18">
                  <c:v>-13.208333333333393</c:v>
                </c:pt>
                <c:pt idx="19">
                  <c:v>-3.0166666666667261</c:v>
                </c:pt>
                <c:pt idx="20">
                  <c:v>7.1749999999999403</c:v>
                </c:pt>
                <c:pt idx="21">
                  <c:v>17.366666666666607</c:v>
                </c:pt>
                <c:pt idx="22">
                  <c:v>27.558333333333273</c:v>
                </c:pt>
                <c:pt idx="23">
                  <c:v>37.749999999999943</c:v>
                </c:pt>
                <c:pt idx="24">
                  <c:v>47.941666666666606</c:v>
                </c:pt>
                <c:pt idx="25">
                  <c:v>58.133333333333269</c:v>
                </c:pt>
                <c:pt idx="26">
                  <c:v>68.324999999999932</c:v>
                </c:pt>
                <c:pt idx="27">
                  <c:v>78.516666666666595</c:v>
                </c:pt>
                <c:pt idx="28">
                  <c:v>88.708333333333258</c:v>
                </c:pt>
                <c:pt idx="29">
                  <c:v>98.89999999999992</c:v>
                </c:pt>
                <c:pt idx="30">
                  <c:v>109.09166666666658</c:v>
                </c:pt>
                <c:pt idx="31">
                  <c:v>119.28333333333325</c:v>
                </c:pt>
                <c:pt idx="32">
                  <c:v>129.47499999999991</c:v>
                </c:pt>
                <c:pt idx="33">
                  <c:v>139.66666666666657</c:v>
                </c:pt>
                <c:pt idx="34">
                  <c:v>149.85833333333323</c:v>
                </c:pt>
                <c:pt idx="35">
                  <c:v>160.0499999999999</c:v>
                </c:pt>
                <c:pt idx="36">
                  <c:v>170.24166666666656</c:v>
                </c:pt>
                <c:pt idx="37">
                  <c:v>180.43333333333322</c:v>
                </c:pt>
                <c:pt idx="38">
                  <c:v>190.62499999999989</c:v>
                </c:pt>
                <c:pt idx="39">
                  <c:v>200.81666666666655</c:v>
                </c:pt>
                <c:pt idx="40">
                  <c:v>211.00833333333321</c:v>
                </c:pt>
                <c:pt idx="41">
                  <c:v>221.19999999999987</c:v>
                </c:pt>
              </c:numCache>
            </c:numRef>
          </c:val>
          <c:extLst>
            <c:ext xmlns:c16="http://schemas.microsoft.com/office/drawing/2014/chart" uri="{C3380CC4-5D6E-409C-BE32-E72D297353CC}">
              <c16:uniqueId val="{00000004-47F6-43DF-907E-C3622C9E147A}"/>
            </c:ext>
          </c:extLst>
        </c:ser>
        <c:dLbls>
          <c:showLegendKey val="0"/>
          <c:showVal val="0"/>
          <c:showCatName val="0"/>
          <c:showSerName val="0"/>
          <c:showPercent val="0"/>
          <c:showBubbleSize val="0"/>
        </c:dLbls>
        <c:gapWidth val="219"/>
        <c:overlap val="-27"/>
        <c:axId val="2124125296"/>
        <c:axId val="2124130576"/>
      </c:barChart>
      <c:catAx>
        <c:axId val="21241252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124130576"/>
        <c:crosses val="autoZero"/>
        <c:auto val="1"/>
        <c:lblAlgn val="ctr"/>
        <c:lblOffset val="100"/>
        <c:noMultiLvlLbl val="0"/>
      </c:catAx>
      <c:valAx>
        <c:axId val="21241305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124125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8</xdr:col>
      <xdr:colOff>601980</xdr:colOff>
      <xdr:row>0</xdr:row>
      <xdr:rowOff>114300</xdr:rowOff>
    </xdr:from>
    <xdr:to>
      <xdr:col>12</xdr:col>
      <xdr:colOff>312420</xdr:colOff>
      <xdr:row>7</xdr:row>
      <xdr:rowOff>7620</xdr:rowOff>
    </xdr:to>
    <xdr:pic>
      <xdr:nvPicPr>
        <xdr:cNvPr id="2" name="Imagem 1">
          <a:extLst>
            <a:ext uri="{FF2B5EF4-FFF2-40B4-BE49-F238E27FC236}">
              <a16:creationId xmlns:a16="http://schemas.microsoft.com/office/drawing/2014/main" id="{4A79A08F-1A0E-4DC1-8C20-C04DC5AA7C0F}"/>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1631" b="20520"/>
        <a:stretch/>
      </xdr:blipFill>
      <xdr:spPr bwMode="auto">
        <a:xfrm>
          <a:off x="5143500" y="114300"/>
          <a:ext cx="2148840" cy="1066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152400</xdr:colOff>
      <xdr:row>0</xdr:row>
      <xdr:rowOff>0</xdr:rowOff>
    </xdr:from>
    <xdr:to>
      <xdr:col>1</xdr:col>
      <xdr:colOff>1958340</xdr:colOff>
      <xdr:row>6</xdr:row>
      <xdr:rowOff>59055</xdr:rowOff>
    </xdr:to>
    <xdr:pic>
      <xdr:nvPicPr>
        <xdr:cNvPr id="2" name="Imagem 1">
          <a:extLst>
            <a:ext uri="{FF2B5EF4-FFF2-40B4-BE49-F238E27FC236}">
              <a16:creationId xmlns:a16="http://schemas.microsoft.com/office/drawing/2014/main" id="{75C6D2BA-C427-40E8-84A6-246415D4D5D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1631" b="20520"/>
        <a:stretch/>
      </xdr:blipFill>
      <xdr:spPr bwMode="auto">
        <a:xfrm>
          <a:off x="152400" y="0"/>
          <a:ext cx="2152650" cy="1068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152400</xdr:colOff>
      <xdr:row>0</xdr:row>
      <xdr:rowOff>0</xdr:rowOff>
    </xdr:from>
    <xdr:to>
      <xdr:col>1</xdr:col>
      <xdr:colOff>1962150</xdr:colOff>
      <xdr:row>5</xdr:row>
      <xdr:rowOff>167640</xdr:rowOff>
    </xdr:to>
    <xdr:pic>
      <xdr:nvPicPr>
        <xdr:cNvPr id="2" name="Imagem 1">
          <a:extLst>
            <a:ext uri="{FF2B5EF4-FFF2-40B4-BE49-F238E27FC236}">
              <a16:creationId xmlns:a16="http://schemas.microsoft.com/office/drawing/2014/main" id="{E828977C-F33C-45F6-9D81-AE38B2A89EB6}"/>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1631" b="20520"/>
        <a:stretch/>
      </xdr:blipFill>
      <xdr:spPr bwMode="auto">
        <a:xfrm>
          <a:off x="152400" y="0"/>
          <a:ext cx="2152650" cy="1068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325120</xdr:colOff>
      <xdr:row>0</xdr:row>
      <xdr:rowOff>42333</xdr:rowOff>
    </xdr:from>
    <xdr:to>
      <xdr:col>2</xdr:col>
      <xdr:colOff>2473960</xdr:colOff>
      <xdr:row>6</xdr:row>
      <xdr:rowOff>2540</xdr:rowOff>
    </xdr:to>
    <xdr:pic>
      <xdr:nvPicPr>
        <xdr:cNvPr id="2" name="Imagem 1">
          <a:extLst>
            <a:ext uri="{FF2B5EF4-FFF2-40B4-BE49-F238E27FC236}">
              <a16:creationId xmlns:a16="http://schemas.microsoft.com/office/drawing/2014/main" id="{5A6CC64C-CD43-4BE8-83A0-656E1AD156D2}"/>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1631" b="20520"/>
        <a:stretch/>
      </xdr:blipFill>
      <xdr:spPr bwMode="auto">
        <a:xfrm>
          <a:off x="1391920" y="42333"/>
          <a:ext cx="2148840" cy="10574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1396813</xdr:colOff>
      <xdr:row>0</xdr:row>
      <xdr:rowOff>22412</xdr:rowOff>
    </xdr:from>
    <xdr:to>
      <xdr:col>0</xdr:col>
      <xdr:colOff>3527612</xdr:colOff>
      <xdr:row>6</xdr:row>
      <xdr:rowOff>77657</xdr:rowOff>
    </xdr:to>
    <xdr:pic>
      <xdr:nvPicPr>
        <xdr:cNvPr id="2" name="Imagem 1">
          <a:extLst>
            <a:ext uri="{FF2B5EF4-FFF2-40B4-BE49-F238E27FC236}">
              <a16:creationId xmlns:a16="http://schemas.microsoft.com/office/drawing/2014/main" id="{87BE1458-B425-4857-AA36-7ACA2F1700AF}"/>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1631" b="20520"/>
        <a:stretch/>
      </xdr:blipFill>
      <xdr:spPr bwMode="auto">
        <a:xfrm>
          <a:off x="1396813" y="22412"/>
          <a:ext cx="2142229" cy="10637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152400</xdr:colOff>
      <xdr:row>0</xdr:row>
      <xdr:rowOff>0</xdr:rowOff>
    </xdr:from>
    <xdr:to>
      <xdr:col>1</xdr:col>
      <xdr:colOff>1962150</xdr:colOff>
      <xdr:row>5</xdr:row>
      <xdr:rowOff>167640</xdr:rowOff>
    </xdr:to>
    <xdr:pic>
      <xdr:nvPicPr>
        <xdr:cNvPr id="2" name="Imagem 1">
          <a:extLst>
            <a:ext uri="{FF2B5EF4-FFF2-40B4-BE49-F238E27FC236}">
              <a16:creationId xmlns:a16="http://schemas.microsoft.com/office/drawing/2014/main" id="{E576C644-99B6-427F-B9DB-DB236BB138FC}"/>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1631" b="20520"/>
        <a:stretch/>
      </xdr:blipFill>
      <xdr:spPr bwMode="auto">
        <a:xfrm>
          <a:off x="152400" y="0"/>
          <a:ext cx="2152650" cy="1074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163406</xdr:colOff>
      <xdr:row>9</xdr:row>
      <xdr:rowOff>61383</xdr:rowOff>
    </xdr:from>
    <xdr:to>
      <xdr:col>21</xdr:col>
      <xdr:colOff>550333</xdr:colOff>
      <xdr:row>29</xdr:row>
      <xdr:rowOff>33867</xdr:rowOff>
    </xdr:to>
    <xdr:graphicFrame macro="">
      <xdr:nvGraphicFramePr>
        <xdr:cNvPr id="2" name="Gráfico 1">
          <a:extLst>
            <a:ext uri="{FF2B5EF4-FFF2-40B4-BE49-F238E27FC236}">
              <a16:creationId xmlns:a16="http://schemas.microsoft.com/office/drawing/2014/main" id="{1D26AB8B-7C3A-4B86-8B1A-999760334B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Tema do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B32" dT="2020-01-31T18:37:34.10" personId="{00000000-0000-0000-0000-000000000000}" id="{CF9839B4-9745-4D63-8525-BAC727DA5DA9}">
    <text>Padrão: 2</text>
  </threadedComment>
  <threadedComment ref="D32" dT="2020-01-31T13:06:53.17" personId="{00000000-0000-0000-0000-000000000000}" id="{5A022127-D859-4613-A531-7C42A25BC3A4}">
    <text>Caso não seja industrialização, alterar Margem.</text>
  </threadedComment>
  <threadedComment ref="B33" dT="2020-01-31T18:37:39.92" personId="{00000000-0000-0000-0000-000000000000}" id="{8F4A988F-24AC-4DCF-8B2C-9490B3672691}">
    <text>Padrão: 40</text>
  </threadedComment>
  <threadedComment ref="B34" dT="2020-01-31T18:37:49.09" personId="{00000000-0000-0000-0000-000000000000}" id="{92E5C8D6-299F-457F-BFE4-FCA46A289825}">
    <text>Padrão: 8</text>
  </threadedComment>
  <threadedComment ref="B35" dT="2020-01-31T18:37:58.16" personId="{00000000-0000-0000-0000-000000000000}" id="{C800D11A-3A71-4809-AAE0-09A47C205776}">
    <text>Padrão: 1 para projetos na Setta - 0 para projetos JPC (RMBH). Alterar conforme ocasião em caso de necessitarmos enviar equipamentos para clietne final</text>
  </threadedComment>
</ThreadedComments>
</file>

<file path=xl/threadedComments/threadedComment2.xml><?xml version="1.0" encoding="utf-8"?>
<ThreadedComments xmlns="http://schemas.microsoft.com/office/spreadsheetml/2018/threadedcomments" xmlns:x="http://schemas.openxmlformats.org/spreadsheetml/2006/main">
  <threadedComment ref="B32" dT="2020-01-31T18:37:34.10" personId="{00000000-0000-0000-0000-000000000000}" id="{E4877981-21B6-44B5-A409-74F678A431C4}">
    <text>Padrão: 2</text>
  </threadedComment>
  <threadedComment ref="D32" dT="2020-01-31T13:06:53.17" personId="{00000000-0000-0000-0000-000000000000}" id="{8CBED06D-C623-422D-A8FD-8A01831E1E08}">
    <text>Caso não seja industrialização, alterar Margem.</text>
  </threadedComment>
  <threadedComment ref="B33" dT="2020-01-31T18:37:39.92" personId="{00000000-0000-0000-0000-000000000000}" id="{A0C15D8F-84A1-40A4-BEAE-D8F41406DB9C}">
    <text>Padrão: 40</text>
  </threadedComment>
  <threadedComment ref="B34" dT="2020-01-31T18:37:49.09" personId="{00000000-0000-0000-0000-000000000000}" id="{D8C5BF00-F773-47C9-8AB7-440DA744074B}">
    <text>Padrão: 8</text>
  </threadedComment>
  <threadedComment ref="B35" dT="2020-01-31T18:37:58.16" personId="{00000000-0000-0000-0000-000000000000}" id="{4E7673D7-26DC-4BE9-823C-FB4FB1AD35A2}">
    <text>Padrão: 1 para projetos na Setta - 0 para projetos JPC (RMBH). Alterar conforme ocasião em caso de necessitarmos enviar equipamentos para clietne final</text>
  </threadedComment>
  <threadedComment ref="B62" dT="2020-01-31T18:37:34.10" personId="{00000000-0000-0000-0000-000000000000}" id="{93533D6F-AAF4-4A7A-AAFF-643DB7EA6B66}">
    <text>Padrão: 2</text>
  </threadedComment>
  <threadedComment ref="D62" dT="2020-01-31T13:06:53.17" personId="{00000000-0000-0000-0000-000000000000}" id="{201ACB15-8DE6-4454-9378-C81A93ABF867}">
    <text>Caso não seja industrialização, alterar Margem.</text>
  </threadedComment>
  <threadedComment ref="B63" dT="2020-01-31T18:37:39.92" personId="{00000000-0000-0000-0000-000000000000}" id="{61D773A5-8494-44C1-8D38-20118885114E}">
    <text>Padrão: 40</text>
  </threadedComment>
  <threadedComment ref="B64" dT="2020-01-31T18:37:49.09" personId="{00000000-0000-0000-0000-000000000000}" id="{B0319D4C-317D-4074-9C79-CD5AA4E80834}">
    <text>Padrão: 8</text>
  </threadedComment>
  <threadedComment ref="B65" dT="2020-01-31T18:37:58.16" personId="{00000000-0000-0000-0000-000000000000}" id="{F81CD2FA-9378-482B-A149-B75DBAE31C5E}">
    <text>Padrão: 1 para projetos na Setta - 0 para projetos JPC (RMBH). Alterar conforme ocasião em caso de necessitarmos enviar equipamentos para clietne final</text>
  </threadedComment>
  <threadedComment ref="B92" dT="2020-01-31T18:37:34.10" personId="{00000000-0000-0000-0000-000000000000}" id="{A1313CBE-4096-4420-AEB7-34252CED9F33}">
    <text>Padrão: 2</text>
  </threadedComment>
  <threadedComment ref="D92" dT="2020-01-31T13:06:53.17" personId="{00000000-0000-0000-0000-000000000000}" id="{8236BA4F-C1DB-44EF-827F-927C50E62B58}">
    <text>Caso não seja industrialização, alterar Margem.</text>
  </threadedComment>
  <threadedComment ref="B93" dT="2020-01-31T18:37:39.92" personId="{00000000-0000-0000-0000-000000000000}" id="{7820AA76-21F0-4222-99EF-AEE395A7D5A4}">
    <text>Padrão: 40</text>
  </threadedComment>
  <threadedComment ref="B94" dT="2020-01-31T18:37:49.09" personId="{00000000-0000-0000-0000-000000000000}" id="{6BA9FC49-33F7-483E-8895-C715F397CBC9}">
    <text>Padrão: 8</text>
  </threadedComment>
  <threadedComment ref="B95" dT="2020-01-31T18:37:58.16" personId="{00000000-0000-0000-0000-000000000000}" id="{B4F6F447-1631-40FE-A394-D135F0CD0639}">
    <text>Padrão: 1 para projetos na Setta - 0 para projetos JPC (RMBH). Alterar conforme ocasião em caso de necessitarmos enviar equipamentos para clietne final</text>
  </threadedComment>
  <threadedComment ref="B122" dT="2020-01-31T18:37:34.10" personId="{00000000-0000-0000-0000-000000000000}" id="{A28EFD31-AE8F-480A-B42D-3822C4733FB5}">
    <text>Padrão: 2</text>
  </threadedComment>
  <threadedComment ref="D122" dT="2020-01-31T13:06:53.17" personId="{00000000-0000-0000-0000-000000000000}" id="{FC9ADD44-79D1-4041-A1A1-46DAA478ECCF}">
    <text>Caso não seja industrialização, alterar Margem.</text>
  </threadedComment>
  <threadedComment ref="B123" dT="2020-01-31T18:37:39.92" personId="{00000000-0000-0000-0000-000000000000}" id="{69295FE5-5DED-4A79-ACC7-B91C6F6E6E27}">
    <text>Padrão: 40</text>
  </threadedComment>
  <threadedComment ref="B124" dT="2020-01-31T18:37:49.09" personId="{00000000-0000-0000-0000-000000000000}" id="{CDF28B8C-B13C-477F-9065-17DF31AC5DCC}">
    <text>Padrão: 8</text>
  </threadedComment>
  <threadedComment ref="B125" dT="2020-01-31T18:37:58.16" personId="{00000000-0000-0000-0000-000000000000}" id="{A9C0F96A-55C3-4FCC-8D43-1BA3376E08B4}">
    <text>Padrão: 1 para projetos na Setta - 0 para projetos JPC (RMBH). Alterar conforme ocasião em caso de necessitarmos enviar equipamentos para clietne final</text>
  </threadedComment>
  <threadedComment ref="B152" dT="2020-01-31T18:37:34.10" personId="{00000000-0000-0000-0000-000000000000}" id="{78B02F1D-4B0E-4DFC-9B48-EB150F624E5B}">
    <text>Padrão: 2</text>
  </threadedComment>
  <threadedComment ref="D152" dT="2020-01-31T13:06:53.17" personId="{00000000-0000-0000-0000-000000000000}" id="{AEA0198F-680F-4563-B630-4DE078A1C181}">
    <text>Caso não seja industrialização, alterar Margem.</text>
  </threadedComment>
  <threadedComment ref="B153" dT="2020-01-31T18:37:39.92" personId="{00000000-0000-0000-0000-000000000000}" id="{7A4DB839-D71E-4200-A4FA-05AA47951241}">
    <text>Padrão: 40</text>
  </threadedComment>
  <threadedComment ref="B154" dT="2020-01-31T18:37:49.09" personId="{00000000-0000-0000-0000-000000000000}" id="{E103AFC9-DD4B-46D9-B694-7E376C4F7DF4}">
    <text>Padrão: 8</text>
  </threadedComment>
  <threadedComment ref="B155" dT="2020-01-31T18:37:58.16" personId="{00000000-0000-0000-0000-000000000000}" id="{8AB5115F-AAA5-4CC9-80EB-8CE693795DD6}">
    <text>Padrão: 1 para projetos na Setta - 0 para projetos JPC (RMBH). Alterar conforme ocasião em caso de necessitarmos enviar equipamentos para clietne final</text>
  </threadedComment>
  <threadedComment ref="B182" dT="2020-01-31T18:37:34.10" personId="{00000000-0000-0000-0000-000000000000}" id="{83433F87-2707-4961-8F69-BBA625C75961}">
    <text>Padrão: 2</text>
  </threadedComment>
  <threadedComment ref="D182" dT="2020-01-31T13:06:53.17" personId="{00000000-0000-0000-0000-000000000000}" id="{34DD24B7-3EEC-43F6-A9BA-CA7E9F872912}">
    <text>Caso não seja industrialização, alterar Margem.</text>
  </threadedComment>
  <threadedComment ref="B183" dT="2020-01-31T18:37:39.92" personId="{00000000-0000-0000-0000-000000000000}" id="{EBB2AED5-EED4-4B4A-BFF0-644207FEDAA3}">
    <text>Padrão: 40</text>
  </threadedComment>
  <threadedComment ref="B184" dT="2020-01-31T18:37:49.09" personId="{00000000-0000-0000-0000-000000000000}" id="{25C5CBFE-97AB-4886-8DB1-5308624B1FDD}">
    <text>Padrão: 8</text>
  </threadedComment>
  <threadedComment ref="B185" dT="2020-01-31T18:37:58.16" personId="{00000000-0000-0000-0000-000000000000}" id="{67F2D05A-A64D-4FB6-873B-B75DA6878AB0}">
    <text>Padrão: 1 para projetos na Setta - 0 para projetos JPC (RMBH). Alterar conforme ocasião em caso de necessitarmos enviar equipamentos para clietne final</text>
  </threadedComment>
  <threadedComment ref="B212" dT="2020-01-31T18:37:34.10" personId="{00000000-0000-0000-0000-000000000000}" id="{214690AF-F011-4622-AA9E-F3ED0C28275B}">
    <text>Padrão: 2</text>
  </threadedComment>
  <threadedComment ref="D212" dT="2020-01-31T13:06:53.17" personId="{00000000-0000-0000-0000-000000000000}" id="{57AFD866-438F-4C24-A7BF-2361D9440E3B}">
    <text>Caso não seja industrialização, alterar Margem.</text>
  </threadedComment>
  <threadedComment ref="B213" dT="2020-01-31T18:37:39.92" personId="{00000000-0000-0000-0000-000000000000}" id="{CA110B79-EA29-40E5-B8D6-8EF09B87DC7B}">
    <text>Padrão: 40</text>
  </threadedComment>
  <threadedComment ref="B214" dT="2020-01-31T18:37:49.09" personId="{00000000-0000-0000-0000-000000000000}" id="{259B2232-1E92-4361-9563-EBF1042E50AC}">
    <text>Padrão: 8</text>
  </threadedComment>
  <threadedComment ref="B215" dT="2020-01-31T18:37:58.16" personId="{00000000-0000-0000-0000-000000000000}" id="{252E4EB0-4F0B-4630-BBC3-8D1F9A99DECC}">
    <text>Padrão: 1 para projetos na Setta - 0 para projetos JPC (RMBH). Alterar conforme ocasião em caso de necessitarmos enviar equipamentos para clietne final</text>
  </threadedComment>
  <threadedComment ref="B242" dT="2020-01-31T18:37:34.10" personId="{00000000-0000-0000-0000-000000000000}" id="{6F91FAB0-001F-470B-9501-7B57BA461A45}">
    <text>Padrão: 2</text>
  </threadedComment>
  <threadedComment ref="D242" dT="2020-01-31T13:06:53.17" personId="{00000000-0000-0000-0000-000000000000}" id="{3879C788-CAA8-4BAA-9228-3577EAB88B48}">
    <text>Caso não seja industrialização, alterar Margem.</text>
  </threadedComment>
  <threadedComment ref="B243" dT="2020-01-31T18:37:39.92" personId="{00000000-0000-0000-0000-000000000000}" id="{2C8C58FC-F160-4CFC-B9B8-8236F368C340}">
    <text>Padrão: 40</text>
  </threadedComment>
  <threadedComment ref="B244" dT="2020-01-31T18:37:49.09" personId="{00000000-0000-0000-0000-000000000000}" id="{1F35CF78-FB33-466E-8564-6317F8BB94D2}">
    <text>Padrão: 8</text>
  </threadedComment>
  <threadedComment ref="B245" dT="2020-01-31T18:37:58.16" personId="{00000000-0000-0000-0000-000000000000}" id="{68148DD1-0466-4D87-BD4C-9FD111B168F7}">
    <text>Padrão: 1 para projetos na Setta - 0 para projetos JPC (RMBH). Alterar conforme ocasião em caso de necessitarmos enviar equipamentos para clietne final</text>
  </threadedComment>
  <threadedComment ref="B272" dT="2020-01-31T18:37:34.10" personId="{00000000-0000-0000-0000-000000000000}" id="{ED0CE549-AA1E-4264-9E1C-CF21C68130AA}">
    <text>Padrão: 2</text>
  </threadedComment>
  <threadedComment ref="D272" dT="2020-01-31T13:06:53.17" personId="{00000000-0000-0000-0000-000000000000}" id="{8512448D-B340-43DD-87E9-39DCE6BD0A09}">
    <text>Caso não seja industrialização, alterar Margem.</text>
  </threadedComment>
  <threadedComment ref="B273" dT="2020-01-31T18:37:39.92" personId="{00000000-0000-0000-0000-000000000000}" id="{96E7D977-A4DB-4979-BD75-5A19963E3059}">
    <text>Padrão: 40</text>
  </threadedComment>
  <threadedComment ref="B274" dT="2020-01-31T18:37:49.09" personId="{00000000-0000-0000-0000-000000000000}" id="{101A00A6-A0CD-4DF5-8BEC-F8290E19172B}">
    <text>Padrão: 8</text>
  </threadedComment>
  <threadedComment ref="B275" dT="2020-01-31T18:37:58.16" personId="{00000000-0000-0000-0000-000000000000}" id="{FF2ADE7E-584A-4E60-A5C7-1C622C9822C6}">
    <text>Padrão: 1 para projetos na Setta - 0 para projetos JPC (RMBH). Alterar conforme ocasião em caso de necessitarmos enviar equipamentos para clietne final</text>
  </threadedComment>
  <threadedComment ref="B302" dT="2020-01-31T18:37:34.10" personId="{00000000-0000-0000-0000-000000000000}" id="{29CA1B0C-0E26-4972-977A-8370ADECA336}">
    <text>Padrão: 2</text>
  </threadedComment>
  <threadedComment ref="D302" dT="2020-01-31T13:06:53.17" personId="{00000000-0000-0000-0000-000000000000}" id="{5D62BEAF-FD68-4EC1-80CB-01A62E2F0293}">
    <text>Caso não seja industrialização, alterar Margem.</text>
  </threadedComment>
  <threadedComment ref="B303" dT="2020-01-31T18:37:39.92" personId="{00000000-0000-0000-0000-000000000000}" id="{03ADA02D-BFA5-4F74-BA5F-17823A243D12}">
    <text>Padrão: 40</text>
  </threadedComment>
  <threadedComment ref="B304" dT="2020-01-31T18:37:49.09" personId="{00000000-0000-0000-0000-000000000000}" id="{B734652F-6E7F-43DB-8BA8-7EDFD624C8C3}">
    <text>Padrão: 8</text>
  </threadedComment>
  <threadedComment ref="B305" dT="2020-01-31T18:37:58.16" personId="{00000000-0000-0000-0000-000000000000}" id="{0CAFF41B-1895-401E-A93A-249FF7DB867F}">
    <text>Padrão: 1 para projetos na Setta - 0 para projetos JPC (RMBH). Alterar conforme ocasião em caso de necessitarmos enviar equipamentos para clietne final</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hyperlink" Target="https://tagna.sharepoint.com/:fl:/g/contentstorage/CSP_0417c7af-5626-4d41-aff1-920db6ab4a4c/EZmpKWEQc9pLrxQcu0z7NhYBHsF1fb7f0o0OYYwfd4hgbA?e=wq5fFx&amp;nav=cz0lMkZjb250ZW50c3RvcmFnZSUyRkNTUF8wNDE3YzdhZi01NjI2LTRkNDEtYWZmMS05MjBkYjZhYjRhNGMmZD1iJTIxcjhjWEJDWldRVTJ2OFpJTnRxdEtUS19PMjVPVnlaRkJvQV8wNWVadkxWU01IVGJSUTloTVRiUHljY0dyN2s2TCZmPTAxSUhTRlpDVVpWRVVXQ0VEVDNKRjI2RkE0WE5HUFdOUVcmYz0lMkYmYT1Mb29wQXBwJnA9JTQwZmx1aWR4JTJGbG9vcC1wYWdlLWNvbnRhaW5lciZ4PSU3QiUyMnclMjIlM0ElMjJUMFJUVUh4MFlXZHVZUzV6YUdGeVpYQnZhVzUwTG1OdmJYeGlJWEk0WTFoQ1ExcFhVVlV5ZGpoYVNVNTBjWFJMVkV0ZlR6STFUMVo1V2taQ2IwRmZNRFZsV25aTVZsTk5TRlJpVWxFNWFFMVVZbEI1WTJOSGNqZHJOa3g4TURGSlNGTkdXa05ZTjFOU1Ywb3pTVkJYTlRWRVNqTk5UMWswVEVsV1NFVTBXUSUzRCUzRCUyMiUyQyUyMmklMjIlM0ElMjJkM2Y0MTc3MS02ZjI2LTRmMGMtODMwNi01OWYyMWY4YmE5NDUlMjIlN0Q%3D" TargetMode="Externa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hyperlink" Target="https://tagna.sharepoint.com/:fl:/g/contentstorage/CSP_0417c7af-5626-4d41-aff1-920db6ab4a4c/EZmpKWEQc9pLrxQcu0z7NhYBHsF1fb7f0o0OYYwfd4hgbA?e=wq5fFx&amp;nav=cz0lMkZjb250ZW50c3RvcmFnZSUyRkNTUF8wNDE3YzdhZi01NjI2LTRkNDEtYWZmMS05MjBkYjZhYjRhNGMmZD1iJTIxcjhjWEJDWldRVTJ2OFpJTnRxdEtUS19PMjVPVnlaRkJvQV8wNWVadkxWU01IVGJSUTloTVRiUHljY0dyN2s2TCZmPTAxSUhTRlpDVVpWRVVXQ0VEVDNKRjI2RkE0WE5HUFdOUVcmYz0lMkYmYT1Mb29wQXBwJnA9JTQwZmx1aWR4JTJGbG9vcC1wYWdlLWNvbnRhaW5lciZ4PSU3QiUyMnclMjIlM0ElMjJUMFJUVUh4MFlXZHVZUzV6YUdGeVpYQnZhVzUwTG1OdmJYeGlJWEk0WTFoQ1ExcFhVVlV5ZGpoYVNVNTBjWFJMVkV0ZlR6STFUMVo1V2taQ2IwRmZNRFZsV25aTVZsTk5TRlJpVWxFNWFFMVVZbEI1WTJOSGNqZHJOa3g4TURGSlNGTkdXa05ZTjFOU1Ywb3pTVkJYTlRWRVNqTk5UMWswVEVsV1NFVTBXUSUzRCUzRCUyMiUyQyUyMmklMjIlM0ElMjJkM2Y0MTc3MS02ZjI2LTRmMGMtODMwNi01OWYyMWY4YmE5NDUlMjIlN0Q%3D" TargetMode="Externa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tagna.sharepoint.com/:fl:/g/contentstorage/CSP_0417c7af-5626-4d41-aff1-920db6ab4a4c/EZmpKWEQc9pLrxQcu0z7NhYBHsF1fb7f0o0OYYwfd4hgbA?e=wq5fFx&amp;nav=cz0lMkZjb250ZW50c3RvcmFnZSUyRkNTUF8wNDE3YzdhZi01NjI2LTRkNDEtYWZmMS05MjBkYjZhYjRhNGMmZD1iJTIxcjhjWEJDWldRVTJ2OFpJTnRxdEtUS19PMjVPVnlaRkJvQV8wNWVadkxWU01IVGJSUTloTVRiUHljY0dyN2s2TCZmPTAxSUhTRlpDVVpWRVVXQ0VEVDNKRjI2RkE0WE5HUFdOUVcmYz0lMkYmYT1Mb29wQXBwJnA9JTQwZmx1aWR4JTJGbG9vcC1wYWdlLWNvbnRhaW5lciZ4PSU3QiUyMnclMjIlM0ElMjJUMFJUVUh4MFlXZHVZUzV6YUdGeVpYQnZhVzUwTG1OdmJYeGlJWEk0WTFoQ1ExcFhVVlV5ZGpoYVNVNTBjWFJMVkV0ZlR6STFUMVo1V2taQ2IwRmZNRFZsV25aTVZsTk5TRlJpVWxFNWFFMVVZbEI1WTJOSGNqZHJOa3g4TURGSlNGTkdXa05ZTjFOU1Ywb3pTVkJYTlRWRVNqTk5UMWswVEVsV1NFVTBXUSUzRCUzRCUyMiUyQyUyMmklMjIlM0ElMjJkM2Y0MTc3MS02ZjI2LTRmMGMtODMwNi01OWYyMWY4YmE5NDUlMjIlN0Q%3D" TargetMode="Externa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6.bin"/><Relationship Id="rId1" Type="http://schemas.openxmlformats.org/officeDocument/2006/relationships/hyperlink" Target="https://app.powerbi.com/view?r=eyJrIjoiODM4OTU4NmUtZGRlYi00YTgwLWIwMzItNThlNTc0ZWViZTE0IiwidCI6IjJlMDQ0YTVlLWFlNWEtNDQyNC04NTEwLTI0YzFiM2I3MzMwYiJ9" TargetMode="External"/><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hyperlink" Target="https://tagna.sharepoint.com/:fl:/g/contentstorage/CSP_0417c7af-5626-4d41-aff1-920db6ab4a4c/EZmpKWEQc9pLrxQcu0z7NhYBHsF1fb7f0o0OYYwfd4hgbA?e=wq5fFx&amp;nav=cz0lMkZjb250ZW50c3RvcmFnZSUyRkNTUF8wNDE3YzdhZi01NjI2LTRkNDEtYWZmMS05MjBkYjZhYjRhNGMmZD1iJTIxcjhjWEJDWldRVTJ2OFpJTnRxdEtUS19PMjVPVnlaRkJvQV8wNWVadkxWU01IVGJSUTloTVRiUHljY0dyN2s2TCZmPTAxSUhTRlpDVVpWRVVXQ0VEVDNKRjI2RkE0WE5HUFdOUVcmYz0lMkYmYT1Mb29wQXBwJnA9JTQwZmx1aWR4JTJGbG9vcC1wYWdlLWNvbnRhaW5lciZ4PSU3QiUyMnclMjIlM0ElMjJUMFJUVUh4MFlXZHVZUzV6YUdGeVpYQnZhVzUwTG1OdmJYeGlJWEk0WTFoQ1ExcFhVVlV5ZGpoYVNVNTBjWFJMVkV0ZlR6STFUMVo1V2taQ2IwRmZNRFZsV25aTVZsTk5TRlJpVWxFNWFFMVVZbEI1WTJOSGNqZHJOa3g4TURGSlNGTkdXa05ZTjFOU1Ywb3pTVkJYTlRWRVNqTk5UMWswVEVsV1NFVTBXUSUzRCUzRCUyMiUyQyUyMmklMjIlM0ElMjJkM2Y0MTc3MS02ZjI2LTRmMGMtODMwNi01OWYyMWY4YmE5NDUlMjIlN0Q%3D" TargetMode="External"/><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8AB40-E524-4BA9-A751-6F956E26B991}">
  <sheetPr codeName="Planilha1">
    <tabColor rgb="FFFFFF99"/>
  </sheetPr>
  <dimension ref="B2:T55"/>
  <sheetViews>
    <sheetView tabSelected="1" workbookViewId="0">
      <selection activeCell="N50" sqref="N50"/>
    </sheetView>
  </sheetViews>
  <sheetFormatPr defaultColWidth="8.88671875" defaultRowHeight="13.2" x14ac:dyDescent="0.25"/>
  <cols>
    <col min="1" max="1" width="2.6640625" style="40" customWidth="1"/>
    <col min="2" max="2" width="18.6640625" style="40" customWidth="1"/>
    <col min="3" max="3" width="12.33203125" style="40" bestFit="1" customWidth="1"/>
    <col min="4" max="16384" width="8.88671875" style="40"/>
  </cols>
  <sheetData>
    <row r="2" spans="2:20" x14ac:dyDescent="0.25">
      <c r="B2" s="39"/>
      <c r="C2" s="39"/>
      <c r="D2" s="39"/>
      <c r="E2" s="39"/>
      <c r="F2" s="39"/>
      <c r="G2" s="39"/>
      <c r="H2" s="39"/>
      <c r="I2" s="39"/>
      <c r="J2" s="39"/>
      <c r="K2" s="39"/>
      <c r="L2" s="39"/>
      <c r="M2" s="39"/>
      <c r="N2" s="39"/>
      <c r="O2" s="39"/>
      <c r="P2" s="39"/>
      <c r="Q2" s="39"/>
      <c r="R2" s="39"/>
      <c r="S2" s="39"/>
      <c r="T2" s="39"/>
    </row>
    <row r="3" spans="2:20" x14ac:dyDescent="0.25">
      <c r="B3" s="39"/>
      <c r="C3" s="39"/>
      <c r="D3" s="39"/>
      <c r="E3" s="39"/>
      <c r="F3" s="39"/>
      <c r="G3" s="39"/>
      <c r="H3" s="39"/>
      <c r="I3" s="39"/>
      <c r="J3" s="39"/>
      <c r="K3" s="39"/>
      <c r="L3" s="39"/>
      <c r="M3" s="39"/>
      <c r="N3" s="39"/>
      <c r="O3" s="39"/>
      <c r="P3" s="39"/>
      <c r="Q3" s="39"/>
      <c r="R3" s="39"/>
      <c r="S3" s="39"/>
      <c r="T3" s="39"/>
    </row>
    <row r="4" spans="2:20" x14ac:dyDescent="0.25">
      <c r="B4" s="39"/>
      <c r="C4" s="39"/>
      <c r="D4" s="39"/>
      <c r="E4" s="39"/>
      <c r="F4" s="39"/>
      <c r="G4" s="39"/>
      <c r="H4" s="39"/>
      <c r="I4" s="39"/>
      <c r="J4" s="39"/>
      <c r="K4" s="39"/>
      <c r="L4" s="39"/>
      <c r="M4" s="39"/>
      <c r="N4" s="39"/>
      <c r="O4" s="39"/>
      <c r="P4" s="39"/>
      <c r="Q4" s="39"/>
      <c r="R4" s="39"/>
      <c r="S4" s="39"/>
      <c r="T4" s="39"/>
    </row>
    <row r="5" spans="2:20" x14ac:dyDescent="0.25">
      <c r="B5" s="39"/>
      <c r="C5" s="39"/>
      <c r="D5" s="39"/>
      <c r="E5" s="39"/>
      <c r="F5" s="39"/>
      <c r="G5" s="39"/>
      <c r="H5" s="39"/>
      <c r="I5" s="39"/>
      <c r="J5" s="39"/>
      <c r="K5" s="39"/>
      <c r="L5" s="39"/>
      <c r="M5" s="39"/>
      <c r="N5" s="39"/>
      <c r="O5" s="39"/>
      <c r="P5" s="39"/>
      <c r="Q5" s="39"/>
      <c r="R5" s="39"/>
      <c r="S5" s="39"/>
      <c r="T5" s="39"/>
    </row>
    <row r="6" spans="2:20" x14ac:dyDescent="0.25">
      <c r="B6" s="39"/>
      <c r="C6" s="39"/>
      <c r="D6" s="39"/>
      <c r="E6" s="39"/>
      <c r="F6" s="39"/>
      <c r="G6" s="39"/>
      <c r="H6" s="39"/>
      <c r="I6" s="39"/>
      <c r="J6" s="39"/>
      <c r="K6" s="39"/>
      <c r="L6" s="39"/>
      <c r="M6" s="39"/>
      <c r="N6" s="39"/>
      <c r="O6" s="39"/>
      <c r="P6" s="39"/>
      <c r="Q6" s="39"/>
      <c r="R6" s="39"/>
      <c r="S6" s="39"/>
      <c r="T6" s="39"/>
    </row>
    <row r="7" spans="2:20" x14ac:dyDescent="0.25">
      <c r="B7" s="39"/>
      <c r="C7" s="39"/>
      <c r="D7" s="39"/>
      <c r="E7" s="39"/>
      <c r="F7" s="39"/>
      <c r="G7" s="39"/>
      <c r="H7" s="39"/>
      <c r="I7" s="39"/>
      <c r="J7" s="39"/>
      <c r="K7" s="39"/>
      <c r="L7" s="39"/>
      <c r="M7" s="39"/>
      <c r="N7" s="39"/>
      <c r="O7" s="39"/>
      <c r="P7" s="39"/>
      <c r="Q7" s="39"/>
      <c r="R7" s="39"/>
      <c r="S7" s="39"/>
      <c r="T7" s="39"/>
    </row>
    <row r="9" spans="2:20" x14ac:dyDescent="0.25">
      <c r="B9" s="41" t="s">
        <v>94</v>
      </c>
    </row>
    <row r="11" spans="2:20" ht="19.95" customHeight="1" x14ac:dyDescent="0.25">
      <c r="B11" s="577" t="s">
        <v>95</v>
      </c>
      <c r="C11" s="577"/>
      <c r="D11" s="577"/>
      <c r="E11" s="577"/>
      <c r="F11" s="577"/>
      <c r="G11" s="577"/>
      <c r="H11" s="577"/>
      <c r="I11" s="577"/>
      <c r="J11" s="577"/>
      <c r="K11" s="577"/>
      <c r="M11" s="578" t="s">
        <v>135</v>
      </c>
      <c r="N11" s="578"/>
      <c r="O11" s="578"/>
      <c r="P11" s="578"/>
      <c r="Q11" s="578"/>
      <c r="R11" s="578"/>
      <c r="S11" s="578"/>
      <c r="T11" s="578"/>
    </row>
    <row r="12" spans="2:20" ht="19.95" customHeight="1" x14ac:dyDescent="0.25">
      <c r="B12" s="577"/>
      <c r="C12" s="577"/>
      <c r="D12" s="577"/>
      <c r="E12" s="577"/>
      <c r="F12" s="577"/>
      <c r="G12" s="577"/>
      <c r="H12" s="577"/>
      <c r="I12" s="577"/>
      <c r="J12" s="577"/>
      <c r="K12" s="577"/>
      <c r="M12" s="578"/>
      <c r="N12" s="578"/>
      <c r="O12" s="578"/>
      <c r="P12" s="578"/>
      <c r="Q12" s="578"/>
      <c r="R12" s="578"/>
      <c r="S12" s="578"/>
      <c r="T12" s="578"/>
    </row>
    <row r="13" spans="2:20" ht="19.95" customHeight="1" x14ac:dyDescent="0.25">
      <c r="B13" s="577" t="s">
        <v>933</v>
      </c>
      <c r="C13" s="577"/>
      <c r="D13" s="577"/>
      <c r="E13" s="577"/>
      <c r="F13" s="577"/>
      <c r="G13" s="577"/>
      <c r="H13" s="577"/>
      <c r="I13" s="577"/>
      <c r="J13" s="577"/>
      <c r="K13" s="577"/>
      <c r="M13" s="581">
        <v>1</v>
      </c>
      <c r="N13" s="580" t="s">
        <v>132</v>
      </c>
      <c r="O13" s="580"/>
      <c r="P13" s="580"/>
      <c r="Q13" s="580"/>
      <c r="R13" s="580"/>
      <c r="S13" s="580"/>
      <c r="T13" s="580"/>
    </row>
    <row r="14" spans="2:20" ht="19.95" customHeight="1" x14ac:dyDescent="0.25">
      <c r="B14" s="577"/>
      <c r="C14" s="577"/>
      <c r="D14" s="577"/>
      <c r="E14" s="577"/>
      <c r="F14" s="577"/>
      <c r="G14" s="577"/>
      <c r="H14" s="577"/>
      <c r="I14" s="577"/>
      <c r="J14" s="577"/>
      <c r="K14" s="577"/>
      <c r="M14" s="581"/>
      <c r="N14" s="580"/>
      <c r="O14" s="580"/>
      <c r="P14" s="580"/>
      <c r="Q14" s="580"/>
      <c r="R14" s="580"/>
      <c r="S14" s="580"/>
      <c r="T14" s="580"/>
    </row>
    <row r="15" spans="2:20" ht="19.95" customHeight="1" x14ac:dyDescent="0.25">
      <c r="B15" s="579" t="s">
        <v>139</v>
      </c>
      <c r="C15" s="577"/>
      <c r="D15" s="577"/>
      <c r="E15" s="577"/>
      <c r="F15" s="577"/>
      <c r="G15" s="577"/>
      <c r="H15" s="577"/>
      <c r="I15" s="577"/>
      <c r="J15" s="577"/>
      <c r="K15" s="577"/>
      <c r="M15" s="582">
        <v>2</v>
      </c>
      <c r="N15" s="583" t="s">
        <v>134</v>
      </c>
      <c r="O15" s="584"/>
      <c r="P15" s="584"/>
      <c r="Q15" s="584"/>
      <c r="R15" s="584"/>
      <c r="S15" s="584"/>
      <c r="T15" s="585"/>
    </row>
    <row r="16" spans="2:20" ht="19.95" customHeight="1" x14ac:dyDescent="0.25">
      <c r="B16" s="577"/>
      <c r="C16" s="577"/>
      <c r="D16" s="577"/>
      <c r="E16" s="577"/>
      <c r="F16" s="577"/>
      <c r="G16" s="577"/>
      <c r="H16" s="577"/>
      <c r="I16" s="577"/>
      <c r="J16" s="577"/>
      <c r="K16" s="577"/>
      <c r="M16" s="582"/>
      <c r="N16" s="586"/>
      <c r="O16" s="587"/>
      <c r="P16" s="587"/>
      <c r="Q16" s="587"/>
      <c r="R16" s="587"/>
      <c r="S16" s="587"/>
      <c r="T16" s="588"/>
    </row>
    <row r="17" spans="2:20" ht="19.95" customHeight="1" x14ac:dyDescent="0.25">
      <c r="B17" s="577" t="s">
        <v>145</v>
      </c>
      <c r="C17" s="577"/>
      <c r="D17" s="577"/>
      <c r="E17" s="577"/>
      <c r="F17" s="577"/>
      <c r="G17" s="577"/>
      <c r="H17" s="577"/>
      <c r="I17" s="577"/>
      <c r="J17" s="577"/>
      <c r="K17" s="577"/>
      <c r="M17" s="582">
        <v>3</v>
      </c>
      <c r="N17" s="583" t="s">
        <v>136</v>
      </c>
      <c r="O17" s="584"/>
      <c r="P17" s="584"/>
      <c r="Q17" s="584"/>
      <c r="R17" s="584"/>
      <c r="S17" s="584"/>
      <c r="T17" s="585"/>
    </row>
    <row r="18" spans="2:20" ht="19.95" customHeight="1" x14ac:dyDescent="0.25">
      <c r="B18" s="577"/>
      <c r="C18" s="577"/>
      <c r="D18" s="577"/>
      <c r="E18" s="577"/>
      <c r="F18" s="577"/>
      <c r="G18" s="577"/>
      <c r="H18" s="577"/>
      <c r="I18" s="577"/>
      <c r="J18" s="577"/>
      <c r="K18" s="577"/>
      <c r="M18" s="582"/>
      <c r="N18" s="586"/>
      <c r="O18" s="587"/>
      <c r="P18" s="587"/>
      <c r="Q18" s="587"/>
      <c r="R18" s="587"/>
      <c r="S18" s="587"/>
      <c r="T18" s="588"/>
    </row>
    <row r="19" spans="2:20" ht="19.95" customHeight="1" x14ac:dyDescent="0.25">
      <c r="B19" s="577" t="s">
        <v>262</v>
      </c>
      <c r="C19" s="577"/>
      <c r="D19" s="577"/>
      <c r="E19" s="577"/>
      <c r="F19" s="577"/>
      <c r="G19" s="577"/>
      <c r="H19" s="577"/>
      <c r="I19" s="577"/>
      <c r="J19" s="577"/>
      <c r="K19" s="577"/>
      <c r="M19" s="582"/>
      <c r="N19" s="76"/>
      <c r="O19" s="76"/>
      <c r="P19" s="76"/>
      <c r="Q19" s="76"/>
      <c r="R19" s="76"/>
      <c r="S19" s="76"/>
      <c r="T19" s="77"/>
    </row>
    <row r="20" spans="2:20" ht="19.95" customHeight="1" x14ac:dyDescent="0.25">
      <c r="B20" s="577"/>
      <c r="C20" s="577"/>
      <c r="D20" s="577"/>
      <c r="E20" s="577"/>
      <c r="F20" s="577"/>
      <c r="G20" s="577"/>
      <c r="H20" s="577"/>
      <c r="I20" s="577"/>
      <c r="J20" s="577"/>
      <c r="K20" s="577"/>
      <c r="M20" s="582"/>
      <c r="N20" s="78"/>
      <c r="O20" s="78"/>
      <c r="P20" s="78"/>
      <c r="Q20" s="78"/>
      <c r="R20" s="78"/>
      <c r="S20" s="78"/>
      <c r="T20" s="79"/>
    </row>
    <row r="21" spans="2:20" ht="19.95" customHeight="1" x14ac:dyDescent="0.25">
      <c r="B21" s="579"/>
      <c r="C21" s="577"/>
      <c r="D21" s="577"/>
      <c r="E21" s="577"/>
      <c r="F21" s="577"/>
      <c r="G21" s="577"/>
      <c r="H21" s="577"/>
      <c r="I21" s="577"/>
      <c r="J21" s="577"/>
      <c r="K21" s="577"/>
      <c r="M21" s="582"/>
      <c r="N21" s="76"/>
      <c r="O21" s="76"/>
      <c r="P21" s="76"/>
      <c r="Q21" s="76"/>
      <c r="R21" s="76"/>
      <c r="S21" s="76"/>
      <c r="T21" s="77"/>
    </row>
    <row r="22" spans="2:20" ht="19.95" customHeight="1" x14ac:dyDescent="0.25">
      <c r="B22" s="577"/>
      <c r="C22" s="577"/>
      <c r="D22" s="577"/>
      <c r="E22" s="577"/>
      <c r="F22" s="577"/>
      <c r="G22" s="577"/>
      <c r="H22" s="577"/>
      <c r="I22" s="577"/>
      <c r="J22" s="577"/>
      <c r="K22" s="577"/>
      <c r="M22" s="582"/>
      <c r="N22" s="78"/>
      <c r="O22" s="78"/>
      <c r="P22" s="78"/>
      <c r="Q22" s="78"/>
      <c r="R22" s="78"/>
      <c r="S22" s="78"/>
      <c r="T22" s="79"/>
    </row>
    <row r="23" spans="2:20" ht="19.95" customHeight="1" x14ac:dyDescent="0.25">
      <c r="B23" s="577"/>
      <c r="C23" s="577"/>
      <c r="D23" s="577"/>
      <c r="E23" s="577"/>
      <c r="F23" s="577"/>
      <c r="G23" s="577"/>
      <c r="H23" s="577"/>
      <c r="I23" s="577"/>
      <c r="J23" s="577"/>
      <c r="K23" s="577"/>
      <c r="M23" s="582"/>
      <c r="N23" s="76"/>
      <c r="O23" s="76"/>
      <c r="P23" s="76"/>
      <c r="Q23" s="76"/>
      <c r="R23" s="76"/>
      <c r="S23" s="76"/>
      <c r="T23" s="77"/>
    </row>
    <row r="24" spans="2:20" ht="19.95" customHeight="1" x14ac:dyDescent="0.25">
      <c r="B24" s="577"/>
      <c r="C24" s="577"/>
      <c r="D24" s="577"/>
      <c r="E24" s="577"/>
      <c r="F24" s="577"/>
      <c r="G24" s="577"/>
      <c r="H24" s="577"/>
      <c r="I24" s="577"/>
      <c r="J24" s="577"/>
      <c r="K24" s="577"/>
      <c r="M24" s="582"/>
      <c r="N24" s="78"/>
      <c r="O24" s="78"/>
      <c r="P24" s="78"/>
      <c r="Q24" s="78"/>
      <c r="R24" s="78"/>
      <c r="S24" s="78"/>
      <c r="T24" s="79"/>
    </row>
    <row r="25" spans="2:20" ht="19.95" customHeight="1" x14ac:dyDescent="0.25">
      <c r="B25" s="577"/>
      <c r="C25" s="577"/>
      <c r="D25" s="577"/>
      <c r="E25" s="577"/>
      <c r="F25" s="577"/>
      <c r="G25" s="577"/>
      <c r="H25" s="577"/>
      <c r="I25" s="577"/>
      <c r="J25" s="577"/>
      <c r="K25" s="577"/>
      <c r="M25" s="582"/>
      <c r="N25" s="76"/>
      <c r="O25" s="76"/>
      <c r="P25" s="76"/>
      <c r="Q25" s="76"/>
      <c r="R25" s="76"/>
      <c r="S25" s="76"/>
      <c r="T25" s="77"/>
    </row>
    <row r="26" spans="2:20" ht="19.95" customHeight="1" x14ac:dyDescent="0.25">
      <c r="B26" s="577"/>
      <c r="C26" s="577"/>
      <c r="D26" s="577"/>
      <c r="E26" s="577"/>
      <c r="F26" s="577"/>
      <c r="G26" s="577"/>
      <c r="H26" s="577"/>
      <c r="I26" s="577"/>
      <c r="J26" s="577"/>
      <c r="K26" s="577"/>
      <c r="M26" s="582"/>
      <c r="N26" s="78"/>
      <c r="O26" s="78"/>
      <c r="P26" s="78"/>
      <c r="Q26" s="78"/>
      <c r="R26" s="78"/>
      <c r="S26" s="78"/>
      <c r="T26" s="79"/>
    </row>
    <row r="27" spans="2:20" x14ac:dyDescent="0.25">
      <c r="B27" s="42"/>
      <c r="C27" s="42"/>
      <c r="D27" s="42"/>
      <c r="E27" s="42"/>
      <c r="F27" s="42"/>
      <c r="G27" s="42"/>
      <c r="H27" s="42"/>
      <c r="I27" s="42"/>
      <c r="J27" s="42"/>
      <c r="K27" s="42"/>
    </row>
    <row r="28" spans="2:20" x14ac:dyDescent="0.25">
      <c r="B28" s="43" t="s">
        <v>96</v>
      </c>
      <c r="C28" s="44"/>
      <c r="D28" s="44"/>
      <c r="E28" s="44"/>
      <c r="F28" s="44"/>
      <c r="G28" s="44"/>
      <c r="H28" s="44"/>
      <c r="I28" s="44"/>
      <c r="J28" s="44"/>
      <c r="K28" s="44"/>
    </row>
    <row r="30" spans="2:20" x14ac:dyDescent="0.25">
      <c r="B30" s="449" t="s">
        <v>97</v>
      </c>
      <c r="C30" s="450"/>
    </row>
    <row r="31" spans="2:20" x14ac:dyDescent="0.25">
      <c r="B31" s="450" t="s">
        <v>98</v>
      </c>
      <c r="C31" s="451">
        <v>168</v>
      </c>
    </row>
    <row r="32" spans="2:20" x14ac:dyDescent="0.25">
      <c r="B32" s="450" t="s">
        <v>99</v>
      </c>
      <c r="C32" s="451">
        <v>64.629285801638005</v>
      </c>
    </row>
    <row r="33" spans="2:3" x14ac:dyDescent="0.25">
      <c r="B33" s="450" t="s">
        <v>100</v>
      </c>
      <c r="C33" s="451">
        <v>85.322964093857465</v>
      </c>
    </row>
    <row r="35" spans="2:3" x14ac:dyDescent="0.25">
      <c r="B35" s="449" t="s">
        <v>126</v>
      </c>
      <c r="C35" s="449" t="s">
        <v>141</v>
      </c>
    </row>
    <row r="36" spans="2:3" x14ac:dyDescent="0.25">
      <c r="B36" s="450" t="s">
        <v>184</v>
      </c>
      <c r="C36" s="452">
        <v>1500</v>
      </c>
    </row>
    <row r="38" spans="2:3" x14ac:dyDescent="0.25">
      <c r="B38" s="449" t="s">
        <v>140</v>
      </c>
      <c r="C38" s="449" t="s">
        <v>141</v>
      </c>
    </row>
    <row r="39" spans="2:3" x14ac:dyDescent="0.25">
      <c r="B39" s="450" t="s">
        <v>120</v>
      </c>
      <c r="C39" s="452">
        <v>1200</v>
      </c>
    </row>
    <row r="40" spans="2:3" x14ac:dyDescent="0.25">
      <c r="B40" s="450" t="s">
        <v>102</v>
      </c>
      <c r="C40" s="452">
        <v>240</v>
      </c>
    </row>
    <row r="41" spans="2:3" x14ac:dyDescent="0.25">
      <c r="B41" s="450" t="s">
        <v>121</v>
      </c>
      <c r="C41" s="452">
        <v>130</v>
      </c>
    </row>
    <row r="42" spans="2:3" x14ac:dyDescent="0.25">
      <c r="B42" s="450" t="s">
        <v>122</v>
      </c>
      <c r="C42" s="452">
        <v>100</v>
      </c>
    </row>
    <row r="43" spans="2:3" x14ac:dyDescent="0.25">
      <c r="B43" s="450" t="s">
        <v>123</v>
      </c>
      <c r="C43" s="452">
        <v>40</v>
      </c>
    </row>
    <row r="44" spans="2:3" x14ac:dyDescent="0.25">
      <c r="B44" s="450" t="s">
        <v>124</v>
      </c>
      <c r="C44" s="452">
        <v>80</v>
      </c>
    </row>
    <row r="45" spans="2:3" x14ac:dyDescent="0.25">
      <c r="B45" s="450" t="s">
        <v>106</v>
      </c>
      <c r="C45" s="452">
        <v>120</v>
      </c>
    </row>
    <row r="46" spans="2:3" x14ac:dyDescent="0.25">
      <c r="B46" s="450" t="s">
        <v>125</v>
      </c>
      <c r="C46" s="452">
        <v>7</v>
      </c>
    </row>
    <row r="47" spans="2:3" x14ac:dyDescent="0.25">
      <c r="B47" s="450" t="s">
        <v>126</v>
      </c>
      <c r="C47" s="452">
        <v>1500</v>
      </c>
    </row>
    <row r="49" spans="2:3" x14ac:dyDescent="0.25">
      <c r="B49" s="449" t="s">
        <v>183</v>
      </c>
      <c r="C49" s="453">
        <f>SUM(C50:C55)</f>
        <v>4610</v>
      </c>
    </row>
    <row r="50" spans="2:3" x14ac:dyDescent="0.25">
      <c r="B50" s="450" t="s">
        <v>101</v>
      </c>
      <c r="C50" s="451">
        <v>2400</v>
      </c>
    </row>
    <row r="51" spans="2:3" x14ac:dyDescent="0.25">
      <c r="B51" s="450" t="s">
        <v>102</v>
      </c>
      <c r="C51" s="451">
        <f>4*200</f>
        <v>800</v>
      </c>
    </row>
    <row r="52" spans="2:3" x14ac:dyDescent="0.25">
      <c r="B52" s="450" t="s">
        <v>103</v>
      </c>
      <c r="C52" s="451">
        <f>4*120</f>
        <v>480</v>
      </c>
    </row>
    <row r="53" spans="2:3" x14ac:dyDescent="0.25">
      <c r="B53" s="450" t="s">
        <v>104</v>
      </c>
      <c r="C53" s="451">
        <f>4*120</f>
        <v>480</v>
      </c>
    </row>
    <row r="54" spans="2:3" x14ac:dyDescent="0.25">
      <c r="B54" s="450" t="s">
        <v>105</v>
      </c>
      <c r="C54" s="451">
        <f>30*7</f>
        <v>210</v>
      </c>
    </row>
    <row r="55" spans="2:3" x14ac:dyDescent="0.25">
      <c r="B55" s="450" t="s">
        <v>106</v>
      </c>
      <c r="C55" s="451">
        <v>240</v>
      </c>
    </row>
  </sheetData>
  <mergeCells count="19">
    <mergeCell ref="M25:M26"/>
    <mergeCell ref="N15:T16"/>
    <mergeCell ref="N17:T18"/>
    <mergeCell ref="B23:K24"/>
    <mergeCell ref="B25:K26"/>
    <mergeCell ref="B17:K18"/>
    <mergeCell ref="B19:K20"/>
    <mergeCell ref="B21:K22"/>
    <mergeCell ref="M21:M22"/>
    <mergeCell ref="M23:M24"/>
    <mergeCell ref="M15:M16"/>
    <mergeCell ref="M17:M18"/>
    <mergeCell ref="M19:M20"/>
    <mergeCell ref="B11:K12"/>
    <mergeCell ref="M11:T12"/>
    <mergeCell ref="B13:K14"/>
    <mergeCell ref="B15:K16"/>
    <mergeCell ref="N13:T14"/>
    <mergeCell ref="M13:M14"/>
  </mergeCells>
  <hyperlinks>
    <hyperlink ref="N13:T14" location="'Matriz Escopo'!A1" display="Precificação de projeto padrão inicia-se pela MATRIZ DE ESCOPO" xr:uid="{8DB170BC-20E8-404C-B835-9C6F0AE60484}"/>
    <hyperlink ref="N15:T16" location="'OT Automacao'!A1" display="Matriz de escopo alimenta a MEMÓRIA OT AUTOMAÇÃO que pode ser validada" xr:uid="{EF2E0C0B-D875-4FA1-9019-F277A1B83583}"/>
    <hyperlink ref="N17:T18" location="'OT Memoria Generica'!A1" display="Caso necessite fazer uma precificação genérica que não se adequa ao padrão de automação usar a MEMÓRIA GENÉRICA" xr:uid="{62D0AE8A-9699-49A0-9A8A-5CEE4F6341C1}"/>
  </hyperlinks>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D5CC7-DAA9-4E7F-9EE6-45388347ED72}">
  <sheetPr codeName="Planilha10">
    <tabColor rgb="FFFFFF99"/>
  </sheetPr>
  <dimension ref="B1:J51"/>
  <sheetViews>
    <sheetView showGridLines="0" topLeftCell="A14" zoomScale="90" zoomScaleNormal="90" workbookViewId="0">
      <selection activeCell="H12" sqref="H12"/>
    </sheetView>
  </sheetViews>
  <sheetFormatPr defaultColWidth="8.88671875" defaultRowHeight="14.4" x14ac:dyDescent="0.3"/>
  <cols>
    <col min="1" max="1" width="2.6640625" style="174" customWidth="1"/>
    <col min="2" max="2" width="12.33203125" style="174" customWidth="1"/>
    <col min="3" max="3" width="11" style="174" customWidth="1"/>
    <col min="4" max="4" width="10.6640625" style="174" customWidth="1"/>
    <col min="5" max="5" width="61.6640625" style="174" customWidth="1"/>
    <col min="6" max="6" width="10.6640625" style="174" customWidth="1"/>
    <col min="7" max="7" width="43" style="174" customWidth="1"/>
    <col min="8" max="11" width="20.6640625" style="174" customWidth="1"/>
    <col min="12" max="12" width="17.109375" style="174" customWidth="1"/>
    <col min="13" max="13" width="19.44140625" style="174" customWidth="1"/>
    <col min="14" max="16" width="8.6640625" style="174" customWidth="1"/>
    <col min="17" max="17" width="16" style="174" customWidth="1"/>
    <col min="18" max="1025" width="8.6640625" style="174" customWidth="1"/>
    <col min="1026" max="16384" width="8.88671875" style="174"/>
  </cols>
  <sheetData>
    <row r="1" spans="2:10" ht="15" thickBot="1" x14ac:dyDescent="0.35"/>
    <row r="2" spans="2:10" ht="18.600000000000001" thickBot="1" x14ac:dyDescent="0.35">
      <c r="B2" s="599" t="s">
        <v>936</v>
      </c>
      <c r="C2" s="600"/>
      <c r="D2" s="600"/>
      <c r="E2" s="601"/>
      <c r="F2" s="601"/>
      <c r="G2" s="602"/>
      <c r="H2" s="603" t="e" vm="1">
        <v>#VALUE!</v>
      </c>
      <c r="I2" s="603"/>
      <c r="J2" s="604"/>
    </row>
    <row r="3" spans="2:10" ht="29.4" thickBot="1" x14ac:dyDescent="0.35">
      <c r="B3" s="589" t="s">
        <v>304</v>
      </c>
      <c r="C3" s="589"/>
      <c r="D3" s="607"/>
      <c r="E3" s="454"/>
      <c r="F3" s="455" t="s">
        <v>305</v>
      </c>
      <c r="G3" s="456"/>
      <c r="H3" s="605"/>
      <c r="I3" s="605"/>
      <c r="J3" s="606"/>
    </row>
    <row r="4" spans="2:10" x14ac:dyDescent="0.3">
      <c r="B4" s="589" t="s">
        <v>306</v>
      </c>
      <c r="C4" s="589"/>
      <c r="D4" s="607"/>
      <c r="E4" s="454"/>
      <c r="F4" s="608" t="s">
        <v>307</v>
      </c>
      <c r="G4" s="609"/>
      <c r="H4" s="457" t="s">
        <v>308</v>
      </c>
      <c r="I4" s="610"/>
      <c r="J4" s="611"/>
    </row>
    <row r="5" spans="2:10" x14ac:dyDescent="0.3">
      <c r="B5" s="589" t="s">
        <v>309</v>
      </c>
      <c r="C5" s="589"/>
      <c r="D5" s="589"/>
      <c r="E5" s="458"/>
      <c r="F5" s="590" t="s">
        <v>310</v>
      </c>
      <c r="G5" s="590"/>
      <c r="H5" s="590"/>
      <c r="I5" s="590"/>
      <c r="J5" s="590"/>
    </row>
    <row r="6" spans="2:10" ht="15" thickBot="1" x14ac:dyDescent="0.35">
      <c r="B6" s="459" t="s">
        <v>311</v>
      </c>
      <c r="C6" s="460" t="s">
        <v>312</v>
      </c>
      <c r="D6" s="461" t="s">
        <v>313</v>
      </c>
      <c r="E6" s="461"/>
      <c r="F6" s="590"/>
      <c r="G6" s="590"/>
      <c r="H6" s="590"/>
      <c r="I6" s="590"/>
      <c r="J6" s="590"/>
    </row>
    <row r="7" spans="2:10" ht="15" thickBot="1" x14ac:dyDescent="0.35">
      <c r="B7" s="462"/>
      <c r="C7" s="463"/>
      <c r="D7" s="464"/>
      <c r="E7" s="591" t="s">
        <v>937</v>
      </c>
      <c r="F7" s="594" t="s">
        <v>938</v>
      </c>
      <c r="G7" s="595"/>
      <c r="H7" s="465"/>
      <c r="I7" s="465"/>
      <c r="J7" s="466"/>
    </row>
    <row r="8" spans="2:10" ht="15" thickBot="1" x14ac:dyDescent="0.35">
      <c r="B8" s="462"/>
      <c r="C8" s="463"/>
      <c r="D8" s="464"/>
      <c r="E8" s="592"/>
      <c r="F8" s="594" t="s">
        <v>939</v>
      </c>
      <c r="G8" s="595"/>
      <c r="H8" s="465"/>
      <c r="I8" s="465"/>
      <c r="J8" s="466"/>
    </row>
    <row r="9" spans="2:10" ht="15" thickBot="1" x14ac:dyDescent="0.35">
      <c r="B9" s="462"/>
      <c r="C9" s="463"/>
      <c r="D9" s="464"/>
      <c r="E9" s="592"/>
      <c r="F9" s="594" t="s">
        <v>940</v>
      </c>
      <c r="G9" s="595"/>
      <c r="H9" s="465"/>
      <c r="I9" s="465"/>
      <c r="J9" s="466"/>
    </row>
    <row r="10" spans="2:10" ht="15" thickBot="1" x14ac:dyDescent="0.35">
      <c r="B10" s="462"/>
      <c r="C10" s="463"/>
      <c r="D10" s="464"/>
      <c r="E10" s="592"/>
      <c r="F10" s="594" t="s">
        <v>941</v>
      </c>
      <c r="G10" s="595"/>
      <c r="H10" s="465"/>
      <c r="I10" s="465"/>
      <c r="J10" s="466"/>
    </row>
    <row r="11" spans="2:10" ht="15" thickBot="1" x14ac:dyDescent="0.35">
      <c r="B11" s="462"/>
      <c r="C11" s="463"/>
      <c r="D11" s="464"/>
      <c r="E11" s="592"/>
      <c r="F11" s="594" t="s">
        <v>942</v>
      </c>
      <c r="G11" s="595"/>
      <c r="H11" s="467"/>
      <c r="I11" s="465"/>
      <c r="J11" s="466"/>
    </row>
    <row r="12" spans="2:10" ht="15" thickBot="1" x14ac:dyDescent="0.35">
      <c r="B12" s="462"/>
      <c r="C12" s="463"/>
      <c r="D12" s="464"/>
      <c r="E12" s="592"/>
      <c r="F12" s="594" t="s">
        <v>943</v>
      </c>
      <c r="G12" s="595"/>
      <c r="H12" s="465"/>
      <c r="I12" s="468" t="s">
        <v>944</v>
      </c>
      <c r="J12" s="466"/>
    </row>
    <row r="13" spans="2:10" ht="15" thickBot="1" x14ac:dyDescent="0.35">
      <c r="B13" s="462"/>
      <c r="C13" s="463"/>
      <c r="D13" s="464"/>
      <c r="E13" s="592"/>
      <c r="F13" s="594" t="s">
        <v>945</v>
      </c>
      <c r="G13" s="595"/>
      <c r="H13" s="465"/>
      <c r="I13" s="468" t="s">
        <v>944</v>
      </c>
      <c r="J13" s="466"/>
    </row>
    <row r="14" spans="2:10" ht="15" thickBot="1" x14ac:dyDescent="0.35">
      <c r="B14" s="462"/>
      <c r="C14" s="463"/>
      <c r="D14" s="464"/>
      <c r="E14" s="592"/>
      <c r="F14" s="594" t="s">
        <v>946</v>
      </c>
      <c r="G14" s="595"/>
      <c r="H14" s="465"/>
      <c r="I14" s="468" t="s">
        <v>944</v>
      </c>
      <c r="J14" s="466"/>
    </row>
    <row r="15" spans="2:10" ht="15" thickBot="1" x14ac:dyDescent="0.35">
      <c r="B15" s="462"/>
      <c r="C15" s="463"/>
      <c r="D15" s="464"/>
      <c r="E15" s="592"/>
      <c r="F15" s="594" t="s">
        <v>947</v>
      </c>
      <c r="G15" s="595"/>
      <c r="H15" s="596"/>
      <c r="I15" s="597"/>
      <c r="J15" s="598"/>
    </row>
    <row r="16" spans="2:10" ht="15" thickBot="1" x14ac:dyDescent="0.35">
      <c r="B16" s="462"/>
      <c r="C16" s="463"/>
      <c r="D16" s="464"/>
      <c r="E16" s="593"/>
      <c r="F16" s="594" t="s">
        <v>948</v>
      </c>
      <c r="G16" s="595"/>
      <c r="H16" s="469"/>
      <c r="I16" s="469"/>
      <c r="J16" s="470"/>
    </row>
    <row r="17" spans="2:10" x14ac:dyDescent="0.3">
      <c r="B17" s="462"/>
      <c r="C17" s="463"/>
      <c r="D17" s="463"/>
      <c r="E17" s="612" t="s">
        <v>949</v>
      </c>
      <c r="F17" s="615" t="s">
        <v>950</v>
      </c>
      <c r="G17" s="615"/>
      <c r="H17" s="615"/>
      <c r="I17" s="615"/>
      <c r="J17" s="616"/>
    </row>
    <row r="18" spans="2:10" x14ac:dyDescent="0.3">
      <c r="B18" s="462"/>
      <c r="C18" s="463"/>
      <c r="D18" s="463"/>
      <c r="E18" s="613"/>
      <c r="F18" s="617" t="s">
        <v>951</v>
      </c>
      <c r="G18" s="617"/>
      <c r="H18" s="617"/>
      <c r="I18" s="617"/>
      <c r="J18" s="618"/>
    </row>
    <row r="19" spans="2:10" x14ac:dyDescent="0.3">
      <c r="B19" s="462"/>
      <c r="C19" s="463"/>
      <c r="D19" s="463"/>
      <c r="E19" s="613"/>
      <c r="F19" s="617" t="s">
        <v>952</v>
      </c>
      <c r="G19" s="617"/>
      <c r="H19" s="617"/>
      <c r="I19" s="617"/>
      <c r="J19" s="618"/>
    </row>
    <row r="20" spans="2:10" x14ac:dyDescent="0.3">
      <c r="B20" s="462"/>
      <c r="C20" s="463"/>
      <c r="D20" s="463"/>
      <c r="E20" s="613"/>
      <c r="F20" s="617" t="s">
        <v>953</v>
      </c>
      <c r="G20" s="617"/>
      <c r="H20" s="617"/>
      <c r="I20" s="617"/>
      <c r="J20" s="618"/>
    </row>
    <row r="21" spans="2:10" x14ac:dyDescent="0.3">
      <c r="B21" s="462"/>
      <c r="C21" s="463"/>
      <c r="D21" s="463"/>
      <c r="E21" s="613"/>
      <c r="F21" s="617" t="s">
        <v>954</v>
      </c>
      <c r="G21" s="617"/>
      <c r="H21" s="617"/>
      <c r="I21" s="617"/>
      <c r="J21" s="618"/>
    </row>
    <row r="22" spans="2:10" x14ac:dyDescent="0.3">
      <c r="B22" s="462"/>
      <c r="C22" s="463"/>
      <c r="D22" s="463"/>
      <c r="E22" s="613"/>
      <c r="F22" s="617" t="s">
        <v>955</v>
      </c>
      <c r="G22" s="617"/>
      <c r="H22" s="617"/>
      <c r="I22" s="617"/>
      <c r="J22" s="618"/>
    </row>
    <row r="23" spans="2:10" x14ac:dyDescent="0.3">
      <c r="B23" s="462"/>
      <c r="C23" s="463"/>
      <c r="D23" s="463"/>
      <c r="E23" s="613"/>
      <c r="F23" s="617" t="s">
        <v>956</v>
      </c>
      <c r="G23" s="617"/>
      <c r="H23" s="617"/>
      <c r="I23" s="617"/>
      <c r="J23" s="618"/>
    </row>
    <row r="24" spans="2:10" ht="15" thickBot="1" x14ac:dyDescent="0.35">
      <c r="B24" s="462"/>
      <c r="C24" s="463"/>
      <c r="D24" s="463"/>
      <c r="E24" s="614"/>
      <c r="F24" s="619" t="s">
        <v>957</v>
      </c>
      <c r="G24" s="619"/>
      <c r="H24" s="619"/>
      <c r="I24" s="619"/>
      <c r="J24" s="620"/>
    </row>
    <row r="25" spans="2:10" x14ac:dyDescent="0.3">
      <c r="B25" s="462"/>
      <c r="C25" s="463"/>
      <c r="D25" s="463"/>
      <c r="E25" s="621" t="s">
        <v>958</v>
      </c>
      <c r="F25" s="615" t="s">
        <v>959</v>
      </c>
      <c r="G25" s="615"/>
      <c r="H25" s="615"/>
      <c r="I25" s="615"/>
      <c r="J25" s="616"/>
    </row>
    <row r="26" spans="2:10" x14ac:dyDescent="0.3">
      <c r="B26" s="462"/>
      <c r="C26" s="463"/>
      <c r="D26" s="463"/>
      <c r="E26" s="622"/>
      <c r="F26" s="617" t="s">
        <v>960</v>
      </c>
      <c r="G26" s="617"/>
      <c r="H26" s="617"/>
      <c r="I26" s="617"/>
      <c r="J26" s="618"/>
    </row>
    <row r="27" spans="2:10" x14ac:dyDescent="0.3">
      <c r="B27" s="462"/>
      <c r="C27" s="463"/>
      <c r="D27" s="463"/>
      <c r="E27" s="622"/>
      <c r="F27" s="617" t="s">
        <v>961</v>
      </c>
      <c r="G27" s="617"/>
      <c r="H27" s="617"/>
      <c r="I27" s="617"/>
      <c r="J27" s="618"/>
    </row>
    <row r="28" spans="2:10" x14ac:dyDescent="0.3">
      <c r="B28" s="462"/>
      <c r="C28" s="463"/>
      <c r="D28" s="463"/>
      <c r="E28" s="622"/>
      <c r="F28" s="617" t="s">
        <v>962</v>
      </c>
      <c r="G28" s="617"/>
      <c r="H28" s="617"/>
      <c r="I28" s="617"/>
      <c r="J28" s="618"/>
    </row>
    <row r="29" spans="2:10" x14ac:dyDescent="0.3">
      <c r="B29" s="471"/>
      <c r="C29" s="472"/>
      <c r="D29" s="472"/>
      <c r="E29" s="622"/>
      <c r="F29" s="617" t="s">
        <v>963</v>
      </c>
      <c r="G29" s="617"/>
      <c r="H29" s="617"/>
      <c r="I29" s="617"/>
      <c r="J29" s="618"/>
    </row>
    <row r="30" spans="2:10" x14ac:dyDescent="0.3">
      <c r="B30" s="471"/>
      <c r="C30" s="472"/>
      <c r="D30" s="472"/>
      <c r="E30" s="622"/>
      <c r="F30" s="617" t="s">
        <v>964</v>
      </c>
      <c r="G30" s="617"/>
      <c r="H30" s="617"/>
      <c r="I30" s="617"/>
      <c r="J30" s="618"/>
    </row>
    <row r="31" spans="2:10" x14ac:dyDescent="0.3">
      <c r="B31" s="471"/>
      <c r="C31" s="472"/>
      <c r="D31" s="472"/>
      <c r="E31" s="622"/>
      <c r="F31" s="617" t="s">
        <v>965</v>
      </c>
      <c r="G31" s="617"/>
      <c r="H31" s="617"/>
      <c r="I31" s="617"/>
      <c r="J31" s="618"/>
    </row>
    <row r="32" spans="2:10" x14ac:dyDescent="0.3">
      <c r="B32" s="471"/>
      <c r="C32" s="473"/>
      <c r="D32" s="472"/>
      <c r="E32" s="622"/>
      <c r="F32" s="617" t="s">
        <v>966</v>
      </c>
      <c r="G32" s="617"/>
      <c r="H32" s="617"/>
      <c r="I32" s="617"/>
      <c r="J32" s="618"/>
    </row>
    <row r="33" spans="2:10" ht="15" thickBot="1" x14ac:dyDescent="0.35">
      <c r="B33" s="471"/>
      <c r="C33" s="473"/>
      <c r="D33" s="472"/>
      <c r="E33" s="623"/>
      <c r="F33" s="619" t="s">
        <v>967</v>
      </c>
      <c r="G33" s="619"/>
      <c r="H33" s="619"/>
      <c r="I33" s="619"/>
      <c r="J33" s="620"/>
    </row>
    <row r="34" spans="2:10" x14ac:dyDescent="0.3">
      <c r="B34" s="471"/>
      <c r="C34" s="473"/>
      <c r="D34" s="472"/>
      <c r="E34" s="621" t="s">
        <v>968</v>
      </c>
      <c r="F34" s="615" t="s">
        <v>969</v>
      </c>
      <c r="G34" s="615"/>
      <c r="H34" s="615"/>
      <c r="I34" s="615"/>
      <c r="J34" s="616"/>
    </row>
    <row r="35" spans="2:10" x14ac:dyDescent="0.3">
      <c r="B35" s="471"/>
      <c r="C35" s="473"/>
      <c r="D35" s="472"/>
      <c r="E35" s="622"/>
      <c r="F35" s="617" t="s">
        <v>970</v>
      </c>
      <c r="G35" s="617"/>
      <c r="H35" s="617"/>
      <c r="I35" s="617"/>
      <c r="J35" s="618"/>
    </row>
    <row r="36" spans="2:10" x14ac:dyDescent="0.3">
      <c r="B36" s="471"/>
      <c r="C36" s="473"/>
      <c r="D36" s="472"/>
      <c r="E36" s="622"/>
      <c r="F36" s="617" t="s">
        <v>971</v>
      </c>
      <c r="G36" s="617"/>
      <c r="H36" s="617"/>
      <c r="I36" s="617"/>
      <c r="J36" s="618"/>
    </row>
    <row r="37" spans="2:10" x14ac:dyDescent="0.3">
      <c r="B37" s="471"/>
      <c r="C37" s="473"/>
      <c r="D37" s="472"/>
      <c r="E37" s="622"/>
      <c r="F37" s="617" t="s">
        <v>972</v>
      </c>
      <c r="G37" s="617"/>
      <c r="H37" s="617"/>
      <c r="I37" s="617"/>
      <c r="J37" s="618"/>
    </row>
    <row r="38" spans="2:10" x14ac:dyDescent="0.3">
      <c r="B38" s="471"/>
      <c r="C38" s="473"/>
      <c r="D38" s="472"/>
      <c r="E38" s="622"/>
      <c r="F38" s="617" t="s">
        <v>973</v>
      </c>
      <c r="G38" s="617"/>
      <c r="H38" s="617"/>
      <c r="I38" s="617"/>
      <c r="J38" s="618"/>
    </row>
    <row r="39" spans="2:10" x14ac:dyDescent="0.3">
      <c r="B39" s="471"/>
      <c r="C39" s="473"/>
      <c r="D39" s="472"/>
      <c r="E39" s="622"/>
      <c r="F39" s="617" t="s">
        <v>974</v>
      </c>
      <c r="G39" s="617"/>
      <c r="H39" s="617"/>
      <c r="I39" s="617"/>
      <c r="J39" s="618"/>
    </row>
    <row r="40" spans="2:10" x14ac:dyDescent="0.3">
      <c r="B40" s="471"/>
      <c r="C40" s="473"/>
      <c r="D40" s="472"/>
      <c r="E40" s="622"/>
      <c r="F40" s="617" t="s">
        <v>975</v>
      </c>
      <c r="G40" s="617"/>
      <c r="H40" s="617"/>
      <c r="I40" s="617"/>
      <c r="J40" s="618"/>
    </row>
    <row r="41" spans="2:10" ht="15" thickBot="1" x14ac:dyDescent="0.35">
      <c r="B41" s="471"/>
      <c r="C41" s="473"/>
      <c r="D41" s="472"/>
      <c r="E41" s="623"/>
      <c r="F41" s="619" t="s">
        <v>976</v>
      </c>
      <c r="G41" s="619"/>
      <c r="H41" s="619"/>
      <c r="I41" s="619"/>
      <c r="J41" s="620"/>
    </row>
    <row r="42" spans="2:10" x14ac:dyDescent="0.3">
      <c r="B42" s="471"/>
      <c r="C42" s="473"/>
      <c r="D42" s="472"/>
      <c r="E42" s="621" t="s">
        <v>977</v>
      </c>
      <c r="F42" s="615" t="s">
        <v>978</v>
      </c>
      <c r="G42" s="615"/>
      <c r="H42" s="615"/>
      <c r="I42" s="615"/>
      <c r="J42" s="616"/>
    </row>
    <row r="43" spans="2:10" x14ac:dyDescent="0.3">
      <c r="B43" s="471"/>
      <c r="C43" s="473"/>
      <c r="D43" s="472"/>
      <c r="E43" s="622"/>
      <c r="F43" s="617" t="s">
        <v>979</v>
      </c>
      <c r="G43" s="617"/>
      <c r="H43" s="617"/>
      <c r="I43" s="617"/>
      <c r="J43" s="618"/>
    </row>
    <row r="44" spans="2:10" x14ac:dyDescent="0.3">
      <c r="B44" s="471"/>
      <c r="C44" s="473"/>
      <c r="D44" s="472"/>
      <c r="E44" s="622"/>
      <c r="F44" s="617" t="s">
        <v>980</v>
      </c>
      <c r="G44" s="617"/>
      <c r="H44" s="617"/>
      <c r="I44" s="617"/>
      <c r="J44" s="618"/>
    </row>
    <row r="45" spans="2:10" x14ac:dyDescent="0.3">
      <c r="B45" s="471"/>
      <c r="C45" s="473"/>
      <c r="D45" s="472"/>
      <c r="E45" s="622"/>
      <c r="F45" s="617" t="s">
        <v>981</v>
      </c>
      <c r="G45" s="617"/>
      <c r="H45" s="617"/>
      <c r="I45" s="617"/>
      <c r="J45" s="618"/>
    </row>
    <row r="46" spans="2:10" x14ac:dyDescent="0.3">
      <c r="B46" s="471"/>
      <c r="C46" s="473"/>
      <c r="D46" s="472"/>
      <c r="E46" s="622"/>
      <c r="F46" s="617" t="s">
        <v>982</v>
      </c>
      <c r="G46" s="617"/>
      <c r="H46" s="617"/>
      <c r="I46" s="617"/>
      <c r="J46" s="618"/>
    </row>
    <row r="47" spans="2:10" x14ac:dyDescent="0.3">
      <c r="B47" s="471"/>
      <c r="C47" s="473"/>
      <c r="D47" s="472"/>
      <c r="E47" s="622"/>
      <c r="F47" s="617" t="s">
        <v>983</v>
      </c>
      <c r="G47" s="617"/>
      <c r="H47" s="617"/>
      <c r="I47" s="617"/>
      <c r="J47" s="618"/>
    </row>
    <row r="48" spans="2:10" ht="15" thickBot="1" x14ac:dyDescent="0.35">
      <c r="B48" s="471"/>
      <c r="C48" s="473"/>
      <c r="D48" s="472"/>
      <c r="E48" s="623"/>
      <c r="F48" s="619" t="s">
        <v>984</v>
      </c>
      <c r="G48" s="619"/>
      <c r="H48" s="619"/>
      <c r="I48" s="619"/>
      <c r="J48" s="620"/>
    </row>
    <row r="49" spans="2:10" x14ac:dyDescent="0.3">
      <c r="B49" s="471"/>
      <c r="C49" s="473"/>
      <c r="D49" s="472"/>
      <c r="E49" s="621" t="s">
        <v>985</v>
      </c>
      <c r="F49" s="615" t="s">
        <v>986</v>
      </c>
      <c r="G49" s="615"/>
      <c r="H49" s="615"/>
      <c r="I49" s="615"/>
      <c r="J49" s="616"/>
    </row>
    <row r="50" spans="2:10" ht="15" thickBot="1" x14ac:dyDescent="0.35">
      <c r="B50" s="471"/>
      <c r="C50" s="473"/>
      <c r="D50" s="472"/>
      <c r="E50" s="623"/>
      <c r="F50" s="619" t="s">
        <v>987</v>
      </c>
      <c r="G50" s="619"/>
      <c r="H50" s="619"/>
      <c r="I50" s="619"/>
      <c r="J50" s="620"/>
    </row>
    <row r="51" spans="2:10" ht="15" thickBot="1" x14ac:dyDescent="0.35">
      <c r="B51" s="624"/>
      <c r="C51" s="624"/>
      <c r="D51" s="624"/>
      <c r="E51" s="624"/>
      <c r="F51" s="624"/>
      <c r="G51" s="624"/>
      <c r="H51" s="624"/>
      <c r="I51" s="624"/>
      <c r="J51" s="624"/>
    </row>
  </sheetData>
  <mergeCells count="60">
    <mergeCell ref="E49:E50"/>
    <mergeCell ref="F49:J49"/>
    <mergeCell ref="F50:J50"/>
    <mergeCell ref="B51:J51"/>
    <mergeCell ref="E42:E48"/>
    <mergeCell ref="F42:J42"/>
    <mergeCell ref="F43:J43"/>
    <mergeCell ref="F44:J44"/>
    <mergeCell ref="F45:J45"/>
    <mergeCell ref="F46:J46"/>
    <mergeCell ref="F47:J47"/>
    <mergeCell ref="F48:J48"/>
    <mergeCell ref="E34:E41"/>
    <mergeCell ref="F34:J34"/>
    <mergeCell ref="F35:J35"/>
    <mergeCell ref="F36:J36"/>
    <mergeCell ref="F37:J37"/>
    <mergeCell ref="F38:J38"/>
    <mergeCell ref="F39:J39"/>
    <mergeCell ref="F40:J40"/>
    <mergeCell ref="F41:J41"/>
    <mergeCell ref="E25:E33"/>
    <mergeCell ref="F25:J25"/>
    <mergeCell ref="F26:J26"/>
    <mergeCell ref="F27:J27"/>
    <mergeCell ref="F28:J28"/>
    <mergeCell ref="F29:J29"/>
    <mergeCell ref="F30:J30"/>
    <mergeCell ref="F31:J31"/>
    <mergeCell ref="F32:J32"/>
    <mergeCell ref="F33:J33"/>
    <mergeCell ref="E17:E24"/>
    <mergeCell ref="F17:J17"/>
    <mergeCell ref="F18:J18"/>
    <mergeCell ref="F19:J19"/>
    <mergeCell ref="F20:J20"/>
    <mergeCell ref="F21:J21"/>
    <mergeCell ref="F22:J22"/>
    <mergeCell ref="F23:J23"/>
    <mergeCell ref="F24:J24"/>
    <mergeCell ref="B2:G2"/>
    <mergeCell ref="H2:J3"/>
    <mergeCell ref="B3:D3"/>
    <mergeCell ref="B4:D4"/>
    <mergeCell ref="F4:G4"/>
    <mergeCell ref="I4:J4"/>
    <mergeCell ref="B5:D5"/>
    <mergeCell ref="F5:J6"/>
    <mergeCell ref="E7:E16"/>
    <mergeCell ref="F7:G7"/>
    <mergeCell ref="F8:G8"/>
    <mergeCell ref="F9:G9"/>
    <mergeCell ref="F10:G10"/>
    <mergeCell ref="F11:G11"/>
    <mergeCell ref="F12:G12"/>
    <mergeCell ref="F13:G13"/>
    <mergeCell ref="F14:G14"/>
    <mergeCell ref="F15:G15"/>
    <mergeCell ref="F16:G16"/>
    <mergeCell ref="H15:J15"/>
  </mergeCells>
  <pageMargins left="0.23611111111111099" right="0.23611111111111099" top="0.74791666666666701" bottom="0.74791666666666701" header="0.51180555555555496" footer="0.51180555555555496"/>
  <pageSetup paperSize="9" scale="60"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54A15-0A93-45C7-BAE3-E1A9597E8E0B}">
  <sheetPr codeName="Planilha2">
    <tabColor theme="6" tint="0.79998168889431442"/>
  </sheetPr>
  <dimension ref="A1:L157"/>
  <sheetViews>
    <sheetView view="pageBreakPreview" topLeftCell="A18" zoomScale="80" zoomScaleNormal="85" zoomScaleSheetLayoutView="80" workbookViewId="0">
      <selection activeCell="G39" sqref="G39"/>
    </sheetView>
  </sheetViews>
  <sheetFormatPr defaultColWidth="8.88671875" defaultRowHeight="13.2" x14ac:dyDescent="0.25"/>
  <cols>
    <col min="1" max="1" width="8.88671875" style="414" customWidth="1"/>
    <col min="2" max="2" width="17.33203125" style="415" customWidth="1"/>
    <col min="3" max="3" width="17.109375" style="415" customWidth="1"/>
    <col min="4" max="4" width="40.109375" style="415" customWidth="1"/>
    <col min="5" max="6" width="10.77734375" style="416" customWidth="1"/>
    <col min="7" max="7" width="79.6640625" style="415" customWidth="1"/>
    <col min="8" max="10" width="10.6640625" style="416" customWidth="1"/>
    <col min="11" max="11" width="79.6640625" style="415" customWidth="1"/>
    <col min="12" max="12" width="13.6640625" style="416" customWidth="1"/>
    <col min="13" max="16384" width="8.88671875" style="416"/>
  </cols>
  <sheetData>
    <row r="1" spans="1:11" x14ac:dyDescent="0.25">
      <c r="E1" s="415"/>
      <c r="G1" s="416"/>
      <c r="K1" s="416"/>
    </row>
    <row r="2" spans="1:11" s="418" customFormat="1" ht="60" customHeight="1" x14ac:dyDescent="0.25">
      <c r="A2" s="413"/>
      <c r="B2" s="653" t="s">
        <v>268</v>
      </c>
      <c r="C2" s="654"/>
      <c r="D2" s="417" t="s">
        <v>988</v>
      </c>
      <c r="E2" s="415"/>
      <c r="F2" s="416"/>
      <c r="G2" s="416"/>
      <c r="H2" s="416"/>
      <c r="I2" s="416"/>
      <c r="J2" s="416"/>
      <c r="K2" s="416"/>
    </row>
    <row r="3" spans="1:11" x14ac:dyDescent="0.25">
      <c r="A3" s="416"/>
      <c r="B3" s="419"/>
      <c r="C3" s="419"/>
      <c r="D3" s="416"/>
      <c r="E3" s="415"/>
      <c r="G3" s="416"/>
      <c r="K3" s="416"/>
    </row>
    <row r="4" spans="1:11" s="418" customFormat="1" x14ac:dyDescent="0.25">
      <c r="A4" s="413"/>
      <c r="B4" s="653" t="s">
        <v>269</v>
      </c>
      <c r="C4" s="654"/>
      <c r="D4" s="440" t="s">
        <v>989</v>
      </c>
      <c r="E4" s="415"/>
      <c r="F4" s="416"/>
      <c r="G4" s="416"/>
      <c r="H4" s="416"/>
      <c r="I4" s="416"/>
      <c r="J4" s="416"/>
      <c r="K4" s="416"/>
    </row>
    <row r="5" spans="1:11" x14ac:dyDescent="0.25">
      <c r="E5" s="415"/>
      <c r="G5" s="416"/>
      <c r="K5" s="416"/>
    </row>
    <row r="6" spans="1:11" x14ac:dyDescent="0.25">
      <c r="A6" s="424"/>
      <c r="B6" s="424" t="s">
        <v>270</v>
      </c>
      <c r="C6" s="424"/>
      <c r="D6" s="425"/>
      <c r="E6" s="415"/>
      <c r="G6" s="416"/>
      <c r="K6" s="416"/>
    </row>
    <row r="7" spans="1:11" ht="13.2" customHeight="1" x14ac:dyDescent="0.25">
      <c r="A7" s="424" t="s">
        <v>50</v>
      </c>
      <c r="B7" s="649" t="s">
        <v>44</v>
      </c>
      <c r="C7" s="650"/>
      <c r="D7" s="632" t="s">
        <v>45</v>
      </c>
      <c r="E7" s="415"/>
      <c r="G7" s="416"/>
      <c r="K7" s="416"/>
    </row>
    <row r="8" spans="1:11" x14ac:dyDescent="0.25">
      <c r="A8" s="424"/>
      <c r="B8" s="642"/>
      <c r="C8" s="643"/>
      <c r="D8" s="633"/>
      <c r="E8" s="415"/>
      <c r="G8" s="416"/>
      <c r="K8" s="416"/>
    </row>
    <row r="9" spans="1:11" x14ac:dyDescent="0.25">
      <c r="A9" s="426">
        <v>1</v>
      </c>
      <c r="B9" s="638" t="s">
        <v>254</v>
      </c>
      <c r="C9" s="639"/>
      <c r="D9" s="427"/>
      <c r="E9" s="415"/>
      <c r="G9" s="416"/>
      <c r="K9" s="416"/>
    </row>
    <row r="10" spans="1:11" x14ac:dyDescent="0.25">
      <c r="A10" s="426">
        <v>2</v>
      </c>
      <c r="B10" s="638" t="s">
        <v>271</v>
      </c>
      <c r="C10" s="639"/>
      <c r="D10" s="427"/>
      <c r="E10" s="415"/>
      <c r="G10" s="416"/>
      <c r="K10" s="416"/>
    </row>
    <row r="11" spans="1:11" ht="13.2" customHeight="1" x14ac:dyDescent="0.25">
      <c r="A11" s="426">
        <v>3</v>
      </c>
      <c r="B11" s="638" t="s">
        <v>272</v>
      </c>
      <c r="C11" s="639"/>
      <c r="D11" s="427"/>
      <c r="E11" s="415"/>
      <c r="G11" s="416"/>
      <c r="K11" s="416"/>
    </row>
    <row r="12" spans="1:11" ht="13.2" customHeight="1" x14ac:dyDescent="0.25">
      <c r="A12" s="426">
        <v>4</v>
      </c>
      <c r="B12" s="638" t="s">
        <v>273</v>
      </c>
      <c r="C12" s="639"/>
      <c r="D12" s="427"/>
      <c r="E12" s="415"/>
      <c r="G12" s="416"/>
      <c r="K12" s="416"/>
    </row>
    <row r="13" spans="1:11" x14ac:dyDescent="0.25">
      <c r="A13" s="426">
        <v>5</v>
      </c>
      <c r="B13" s="638" t="s">
        <v>258</v>
      </c>
      <c r="C13" s="639"/>
      <c r="D13" s="427"/>
      <c r="E13" s="415"/>
      <c r="G13" s="416"/>
      <c r="K13" s="416"/>
    </row>
    <row r="14" spans="1:11" x14ac:dyDescent="0.25">
      <c r="A14" s="416"/>
      <c r="B14" s="416"/>
      <c r="C14" s="416"/>
      <c r="D14" s="416"/>
      <c r="E14" s="415"/>
      <c r="G14" s="416"/>
      <c r="K14" s="416"/>
    </row>
    <row r="15" spans="1:11" x14ac:dyDescent="0.25">
      <c r="A15" s="424"/>
      <c r="B15" s="656" t="s">
        <v>274</v>
      </c>
      <c r="C15" s="657"/>
      <c r="D15" s="425"/>
      <c r="E15" s="415"/>
      <c r="G15" s="416"/>
      <c r="K15" s="416"/>
    </row>
    <row r="16" spans="1:11" ht="13.2" customHeight="1" x14ac:dyDescent="0.25">
      <c r="A16" s="424" t="s">
        <v>50</v>
      </c>
      <c r="B16" s="649" t="s">
        <v>44</v>
      </c>
      <c r="C16" s="650"/>
      <c r="D16" s="632" t="s">
        <v>275</v>
      </c>
      <c r="E16" s="415"/>
      <c r="G16" s="416"/>
      <c r="K16" s="416"/>
    </row>
    <row r="17" spans="1:12" x14ac:dyDescent="0.25">
      <c r="A17" s="424"/>
      <c r="B17" s="642"/>
      <c r="C17" s="643"/>
      <c r="D17" s="633"/>
      <c r="E17" s="415"/>
      <c r="G17" s="416"/>
      <c r="K17" s="416"/>
    </row>
    <row r="18" spans="1:12" ht="12.75" customHeight="1" x14ac:dyDescent="0.25">
      <c r="A18" s="426">
        <v>1</v>
      </c>
      <c r="B18" s="638" t="s">
        <v>365</v>
      </c>
      <c r="C18" s="639"/>
      <c r="D18" s="427"/>
      <c r="E18" s="415"/>
      <c r="G18" s="416"/>
      <c r="K18" s="416"/>
    </row>
    <row r="19" spans="1:12" ht="12.75" customHeight="1" x14ac:dyDescent="0.25">
      <c r="A19" s="426">
        <v>2</v>
      </c>
      <c r="B19" s="638" t="s">
        <v>366</v>
      </c>
      <c r="C19" s="639"/>
      <c r="D19" s="427"/>
      <c r="E19" s="415"/>
      <c r="G19" s="416"/>
      <c r="K19" s="416"/>
    </row>
    <row r="20" spans="1:12" ht="15" customHeight="1" x14ac:dyDescent="0.25">
      <c r="A20" s="426">
        <v>3</v>
      </c>
      <c r="B20" s="638" t="s">
        <v>385</v>
      </c>
      <c r="C20" s="639"/>
      <c r="D20" s="427"/>
      <c r="E20" s="415"/>
      <c r="G20" s="416"/>
      <c r="K20" s="416"/>
    </row>
    <row r="21" spans="1:12" ht="13.2" customHeight="1" x14ac:dyDescent="0.25">
      <c r="A21" s="426">
        <v>4</v>
      </c>
      <c r="B21" s="638" t="s">
        <v>386</v>
      </c>
      <c r="C21" s="639"/>
      <c r="D21" s="427"/>
      <c r="E21" s="415"/>
      <c r="G21" s="416"/>
      <c r="K21" s="416"/>
    </row>
    <row r="22" spans="1:12" ht="13.2" customHeight="1" x14ac:dyDescent="0.25">
      <c r="A22" s="426">
        <v>5</v>
      </c>
      <c r="B22" s="638" t="s">
        <v>387</v>
      </c>
      <c r="C22" s="639"/>
      <c r="D22" s="427"/>
      <c r="E22" s="415"/>
      <c r="G22" s="416"/>
      <c r="K22" s="416"/>
    </row>
    <row r="23" spans="1:12" ht="13.2" customHeight="1" x14ac:dyDescent="0.25">
      <c r="A23" s="426">
        <v>6</v>
      </c>
      <c r="B23" s="638" t="s">
        <v>388</v>
      </c>
      <c r="C23" s="639"/>
      <c r="D23" s="427"/>
      <c r="E23" s="415"/>
      <c r="G23" s="416"/>
      <c r="K23" s="416"/>
    </row>
    <row r="24" spans="1:12" ht="13.2" customHeight="1" x14ac:dyDescent="0.25">
      <c r="A24" s="426">
        <v>7</v>
      </c>
      <c r="B24" s="638"/>
      <c r="C24" s="639"/>
      <c r="D24" s="427"/>
      <c r="E24" s="415"/>
      <c r="G24" s="416"/>
      <c r="K24" s="416"/>
    </row>
    <row r="25" spans="1:12" ht="13.2" customHeight="1" x14ac:dyDescent="0.25">
      <c r="A25" s="426">
        <v>8</v>
      </c>
      <c r="B25" s="638"/>
      <c r="C25" s="639"/>
      <c r="D25" s="427"/>
      <c r="E25" s="415"/>
      <c r="G25" s="416"/>
      <c r="H25" s="424" t="s">
        <v>865</v>
      </c>
      <c r="I25" s="425"/>
      <c r="J25" s="425"/>
      <c r="K25" s="625" t="s">
        <v>1073</v>
      </c>
    </row>
    <row r="26" spans="1:12" ht="13.2" customHeight="1" x14ac:dyDescent="0.25">
      <c r="A26" s="426">
        <v>9</v>
      </c>
      <c r="B26" s="638"/>
      <c r="C26" s="639"/>
      <c r="D26" s="427"/>
      <c r="E26" s="415"/>
      <c r="G26" s="416"/>
      <c r="H26" s="499" t="s">
        <v>863</v>
      </c>
      <c r="I26" s="499"/>
      <c r="J26" s="499"/>
      <c r="K26" s="625"/>
    </row>
    <row r="27" spans="1:12" x14ac:dyDescent="0.25">
      <c r="A27" s="426">
        <v>10</v>
      </c>
      <c r="B27" s="638"/>
      <c r="C27" s="639"/>
      <c r="D27" s="427"/>
      <c r="E27" s="415"/>
      <c r="G27" s="416"/>
      <c r="H27" s="500" t="s">
        <v>864</v>
      </c>
      <c r="I27" s="500"/>
      <c r="J27" s="500"/>
      <c r="K27" s="625"/>
    </row>
    <row r="28" spans="1:12" x14ac:dyDescent="0.25">
      <c r="E28" s="415"/>
      <c r="G28" s="416"/>
      <c r="K28" s="416"/>
    </row>
    <row r="29" spans="1:12" ht="15" customHeight="1" x14ac:dyDescent="0.25">
      <c r="A29" s="428" t="s">
        <v>49</v>
      </c>
      <c r="B29" s="429"/>
      <c r="C29" s="429"/>
      <c r="D29" s="431"/>
      <c r="E29" s="429"/>
      <c r="F29" s="432"/>
      <c r="G29" s="432"/>
      <c r="H29" s="628" t="s">
        <v>73</v>
      </c>
      <c r="I29" s="629"/>
      <c r="J29" s="629"/>
      <c r="K29" s="432"/>
    </row>
    <row r="30" spans="1:12" ht="15" customHeight="1" x14ac:dyDescent="0.25">
      <c r="A30" s="635" t="s">
        <v>50</v>
      </c>
      <c r="B30" s="640" t="s">
        <v>44</v>
      </c>
      <c r="C30" s="641"/>
      <c r="D30" s="633" t="s">
        <v>45</v>
      </c>
      <c r="E30" s="635" t="s">
        <v>46</v>
      </c>
      <c r="F30" s="636"/>
      <c r="G30" s="432"/>
      <c r="H30" s="630"/>
      <c r="I30" s="631"/>
      <c r="J30" s="631"/>
      <c r="K30" s="432"/>
    </row>
    <row r="31" spans="1:12" ht="15" customHeight="1" x14ac:dyDescent="0.25">
      <c r="A31" s="637"/>
      <c r="B31" s="642"/>
      <c r="C31" s="643"/>
      <c r="D31" s="634"/>
      <c r="E31" s="433" t="s">
        <v>47</v>
      </c>
      <c r="F31" s="433" t="s">
        <v>48</v>
      </c>
      <c r="G31" s="481" t="s">
        <v>93</v>
      </c>
      <c r="H31" s="433" t="s">
        <v>91</v>
      </c>
      <c r="I31" s="420" t="s">
        <v>92</v>
      </c>
      <c r="J31" s="420" t="s">
        <v>89</v>
      </c>
      <c r="K31" s="481" t="s">
        <v>1072</v>
      </c>
      <c r="L31" s="418"/>
    </row>
    <row r="32" spans="1:12" s="418" customFormat="1" ht="49.95" customHeight="1" x14ac:dyDescent="0.3">
      <c r="A32" s="413">
        <v>1</v>
      </c>
      <c r="B32" s="651" t="s">
        <v>51</v>
      </c>
      <c r="C32" s="652"/>
      <c r="D32" s="417"/>
      <c r="E32" s="413"/>
      <c r="F32" s="413" t="str">
        <f t="shared" ref="F32" si="0">IF(E32="","X","")</f>
        <v>X</v>
      </c>
      <c r="G32" s="482"/>
      <c r="H32" s="435">
        <v>0</v>
      </c>
      <c r="I32" s="435">
        <v>0</v>
      </c>
      <c r="J32" s="434">
        <f>H32*I32*8</f>
        <v>0</v>
      </c>
      <c r="K32" s="482"/>
    </row>
    <row r="34" spans="1:12" ht="15" customHeight="1" x14ac:dyDescent="0.25">
      <c r="A34" s="428" t="s">
        <v>43</v>
      </c>
      <c r="B34" s="429"/>
      <c r="C34" s="429"/>
      <c r="D34" s="431"/>
      <c r="E34" s="429"/>
      <c r="F34" s="432"/>
      <c r="G34" s="432"/>
      <c r="H34" s="628" t="s">
        <v>73</v>
      </c>
      <c r="I34" s="629"/>
      <c r="J34" s="629"/>
      <c r="K34" s="432"/>
    </row>
    <row r="35" spans="1:12" ht="15" customHeight="1" x14ac:dyDescent="0.25">
      <c r="A35" s="635" t="s">
        <v>50</v>
      </c>
      <c r="B35" s="640" t="s">
        <v>44</v>
      </c>
      <c r="C35" s="641"/>
      <c r="D35" s="633" t="s">
        <v>45</v>
      </c>
      <c r="E35" s="635" t="s">
        <v>46</v>
      </c>
      <c r="F35" s="636"/>
      <c r="G35" s="432"/>
      <c r="H35" s="630"/>
      <c r="I35" s="631"/>
      <c r="J35" s="631"/>
      <c r="K35" s="432"/>
    </row>
    <row r="36" spans="1:12" ht="15" customHeight="1" x14ac:dyDescent="0.25">
      <c r="A36" s="637"/>
      <c r="B36" s="642"/>
      <c r="C36" s="643"/>
      <c r="D36" s="634"/>
      <c r="E36" s="433" t="s">
        <v>47</v>
      </c>
      <c r="F36" s="433" t="s">
        <v>48</v>
      </c>
      <c r="G36" s="481" t="str">
        <f>$G$31</f>
        <v>PREMISSAS e EXCLUSÕES</v>
      </c>
      <c r="H36" s="433" t="s">
        <v>91</v>
      </c>
      <c r="I36" s="420" t="s">
        <v>92</v>
      </c>
      <c r="J36" s="420" t="s">
        <v>89</v>
      </c>
      <c r="K36" s="481" t="s">
        <v>1072</v>
      </c>
      <c r="L36" s="418"/>
    </row>
    <row r="37" spans="1:12" s="418" customFormat="1" ht="49.95" customHeight="1" x14ac:dyDescent="0.3">
      <c r="A37" s="413">
        <f>1</f>
        <v>1</v>
      </c>
      <c r="B37" s="638" t="s">
        <v>52</v>
      </c>
      <c r="C37" s="639"/>
      <c r="D37" s="417"/>
      <c r="E37" s="413"/>
      <c r="F37" s="413" t="str">
        <f t="shared" ref="F37:F39" si="1">IF(E37="","X","")</f>
        <v>X</v>
      </c>
      <c r="G37" s="482"/>
      <c r="H37" s="435">
        <v>0</v>
      </c>
      <c r="I37" s="435">
        <v>0</v>
      </c>
      <c r="J37" s="434">
        <f t="shared" ref="J37:J39" si="2">H37*I37*8</f>
        <v>0</v>
      </c>
      <c r="K37" s="482"/>
    </row>
    <row r="38" spans="1:12" s="418" customFormat="1" ht="49.95" customHeight="1" x14ac:dyDescent="0.3">
      <c r="A38" s="413">
        <f>A37+1</f>
        <v>2</v>
      </c>
      <c r="B38" s="638" t="s">
        <v>53</v>
      </c>
      <c r="C38" s="639"/>
      <c r="D38" s="417"/>
      <c r="E38" s="413"/>
      <c r="F38" s="413" t="str">
        <f t="shared" si="1"/>
        <v>X</v>
      </c>
      <c r="G38" s="482"/>
      <c r="H38" s="435">
        <v>0</v>
      </c>
      <c r="I38" s="435">
        <v>0</v>
      </c>
      <c r="J38" s="434">
        <f t="shared" si="2"/>
        <v>0</v>
      </c>
      <c r="K38" s="482"/>
    </row>
    <row r="39" spans="1:12" s="418" customFormat="1" ht="49.95" customHeight="1" x14ac:dyDescent="0.3">
      <c r="A39" s="413">
        <f>A38+1</f>
        <v>3</v>
      </c>
      <c r="B39" s="638" t="s">
        <v>993</v>
      </c>
      <c r="C39" s="639"/>
      <c r="D39" s="417"/>
      <c r="E39" s="413"/>
      <c r="F39" s="413" t="str">
        <f t="shared" si="1"/>
        <v>X</v>
      </c>
      <c r="G39" s="482"/>
      <c r="H39" s="435">
        <v>0</v>
      </c>
      <c r="I39" s="435">
        <v>0</v>
      </c>
      <c r="J39" s="434">
        <f t="shared" si="2"/>
        <v>0</v>
      </c>
      <c r="K39" s="482"/>
    </row>
    <row r="41" spans="1:12" ht="15" customHeight="1" x14ac:dyDescent="0.25">
      <c r="A41" s="428" t="s">
        <v>76</v>
      </c>
      <c r="B41" s="429"/>
      <c r="C41" s="429"/>
      <c r="D41" s="431"/>
      <c r="E41" s="429"/>
      <c r="F41" s="432"/>
      <c r="G41" s="432"/>
      <c r="H41" s="628" t="s">
        <v>73</v>
      </c>
      <c r="I41" s="629"/>
      <c r="J41" s="629"/>
      <c r="K41" s="432"/>
    </row>
    <row r="42" spans="1:12" ht="15" customHeight="1" x14ac:dyDescent="0.25">
      <c r="A42" s="635" t="s">
        <v>50</v>
      </c>
      <c r="B42" s="640" t="s">
        <v>44</v>
      </c>
      <c r="C42" s="641"/>
      <c r="D42" s="633" t="s">
        <v>45</v>
      </c>
      <c r="E42" s="635" t="s">
        <v>46</v>
      </c>
      <c r="F42" s="636"/>
      <c r="G42" s="432"/>
      <c r="H42" s="630"/>
      <c r="I42" s="631"/>
      <c r="J42" s="631"/>
      <c r="K42" s="432"/>
    </row>
    <row r="43" spans="1:12" ht="15" customHeight="1" x14ac:dyDescent="0.25">
      <c r="A43" s="637"/>
      <c r="B43" s="642"/>
      <c r="C43" s="643"/>
      <c r="D43" s="634"/>
      <c r="E43" s="433" t="s">
        <v>47</v>
      </c>
      <c r="F43" s="433" t="s">
        <v>48</v>
      </c>
      <c r="G43" s="481" t="str">
        <f>$G$31</f>
        <v>PREMISSAS e EXCLUSÕES</v>
      </c>
      <c r="H43" s="433" t="s">
        <v>91</v>
      </c>
      <c r="I43" s="420" t="s">
        <v>92</v>
      </c>
      <c r="J43" s="420" t="s">
        <v>89</v>
      </c>
      <c r="K43" s="481" t="s">
        <v>1072</v>
      </c>
      <c r="L43" s="418"/>
    </row>
    <row r="44" spans="1:12" s="418" customFormat="1" ht="49.95" customHeight="1" x14ac:dyDescent="0.3">
      <c r="A44" s="413">
        <f>1</f>
        <v>1</v>
      </c>
      <c r="B44" s="626" t="s">
        <v>54</v>
      </c>
      <c r="C44" s="627"/>
      <c r="D44" s="417"/>
      <c r="E44" s="413"/>
      <c r="F44" s="413" t="str">
        <f t="shared" ref="F44:F48" si="3">IF(E44="","X","")</f>
        <v>X</v>
      </c>
      <c r="G44" s="482"/>
      <c r="H44" s="435">
        <v>0</v>
      </c>
      <c r="I44" s="435"/>
      <c r="J44" s="434">
        <f t="shared" ref="J44:J48" si="4">H44*I44*8</f>
        <v>0</v>
      </c>
      <c r="K44" s="482"/>
    </row>
    <row r="45" spans="1:12" s="418" customFormat="1" ht="49.95" customHeight="1" x14ac:dyDescent="0.3">
      <c r="A45" s="413">
        <f>A44+1</f>
        <v>2</v>
      </c>
      <c r="B45" s="626" t="s">
        <v>55</v>
      </c>
      <c r="C45" s="627"/>
      <c r="D45" s="417"/>
      <c r="E45" s="413"/>
      <c r="F45" s="413" t="str">
        <f t="shared" si="3"/>
        <v>X</v>
      </c>
      <c r="G45" s="482"/>
      <c r="H45" s="435">
        <v>0</v>
      </c>
      <c r="I45" s="435"/>
      <c r="J45" s="434">
        <f t="shared" si="4"/>
        <v>0</v>
      </c>
      <c r="K45" s="482"/>
    </row>
    <row r="46" spans="1:12" s="418" customFormat="1" ht="49.95" customHeight="1" x14ac:dyDescent="0.3">
      <c r="A46" s="413">
        <f t="shared" ref="A46:A48" si="5">A45+1</f>
        <v>3</v>
      </c>
      <c r="B46" s="626" t="s">
        <v>56</v>
      </c>
      <c r="C46" s="627"/>
      <c r="D46" s="417"/>
      <c r="E46" s="413"/>
      <c r="F46" s="413" t="str">
        <f t="shared" si="3"/>
        <v>X</v>
      </c>
      <c r="G46" s="482"/>
      <c r="H46" s="435">
        <v>0</v>
      </c>
      <c r="I46" s="435">
        <v>0</v>
      </c>
      <c r="J46" s="434">
        <f t="shared" si="4"/>
        <v>0</v>
      </c>
      <c r="K46" s="482"/>
    </row>
    <row r="47" spans="1:12" s="418" customFormat="1" ht="49.95" customHeight="1" x14ac:dyDescent="0.3">
      <c r="A47" s="413">
        <f t="shared" si="5"/>
        <v>4</v>
      </c>
      <c r="B47" s="626" t="s">
        <v>57</v>
      </c>
      <c r="C47" s="627"/>
      <c r="D47" s="417"/>
      <c r="E47" s="413"/>
      <c r="F47" s="413" t="str">
        <f t="shared" si="3"/>
        <v>X</v>
      </c>
      <c r="G47" s="482"/>
      <c r="H47" s="435">
        <v>0</v>
      </c>
      <c r="I47" s="435">
        <v>0</v>
      </c>
      <c r="J47" s="434">
        <f t="shared" si="4"/>
        <v>0</v>
      </c>
      <c r="K47" s="482"/>
    </row>
    <row r="48" spans="1:12" s="418" customFormat="1" ht="49.95" customHeight="1" x14ac:dyDescent="0.3">
      <c r="A48" s="413">
        <f t="shared" si="5"/>
        <v>5</v>
      </c>
      <c r="B48" s="638" t="s">
        <v>993</v>
      </c>
      <c r="C48" s="639"/>
      <c r="D48" s="417"/>
      <c r="E48" s="413"/>
      <c r="F48" s="413" t="str">
        <f t="shared" si="3"/>
        <v>X</v>
      </c>
      <c r="G48" s="482"/>
      <c r="H48" s="435">
        <v>0</v>
      </c>
      <c r="I48" s="435">
        <v>0</v>
      </c>
      <c r="J48" s="434">
        <f t="shared" si="4"/>
        <v>0</v>
      </c>
      <c r="K48" s="482"/>
    </row>
    <row r="50" spans="1:12" ht="15" customHeight="1" x14ac:dyDescent="0.25">
      <c r="A50" s="428" t="s">
        <v>58</v>
      </c>
      <c r="B50" s="429"/>
      <c r="C50" s="429"/>
      <c r="D50" s="431"/>
      <c r="E50" s="429"/>
      <c r="F50" s="432"/>
      <c r="G50" s="432"/>
      <c r="H50" s="628" t="s">
        <v>73</v>
      </c>
      <c r="I50" s="629"/>
      <c r="J50" s="629"/>
      <c r="K50" s="432"/>
    </row>
    <row r="51" spans="1:12" ht="15" customHeight="1" x14ac:dyDescent="0.25">
      <c r="A51" s="635" t="s">
        <v>50</v>
      </c>
      <c r="B51" s="640" t="s">
        <v>44</v>
      </c>
      <c r="C51" s="641"/>
      <c r="D51" s="633" t="s">
        <v>45</v>
      </c>
      <c r="E51" s="635" t="s">
        <v>46</v>
      </c>
      <c r="F51" s="636"/>
      <c r="G51" s="432"/>
      <c r="H51" s="630"/>
      <c r="I51" s="631"/>
      <c r="J51" s="631"/>
      <c r="K51" s="432"/>
    </row>
    <row r="52" spans="1:12" ht="15" customHeight="1" x14ac:dyDescent="0.25">
      <c r="A52" s="637"/>
      <c r="B52" s="642"/>
      <c r="C52" s="643"/>
      <c r="D52" s="634"/>
      <c r="E52" s="433" t="s">
        <v>47</v>
      </c>
      <c r="F52" s="433" t="s">
        <v>48</v>
      </c>
      <c r="G52" s="481" t="str">
        <f>$G$31</f>
        <v>PREMISSAS e EXCLUSÕES</v>
      </c>
      <c r="H52" s="433" t="s">
        <v>91</v>
      </c>
      <c r="I52" s="420" t="s">
        <v>92</v>
      </c>
      <c r="J52" s="420" t="s">
        <v>89</v>
      </c>
      <c r="K52" s="481" t="s">
        <v>1072</v>
      </c>
      <c r="L52" s="418"/>
    </row>
    <row r="53" spans="1:12" s="418" customFormat="1" ht="49.95" customHeight="1" x14ac:dyDescent="0.3">
      <c r="A53" s="413">
        <f>1</f>
        <v>1</v>
      </c>
      <c r="B53" s="638" t="s">
        <v>59</v>
      </c>
      <c r="C53" s="639"/>
      <c r="D53" s="417"/>
      <c r="E53" s="413"/>
      <c r="F53" s="413" t="str">
        <f t="shared" ref="F53:F55" si="6">IF(E53="","X","")</f>
        <v>X</v>
      </c>
      <c r="G53" s="480"/>
      <c r="H53" s="435">
        <v>0</v>
      </c>
      <c r="I53" s="435">
        <v>0</v>
      </c>
      <c r="J53" s="434">
        <f t="shared" ref="J53:J55" si="7">H53*I53*8</f>
        <v>0</v>
      </c>
      <c r="K53" s="480"/>
    </row>
    <row r="54" spans="1:12" s="418" customFormat="1" ht="49.95" customHeight="1" x14ac:dyDescent="0.3">
      <c r="A54" s="413">
        <f>A53+1</f>
        <v>2</v>
      </c>
      <c r="B54" s="638" t="s">
        <v>60</v>
      </c>
      <c r="C54" s="639"/>
      <c r="D54" s="417"/>
      <c r="E54" s="413"/>
      <c r="F54" s="413" t="str">
        <f t="shared" si="6"/>
        <v>X</v>
      </c>
      <c r="G54" s="480"/>
      <c r="H54" s="435">
        <v>0</v>
      </c>
      <c r="I54" s="435">
        <v>0</v>
      </c>
      <c r="J54" s="434">
        <f t="shared" si="7"/>
        <v>0</v>
      </c>
      <c r="K54" s="480"/>
    </row>
    <row r="55" spans="1:12" s="418" customFormat="1" ht="49.95" customHeight="1" x14ac:dyDescent="0.3">
      <c r="A55" s="413">
        <f>A54+1</f>
        <v>3</v>
      </c>
      <c r="B55" s="638" t="s">
        <v>993</v>
      </c>
      <c r="C55" s="639"/>
      <c r="D55" s="417"/>
      <c r="E55" s="413"/>
      <c r="F55" s="413" t="str">
        <f t="shared" si="6"/>
        <v>X</v>
      </c>
      <c r="G55" s="480"/>
      <c r="H55" s="435">
        <v>0</v>
      </c>
      <c r="I55" s="435">
        <v>0</v>
      </c>
      <c r="J55" s="434">
        <f t="shared" si="7"/>
        <v>0</v>
      </c>
      <c r="K55" s="480"/>
    </row>
    <row r="57" spans="1:12" ht="15" customHeight="1" x14ac:dyDescent="0.25">
      <c r="A57" s="428" t="s">
        <v>61</v>
      </c>
      <c r="B57" s="429"/>
      <c r="C57" s="429"/>
      <c r="D57" s="431"/>
      <c r="E57" s="429"/>
      <c r="F57" s="432"/>
      <c r="G57" s="432"/>
      <c r="H57" s="628" t="s">
        <v>73</v>
      </c>
      <c r="I57" s="629"/>
      <c r="J57" s="629"/>
      <c r="K57" s="432"/>
    </row>
    <row r="58" spans="1:12" ht="15" customHeight="1" x14ac:dyDescent="0.25">
      <c r="A58" s="635" t="s">
        <v>50</v>
      </c>
      <c r="B58" s="640" t="s">
        <v>44</v>
      </c>
      <c r="C58" s="641"/>
      <c r="D58" s="633" t="s">
        <v>45</v>
      </c>
      <c r="E58" s="635" t="s">
        <v>46</v>
      </c>
      <c r="F58" s="636"/>
      <c r="G58" s="432"/>
      <c r="H58" s="630"/>
      <c r="I58" s="631"/>
      <c r="J58" s="631"/>
      <c r="K58" s="432"/>
    </row>
    <row r="59" spans="1:12" ht="15" customHeight="1" x14ac:dyDescent="0.25">
      <c r="A59" s="637"/>
      <c r="B59" s="642"/>
      <c r="C59" s="643"/>
      <c r="D59" s="634"/>
      <c r="E59" s="433" t="s">
        <v>47</v>
      </c>
      <c r="F59" s="433" t="s">
        <v>48</v>
      </c>
      <c r="G59" s="481" t="str">
        <f>$G$31</f>
        <v>PREMISSAS e EXCLUSÕES</v>
      </c>
      <c r="H59" s="433" t="s">
        <v>91</v>
      </c>
      <c r="I59" s="420" t="s">
        <v>92</v>
      </c>
      <c r="J59" s="420" t="s">
        <v>89</v>
      </c>
      <c r="K59" s="481" t="s">
        <v>1072</v>
      </c>
      <c r="L59" s="418"/>
    </row>
    <row r="60" spans="1:12" s="418" customFormat="1" ht="49.95" customHeight="1" x14ac:dyDescent="0.3">
      <c r="A60" s="413">
        <f>1</f>
        <v>1</v>
      </c>
      <c r="B60" s="638" t="s">
        <v>318</v>
      </c>
      <c r="C60" s="639"/>
      <c r="D60" s="417"/>
      <c r="E60" s="413"/>
      <c r="F60" s="413" t="str">
        <f t="shared" ref="F60:F64" si="8">IF(E60="","X","")</f>
        <v>X</v>
      </c>
      <c r="G60" s="480"/>
      <c r="H60" s="435">
        <v>0</v>
      </c>
      <c r="I60" s="435">
        <v>0</v>
      </c>
      <c r="J60" s="434">
        <f t="shared" ref="J60:J64" si="9">H60*I60*8</f>
        <v>0</v>
      </c>
      <c r="K60" s="480"/>
    </row>
    <row r="61" spans="1:12" s="418" customFormat="1" ht="49.95" customHeight="1" x14ac:dyDescent="0.3">
      <c r="A61" s="413">
        <f>A60+1</f>
        <v>2</v>
      </c>
      <c r="B61" s="638" t="s">
        <v>62</v>
      </c>
      <c r="C61" s="639"/>
      <c r="D61" s="417"/>
      <c r="E61" s="413"/>
      <c r="F61" s="413" t="str">
        <f t="shared" si="8"/>
        <v>X</v>
      </c>
      <c r="G61" s="480"/>
      <c r="H61" s="435">
        <v>0</v>
      </c>
      <c r="I61" s="435">
        <v>0</v>
      </c>
      <c r="J61" s="434">
        <f t="shared" si="9"/>
        <v>0</v>
      </c>
      <c r="K61" s="480"/>
    </row>
    <row r="62" spans="1:12" s="418" customFormat="1" ht="49.95" customHeight="1" x14ac:dyDescent="0.3">
      <c r="A62" s="413">
        <f t="shared" ref="A62:A64" si="10">A61+1</f>
        <v>3</v>
      </c>
      <c r="B62" s="638" t="s">
        <v>63</v>
      </c>
      <c r="C62" s="639"/>
      <c r="D62" s="417"/>
      <c r="E62" s="413"/>
      <c r="F62" s="413" t="str">
        <f t="shared" si="8"/>
        <v>X</v>
      </c>
      <c r="G62" s="480"/>
      <c r="H62" s="435">
        <v>0</v>
      </c>
      <c r="I62" s="435">
        <v>0</v>
      </c>
      <c r="J62" s="434">
        <f t="shared" si="9"/>
        <v>0</v>
      </c>
      <c r="K62" s="480"/>
    </row>
    <row r="63" spans="1:12" s="418" customFormat="1" ht="49.95" customHeight="1" x14ac:dyDescent="0.3">
      <c r="A63" s="413">
        <f t="shared" si="10"/>
        <v>4</v>
      </c>
      <c r="B63" s="638" t="s">
        <v>64</v>
      </c>
      <c r="C63" s="639"/>
      <c r="D63" s="417"/>
      <c r="E63" s="413"/>
      <c r="F63" s="413" t="str">
        <f t="shared" si="8"/>
        <v>X</v>
      </c>
      <c r="G63" s="480"/>
      <c r="H63" s="435">
        <v>0</v>
      </c>
      <c r="I63" s="435">
        <v>0</v>
      </c>
      <c r="J63" s="434">
        <f t="shared" si="9"/>
        <v>0</v>
      </c>
      <c r="K63" s="480"/>
    </row>
    <row r="64" spans="1:12" s="418" customFormat="1" ht="49.95" customHeight="1" x14ac:dyDescent="0.3">
      <c r="A64" s="413">
        <f t="shared" si="10"/>
        <v>5</v>
      </c>
      <c r="B64" s="638" t="s">
        <v>65</v>
      </c>
      <c r="C64" s="639"/>
      <c r="D64" s="417"/>
      <c r="E64" s="413"/>
      <c r="F64" s="413" t="str">
        <f t="shared" si="8"/>
        <v>X</v>
      </c>
      <c r="G64" s="480"/>
      <c r="H64" s="435">
        <v>0</v>
      </c>
      <c r="I64" s="435">
        <v>0</v>
      </c>
      <c r="J64" s="434">
        <f t="shared" si="9"/>
        <v>0</v>
      </c>
      <c r="K64" s="480"/>
    </row>
    <row r="66" spans="1:12" ht="15" customHeight="1" x14ac:dyDescent="0.25">
      <c r="A66" s="428" t="s">
        <v>1089</v>
      </c>
      <c r="B66" s="429"/>
      <c r="C66" s="429"/>
      <c r="D66" s="431"/>
      <c r="E66" s="429"/>
      <c r="F66" s="432"/>
      <c r="G66" s="432"/>
      <c r="H66" s="628" t="s">
        <v>73</v>
      </c>
      <c r="I66" s="629"/>
      <c r="J66" s="629"/>
      <c r="K66" s="432"/>
    </row>
    <row r="67" spans="1:12" ht="15" customHeight="1" x14ac:dyDescent="0.25">
      <c r="A67" s="635" t="s">
        <v>50</v>
      </c>
      <c r="B67" s="640" t="s">
        <v>44</v>
      </c>
      <c r="C67" s="641"/>
      <c r="D67" s="633" t="s">
        <v>45</v>
      </c>
      <c r="E67" s="635" t="s">
        <v>46</v>
      </c>
      <c r="F67" s="636"/>
      <c r="G67" s="432"/>
      <c r="H67" s="630"/>
      <c r="I67" s="631"/>
      <c r="J67" s="631"/>
      <c r="K67" s="432"/>
    </row>
    <row r="68" spans="1:12" ht="15" customHeight="1" x14ac:dyDescent="0.25">
      <c r="A68" s="637"/>
      <c r="B68" s="642"/>
      <c r="C68" s="643"/>
      <c r="D68" s="634"/>
      <c r="E68" s="433" t="s">
        <v>47</v>
      </c>
      <c r="F68" s="433" t="s">
        <v>48</v>
      </c>
      <c r="G68" s="481" t="str">
        <f>$G$31</f>
        <v>PREMISSAS e EXCLUSÕES</v>
      </c>
      <c r="H68" s="433" t="s">
        <v>91</v>
      </c>
      <c r="I68" s="420" t="s">
        <v>92</v>
      </c>
      <c r="J68" s="420" t="s">
        <v>89</v>
      </c>
      <c r="K68" s="481" t="s">
        <v>1072</v>
      </c>
      <c r="L68" s="418"/>
    </row>
    <row r="69" spans="1:12" s="418" customFormat="1" ht="49.95" customHeight="1" x14ac:dyDescent="0.3">
      <c r="A69" s="413">
        <v>1</v>
      </c>
      <c r="B69" s="626" t="s">
        <v>1000</v>
      </c>
      <c r="C69" s="627"/>
      <c r="D69" s="417" t="s">
        <v>370</v>
      </c>
      <c r="E69" s="436" t="s">
        <v>319</v>
      </c>
      <c r="F69" s="436" t="s">
        <v>319</v>
      </c>
      <c r="G69" s="480"/>
      <c r="H69" s="436" t="s">
        <v>319</v>
      </c>
      <c r="I69" s="436" t="s">
        <v>319</v>
      </c>
      <c r="J69" s="436" t="s">
        <v>319</v>
      </c>
      <c r="K69" s="480"/>
    </row>
    <row r="70" spans="1:12" s="418" customFormat="1" ht="49.95" customHeight="1" x14ac:dyDescent="0.3">
      <c r="A70" s="413">
        <v>2</v>
      </c>
      <c r="B70" s="626" t="s">
        <v>299</v>
      </c>
      <c r="C70" s="627"/>
      <c r="D70" s="417" t="str">
        <f>IF(E70&lt;&gt;"", "SIM", "NÃO")</f>
        <v>NÃO</v>
      </c>
      <c r="E70" s="413"/>
      <c r="F70" s="413" t="str">
        <f t="shared" ref="F70:F72" si="11">IF(E70="","X","")</f>
        <v>X</v>
      </c>
      <c r="G70" s="480"/>
      <c r="H70" s="436" t="s">
        <v>319</v>
      </c>
      <c r="I70" s="436" t="s">
        <v>319</v>
      </c>
      <c r="J70" s="436" t="s">
        <v>319</v>
      </c>
      <c r="K70" s="480"/>
    </row>
    <row r="71" spans="1:12" s="418" customFormat="1" ht="49.95" customHeight="1" x14ac:dyDescent="0.3">
      <c r="A71" s="413">
        <v>3</v>
      </c>
      <c r="B71" s="626" t="s">
        <v>1092</v>
      </c>
      <c r="C71" s="627"/>
      <c r="D71" s="417" t="s">
        <v>1093</v>
      </c>
      <c r="E71" s="413"/>
      <c r="F71" s="413" t="str">
        <f t="shared" si="11"/>
        <v>X</v>
      </c>
      <c r="G71" s="480"/>
      <c r="H71" s="436" t="s">
        <v>319</v>
      </c>
      <c r="I71" s="436" t="s">
        <v>319</v>
      </c>
      <c r="J71" s="436" t="s">
        <v>319</v>
      </c>
      <c r="K71" s="480"/>
    </row>
    <row r="72" spans="1:12" s="418" customFormat="1" ht="49.95" customHeight="1" x14ac:dyDescent="0.3">
      <c r="A72" s="413">
        <v>4</v>
      </c>
      <c r="B72" s="626" t="s">
        <v>1094</v>
      </c>
      <c r="C72" s="627"/>
      <c r="D72" s="417" t="s">
        <v>1095</v>
      </c>
      <c r="E72" s="413"/>
      <c r="F72" s="413" t="str">
        <f t="shared" si="11"/>
        <v>X</v>
      </c>
      <c r="G72" s="480"/>
      <c r="H72" s="436" t="s">
        <v>319</v>
      </c>
      <c r="I72" s="436" t="s">
        <v>319</v>
      </c>
      <c r="J72" s="436" t="s">
        <v>319</v>
      </c>
      <c r="K72" s="480"/>
    </row>
    <row r="73" spans="1:12" s="418" customFormat="1" ht="49.95" customHeight="1" x14ac:dyDescent="0.3">
      <c r="A73" s="413">
        <v>5</v>
      </c>
      <c r="B73" s="626" t="s">
        <v>1002</v>
      </c>
      <c r="C73" s="627"/>
      <c r="D73" s="417" t="s">
        <v>1091</v>
      </c>
      <c r="E73" s="413"/>
      <c r="F73" s="413" t="str">
        <f t="shared" ref="F73:F74" si="12">IF(E73="","X","")</f>
        <v>X</v>
      </c>
      <c r="G73" s="480" t="s">
        <v>1003</v>
      </c>
      <c r="H73" s="436" t="s">
        <v>319</v>
      </c>
      <c r="I73" s="436" t="s">
        <v>319</v>
      </c>
      <c r="J73" s="436" t="s">
        <v>319</v>
      </c>
      <c r="K73" s="480"/>
    </row>
    <row r="74" spans="1:12" s="418" customFormat="1" ht="49.95" customHeight="1" x14ac:dyDescent="0.3">
      <c r="A74" s="413">
        <v>6</v>
      </c>
      <c r="B74" s="626" t="s">
        <v>1096</v>
      </c>
      <c r="C74" s="627"/>
      <c r="D74" s="417" t="s">
        <v>1097</v>
      </c>
      <c r="E74" s="413"/>
      <c r="F74" s="413" t="str">
        <f t="shared" si="12"/>
        <v>X</v>
      </c>
      <c r="G74" s="480"/>
      <c r="H74" s="436"/>
      <c r="I74" s="436"/>
      <c r="J74" s="436"/>
      <c r="K74" s="480"/>
    </row>
    <row r="75" spans="1:12" s="418" customFormat="1" ht="49.95" customHeight="1" x14ac:dyDescent="0.3">
      <c r="A75" s="413">
        <v>7</v>
      </c>
      <c r="B75" s="626" t="s">
        <v>1086</v>
      </c>
      <c r="C75" s="627"/>
      <c r="D75" s="417" t="s">
        <v>1098</v>
      </c>
      <c r="E75" s="436" t="s">
        <v>319</v>
      </c>
      <c r="F75" s="436" t="s">
        <v>319</v>
      </c>
      <c r="G75" s="480"/>
      <c r="H75" s="436" t="s">
        <v>319</v>
      </c>
      <c r="I75" s="436" t="s">
        <v>319</v>
      </c>
      <c r="J75" s="436" t="s">
        <v>319</v>
      </c>
      <c r="K75" s="480"/>
    </row>
    <row r="76" spans="1:12" s="418" customFormat="1" ht="49.95" customHeight="1" x14ac:dyDescent="0.3">
      <c r="A76" s="413">
        <v>8</v>
      </c>
      <c r="B76" s="644" t="s">
        <v>1001</v>
      </c>
      <c r="C76" s="627"/>
      <c r="D76" s="417" t="s">
        <v>47</v>
      </c>
      <c r="E76" s="413"/>
      <c r="F76" s="413" t="str">
        <f>IF(E76="","X","")</f>
        <v>X</v>
      </c>
      <c r="G76" s="480"/>
      <c r="H76" s="436" t="s">
        <v>319</v>
      </c>
      <c r="I76" s="436" t="s">
        <v>319</v>
      </c>
      <c r="J76" s="436" t="s">
        <v>319</v>
      </c>
      <c r="K76" s="480"/>
    </row>
    <row r="78" spans="1:12" ht="15" customHeight="1" x14ac:dyDescent="0.25">
      <c r="A78" s="428" t="s">
        <v>1090</v>
      </c>
      <c r="B78" s="429"/>
      <c r="C78" s="429"/>
      <c r="D78" s="431"/>
      <c r="E78" s="429"/>
      <c r="F78" s="432"/>
      <c r="G78" s="432"/>
      <c r="H78" s="628" t="s">
        <v>73</v>
      </c>
      <c r="I78" s="629"/>
      <c r="J78" s="629"/>
      <c r="K78" s="432"/>
    </row>
    <row r="79" spans="1:12" ht="15" customHeight="1" x14ac:dyDescent="0.25">
      <c r="A79" s="635" t="s">
        <v>50</v>
      </c>
      <c r="B79" s="640" t="s">
        <v>44</v>
      </c>
      <c r="C79" s="641"/>
      <c r="D79" s="633" t="s">
        <v>45</v>
      </c>
      <c r="E79" s="635" t="s">
        <v>46</v>
      </c>
      <c r="F79" s="636"/>
      <c r="G79" s="432"/>
      <c r="H79" s="630"/>
      <c r="I79" s="631"/>
      <c r="J79" s="631"/>
      <c r="K79" s="432"/>
    </row>
    <row r="80" spans="1:12" ht="15" customHeight="1" x14ac:dyDescent="0.25">
      <c r="A80" s="637"/>
      <c r="B80" s="642"/>
      <c r="C80" s="643"/>
      <c r="D80" s="634"/>
      <c r="E80" s="433" t="s">
        <v>47</v>
      </c>
      <c r="F80" s="433" t="s">
        <v>48</v>
      </c>
      <c r="G80" s="481" t="str">
        <f>$G$31</f>
        <v>PREMISSAS e EXCLUSÕES</v>
      </c>
      <c r="H80" s="433" t="s">
        <v>91</v>
      </c>
      <c r="I80" s="420" t="s">
        <v>92</v>
      </c>
      <c r="J80" s="420" t="s">
        <v>89</v>
      </c>
      <c r="K80" s="481" t="s">
        <v>1072</v>
      </c>
      <c r="L80" s="418"/>
    </row>
    <row r="81" spans="1:12" s="418" customFormat="1" ht="49.95" customHeight="1" x14ac:dyDescent="0.3">
      <c r="A81" s="413">
        <v>1</v>
      </c>
      <c r="B81" s="626" t="s">
        <v>314</v>
      </c>
      <c r="C81" s="627"/>
      <c r="D81" s="417" t="s">
        <v>370</v>
      </c>
      <c r="E81" s="436" t="s">
        <v>319</v>
      </c>
      <c r="F81" s="436" t="s">
        <v>319</v>
      </c>
      <c r="G81" s="480"/>
      <c r="H81" s="436" t="s">
        <v>319</v>
      </c>
      <c r="I81" s="436" t="s">
        <v>319</v>
      </c>
      <c r="J81" s="436" t="s">
        <v>319</v>
      </c>
      <c r="K81" s="480"/>
    </row>
    <row r="82" spans="1:12" s="418" customFormat="1" ht="49.95" customHeight="1" x14ac:dyDescent="0.3">
      <c r="A82" s="413">
        <v>2</v>
      </c>
      <c r="B82" s="626" t="s">
        <v>315</v>
      </c>
      <c r="C82" s="627"/>
      <c r="D82" s="417" t="s">
        <v>373</v>
      </c>
      <c r="E82" s="436" t="s">
        <v>319</v>
      </c>
      <c r="F82" s="436" t="s">
        <v>319</v>
      </c>
      <c r="G82" s="480"/>
      <c r="H82" s="436" t="s">
        <v>319</v>
      </c>
      <c r="I82" s="436" t="s">
        <v>319</v>
      </c>
      <c r="J82" s="436" t="s">
        <v>319</v>
      </c>
      <c r="K82" s="480"/>
    </row>
    <row r="83" spans="1:12" s="418" customFormat="1" ht="49.95" customHeight="1" x14ac:dyDescent="0.3">
      <c r="A83" s="413">
        <v>3</v>
      </c>
      <c r="B83" s="626" t="s">
        <v>1004</v>
      </c>
      <c r="C83" s="627"/>
      <c r="D83" s="417" t="s">
        <v>1005</v>
      </c>
      <c r="E83" s="436"/>
      <c r="F83" s="436"/>
      <c r="G83" s="480" t="s">
        <v>1006</v>
      </c>
      <c r="H83" s="436"/>
      <c r="I83" s="436"/>
      <c r="J83" s="436"/>
      <c r="K83" s="480"/>
    </row>
    <row r="84" spans="1:12" s="418" customFormat="1" ht="49.95" customHeight="1" x14ac:dyDescent="0.3">
      <c r="A84" s="413">
        <v>4</v>
      </c>
      <c r="B84" s="626" t="s">
        <v>316</v>
      </c>
      <c r="C84" s="627"/>
      <c r="D84" s="417" t="str">
        <f>IF(E84&lt;&gt;"", "SIM", "NÃO")</f>
        <v>NÃO</v>
      </c>
      <c r="E84" s="413"/>
      <c r="F84" s="413" t="str">
        <f t="shared" ref="F84:F85" si="13">IF(E84="","X","")</f>
        <v>X</v>
      </c>
      <c r="G84" s="480"/>
      <c r="H84" s="436" t="s">
        <v>319</v>
      </c>
      <c r="I84" s="436" t="s">
        <v>319</v>
      </c>
      <c r="J84" s="436" t="s">
        <v>319</v>
      </c>
      <c r="K84" s="480"/>
    </row>
    <row r="85" spans="1:12" s="418" customFormat="1" ht="49.95" customHeight="1" x14ac:dyDescent="0.3">
      <c r="A85" s="413">
        <v>5</v>
      </c>
      <c r="B85" s="626" t="s">
        <v>317</v>
      </c>
      <c r="C85" s="627"/>
      <c r="D85" s="417" t="str">
        <f>IF(E85&lt;&gt;"", "SIM", "NÃO")</f>
        <v>NÃO</v>
      </c>
      <c r="E85" s="413"/>
      <c r="F85" s="413" t="str">
        <f t="shared" si="13"/>
        <v>X</v>
      </c>
      <c r="G85" s="480"/>
      <c r="H85" s="436" t="s">
        <v>319</v>
      </c>
      <c r="I85" s="436" t="s">
        <v>319</v>
      </c>
      <c r="J85" s="436" t="s">
        <v>319</v>
      </c>
      <c r="K85" s="480"/>
    </row>
    <row r="87" spans="1:12" ht="15" customHeight="1" x14ac:dyDescent="0.25">
      <c r="A87" s="428" t="s">
        <v>66</v>
      </c>
      <c r="B87" s="429"/>
      <c r="C87" s="429"/>
      <c r="D87" s="431"/>
      <c r="E87" s="429"/>
      <c r="F87" s="432"/>
      <c r="G87" s="432"/>
      <c r="H87" s="628" t="s">
        <v>73</v>
      </c>
      <c r="I87" s="629"/>
      <c r="J87" s="629"/>
      <c r="K87" s="432"/>
    </row>
    <row r="88" spans="1:12" ht="15" customHeight="1" x14ac:dyDescent="0.25">
      <c r="A88" s="635" t="s">
        <v>50</v>
      </c>
      <c r="B88" s="640" t="s">
        <v>44</v>
      </c>
      <c r="C88" s="641"/>
      <c r="D88" s="633" t="s">
        <v>45</v>
      </c>
      <c r="E88" s="635" t="s">
        <v>46</v>
      </c>
      <c r="F88" s="636"/>
      <c r="G88" s="432"/>
      <c r="H88" s="630"/>
      <c r="I88" s="631"/>
      <c r="J88" s="631"/>
      <c r="K88" s="432"/>
    </row>
    <row r="89" spans="1:12" ht="15" customHeight="1" x14ac:dyDescent="0.25">
      <c r="A89" s="637"/>
      <c r="B89" s="642"/>
      <c r="C89" s="643"/>
      <c r="D89" s="634"/>
      <c r="E89" s="433" t="s">
        <v>47</v>
      </c>
      <c r="F89" s="433" t="s">
        <v>48</v>
      </c>
      <c r="G89" s="481" t="str">
        <f>$G$31</f>
        <v>PREMISSAS e EXCLUSÕES</v>
      </c>
      <c r="H89" s="433" t="s">
        <v>91</v>
      </c>
      <c r="I89" s="420" t="s">
        <v>92</v>
      </c>
      <c r="J89" s="420" t="s">
        <v>89</v>
      </c>
      <c r="K89" s="481" t="s">
        <v>1072</v>
      </c>
      <c r="L89" s="418"/>
    </row>
    <row r="90" spans="1:12" s="418" customFormat="1" ht="49.95" customHeight="1" x14ac:dyDescent="0.3">
      <c r="A90" s="413">
        <f>1</f>
        <v>1</v>
      </c>
      <c r="B90" s="638" t="s">
        <v>67</v>
      </c>
      <c r="C90" s="639"/>
      <c r="D90" s="417"/>
      <c r="E90" s="413"/>
      <c r="F90" s="413" t="str">
        <f t="shared" ref="F90" si="14">IF(E90="","X","")</f>
        <v>X</v>
      </c>
      <c r="G90" s="480"/>
      <c r="H90" s="435">
        <v>0</v>
      </c>
      <c r="I90" s="435">
        <v>0</v>
      </c>
      <c r="J90" s="434">
        <f>H90*I90*8.8</f>
        <v>0</v>
      </c>
      <c r="K90" s="480"/>
    </row>
    <row r="91" spans="1:12" s="418" customFormat="1" ht="49.95" customHeight="1" x14ac:dyDescent="0.3">
      <c r="A91" s="437">
        <v>2</v>
      </c>
      <c r="B91" s="645" t="s">
        <v>68</v>
      </c>
      <c r="C91" s="646"/>
      <c r="D91" s="438"/>
      <c r="E91" s="437"/>
      <c r="F91" s="437"/>
      <c r="G91" s="480"/>
      <c r="H91" s="497">
        <f>SUM(H92:H101)</f>
        <v>0</v>
      </c>
      <c r="I91" s="498"/>
      <c r="J91" s="439">
        <f>SUM(J92:J101)</f>
        <v>0</v>
      </c>
      <c r="K91" s="480"/>
    </row>
    <row r="92" spans="1:12" s="418" customFormat="1" ht="49.95" customHeight="1" x14ac:dyDescent="0.3">
      <c r="A92" s="413" t="s">
        <v>280</v>
      </c>
      <c r="B92" s="638" t="s">
        <v>375</v>
      </c>
      <c r="C92" s="639"/>
      <c r="D92" s="417"/>
      <c r="E92" s="413"/>
      <c r="F92" s="413" t="str">
        <f t="shared" ref="F92:F104" si="15">IF(E92="","X","")</f>
        <v>X</v>
      </c>
      <c r="G92" s="480"/>
      <c r="H92" s="435">
        <v>0</v>
      </c>
      <c r="I92" s="435">
        <v>0</v>
      </c>
      <c r="J92" s="434">
        <f>H92*I92*8.8</f>
        <v>0</v>
      </c>
      <c r="K92" s="480"/>
    </row>
    <row r="93" spans="1:12" s="418" customFormat="1" ht="49.95" customHeight="1" x14ac:dyDescent="0.3">
      <c r="A93" s="413" t="s">
        <v>281</v>
      </c>
      <c r="B93" s="638" t="s">
        <v>376</v>
      </c>
      <c r="C93" s="639"/>
      <c r="D93" s="417"/>
      <c r="E93" s="413"/>
      <c r="F93" s="413" t="str">
        <f t="shared" si="15"/>
        <v>X</v>
      </c>
      <c r="G93" s="480"/>
      <c r="H93" s="435">
        <v>0</v>
      </c>
      <c r="I93" s="435">
        <v>0</v>
      </c>
      <c r="J93" s="434">
        <f t="shared" ref="J93:J104" si="16">H93*I93*8.8</f>
        <v>0</v>
      </c>
      <c r="K93" s="480"/>
    </row>
    <row r="94" spans="1:12" s="418" customFormat="1" ht="49.95" customHeight="1" x14ac:dyDescent="0.3">
      <c r="A94" s="413" t="s">
        <v>282</v>
      </c>
      <c r="B94" s="638" t="s">
        <v>298</v>
      </c>
      <c r="C94" s="639"/>
      <c r="D94" s="417"/>
      <c r="E94" s="413"/>
      <c r="F94" s="413" t="str">
        <f t="shared" si="15"/>
        <v>X</v>
      </c>
      <c r="G94" s="480"/>
      <c r="H94" s="435">
        <v>0</v>
      </c>
      <c r="I94" s="435">
        <v>0</v>
      </c>
      <c r="J94" s="434">
        <f t="shared" si="16"/>
        <v>0</v>
      </c>
      <c r="K94" s="480"/>
    </row>
    <row r="95" spans="1:12" s="418" customFormat="1" ht="49.95" customHeight="1" x14ac:dyDescent="0.3">
      <c r="A95" s="413" t="s">
        <v>283</v>
      </c>
      <c r="B95" s="638" t="s">
        <v>284</v>
      </c>
      <c r="C95" s="639"/>
      <c r="D95" s="417"/>
      <c r="E95" s="413"/>
      <c r="F95" s="413" t="str">
        <f t="shared" si="15"/>
        <v>X</v>
      </c>
      <c r="G95" s="480"/>
      <c r="H95" s="435">
        <v>0</v>
      </c>
      <c r="I95" s="435">
        <v>0</v>
      </c>
      <c r="J95" s="434">
        <f t="shared" si="16"/>
        <v>0</v>
      </c>
      <c r="K95" s="480"/>
    </row>
    <row r="96" spans="1:12" s="418" customFormat="1" ht="49.95" customHeight="1" x14ac:dyDescent="0.3">
      <c r="A96" s="413" t="s">
        <v>285</v>
      </c>
      <c r="B96" s="638" t="s">
        <v>286</v>
      </c>
      <c r="C96" s="639"/>
      <c r="D96" s="417"/>
      <c r="E96" s="413"/>
      <c r="F96" s="413" t="str">
        <f t="shared" si="15"/>
        <v>X</v>
      </c>
      <c r="G96" s="480"/>
      <c r="H96" s="435">
        <v>0</v>
      </c>
      <c r="I96" s="435">
        <v>0</v>
      </c>
      <c r="J96" s="434">
        <f t="shared" si="16"/>
        <v>0</v>
      </c>
      <c r="K96" s="480"/>
    </row>
    <row r="97" spans="1:12" s="418" customFormat="1" ht="49.95" customHeight="1" x14ac:dyDescent="0.3">
      <c r="A97" s="413" t="s">
        <v>287</v>
      </c>
      <c r="B97" s="638" t="s">
        <v>288</v>
      </c>
      <c r="C97" s="639"/>
      <c r="D97" s="417"/>
      <c r="E97" s="413"/>
      <c r="F97" s="413" t="str">
        <f t="shared" si="15"/>
        <v>X</v>
      </c>
      <c r="G97" s="480"/>
      <c r="H97" s="435">
        <v>0</v>
      </c>
      <c r="I97" s="435">
        <v>0</v>
      </c>
      <c r="J97" s="434">
        <f t="shared" si="16"/>
        <v>0</v>
      </c>
      <c r="K97" s="480"/>
    </row>
    <row r="98" spans="1:12" s="418" customFormat="1" ht="49.95" customHeight="1" x14ac:dyDescent="0.3">
      <c r="A98" s="413" t="s">
        <v>289</v>
      </c>
      <c r="B98" s="638" t="s">
        <v>290</v>
      </c>
      <c r="C98" s="639"/>
      <c r="D98" s="417"/>
      <c r="E98" s="413"/>
      <c r="F98" s="413" t="str">
        <f t="shared" si="15"/>
        <v>X</v>
      </c>
      <c r="G98" s="480"/>
      <c r="H98" s="435">
        <v>0</v>
      </c>
      <c r="I98" s="435">
        <v>0</v>
      </c>
      <c r="J98" s="434">
        <f t="shared" si="16"/>
        <v>0</v>
      </c>
      <c r="K98" s="480"/>
    </row>
    <row r="99" spans="1:12" s="418" customFormat="1" ht="49.95" customHeight="1" x14ac:dyDescent="0.3">
      <c r="A99" s="413" t="s">
        <v>291</v>
      </c>
      <c r="B99" s="638" t="s">
        <v>292</v>
      </c>
      <c r="C99" s="639"/>
      <c r="D99" s="417"/>
      <c r="E99" s="413"/>
      <c r="F99" s="413" t="str">
        <f t="shared" si="15"/>
        <v>X</v>
      </c>
      <c r="G99" s="480"/>
      <c r="H99" s="435">
        <v>0</v>
      </c>
      <c r="I99" s="435">
        <v>0</v>
      </c>
      <c r="J99" s="434">
        <f t="shared" si="16"/>
        <v>0</v>
      </c>
      <c r="K99" s="480"/>
    </row>
    <row r="100" spans="1:12" s="418" customFormat="1" ht="49.95" customHeight="1" x14ac:dyDescent="0.3">
      <c r="A100" s="413" t="s">
        <v>293</v>
      </c>
      <c r="B100" s="638" t="s">
        <v>74</v>
      </c>
      <c r="C100" s="639"/>
      <c r="D100" s="417"/>
      <c r="E100" s="413"/>
      <c r="F100" s="413" t="str">
        <f t="shared" si="15"/>
        <v>X</v>
      </c>
      <c r="G100" s="480"/>
      <c r="H100" s="435">
        <v>0</v>
      </c>
      <c r="I100" s="435">
        <v>0</v>
      </c>
      <c r="J100" s="434">
        <f t="shared" si="16"/>
        <v>0</v>
      </c>
      <c r="K100" s="480"/>
    </row>
    <row r="101" spans="1:12" s="418" customFormat="1" ht="49.95" customHeight="1" x14ac:dyDescent="0.3">
      <c r="A101" s="413" t="s">
        <v>294</v>
      </c>
      <c r="B101" s="638" t="s">
        <v>295</v>
      </c>
      <c r="C101" s="639"/>
      <c r="D101" s="417"/>
      <c r="E101" s="413"/>
      <c r="F101" s="413" t="str">
        <f t="shared" si="15"/>
        <v>X</v>
      </c>
      <c r="G101" s="480"/>
      <c r="H101" s="435">
        <v>0</v>
      </c>
      <c r="I101" s="435">
        <v>0</v>
      </c>
      <c r="J101" s="434">
        <f t="shared" si="16"/>
        <v>0</v>
      </c>
      <c r="K101" s="480"/>
    </row>
    <row r="102" spans="1:12" s="418" customFormat="1" ht="49.95" customHeight="1" x14ac:dyDescent="0.3">
      <c r="A102" s="413">
        <f>A91+1</f>
        <v>3</v>
      </c>
      <c r="B102" s="638" t="s">
        <v>296</v>
      </c>
      <c r="C102" s="639"/>
      <c r="D102" s="417"/>
      <c r="E102" s="413"/>
      <c r="F102" s="413" t="str">
        <f t="shared" si="15"/>
        <v>X</v>
      </c>
      <c r="G102" s="480"/>
      <c r="H102" s="435">
        <v>0</v>
      </c>
      <c r="I102" s="435">
        <v>0</v>
      </c>
      <c r="J102" s="434">
        <f t="shared" si="16"/>
        <v>0</v>
      </c>
      <c r="K102" s="480"/>
    </row>
    <row r="103" spans="1:12" s="418" customFormat="1" ht="49.95" customHeight="1" x14ac:dyDescent="0.3">
      <c r="A103" s="413">
        <f>A102+1</f>
        <v>4</v>
      </c>
      <c r="B103" s="638" t="s">
        <v>69</v>
      </c>
      <c r="C103" s="639"/>
      <c r="D103" s="417"/>
      <c r="E103" s="413"/>
      <c r="F103" s="413" t="str">
        <f t="shared" si="15"/>
        <v>X</v>
      </c>
      <c r="G103" s="480"/>
      <c r="H103" s="435">
        <v>0</v>
      </c>
      <c r="I103" s="435">
        <v>0</v>
      </c>
      <c r="J103" s="434">
        <f t="shared" si="16"/>
        <v>0</v>
      </c>
      <c r="K103" s="480"/>
    </row>
    <row r="104" spans="1:12" s="418" customFormat="1" ht="49.95" customHeight="1" x14ac:dyDescent="0.3">
      <c r="A104" s="413">
        <f t="shared" ref="A104" si="17">A103+1</f>
        <v>5</v>
      </c>
      <c r="B104" s="638" t="s">
        <v>990</v>
      </c>
      <c r="C104" s="639"/>
      <c r="D104" s="417"/>
      <c r="E104" s="413"/>
      <c r="F104" s="413" t="str">
        <f t="shared" si="15"/>
        <v>X</v>
      </c>
      <c r="G104" s="480"/>
      <c r="H104" s="435">
        <v>0</v>
      </c>
      <c r="I104" s="435">
        <v>0</v>
      </c>
      <c r="J104" s="434">
        <f t="shared" si="16"/>
        <v>0</v>
      </c>
      <c r="K104" s="480"/>
    </row>
    <row r="105" spans="1:12" x14ac:dyDescent="0.25">
      <c r="A105" s="422"/>
      <c r="B105" s="474"/>
      <c r="C105" s="474"/>
      <c r="D105" s="441"/>
      <c r="E105" s="422"/>
      <c r="F105" s="422"/>
      <c r="G105" s="475"/>
      <c r="K105" s="475"/>
    </row>
    <row r="106" spans="1:12" ht="15" customHeight="1" x14ac:dyDescent="0.25">
      <c r="A106" s="428" t="s">
        <v>85</v>
      </c>
      <c r="B106" s="429"/>
      <c r="C106" s="429"/>
      <c r="D106" s="431"/>
      <c r="E106" s="429"/>
      <c r="F106" s="432"/>
      <c r="G106" s="432"/>
      <c r="H106" s="628" t="s">
        <v>73</v>
      </c>
      <c r="I106" s="629"/>
      <c r="J106" s="629"/>
      <c r="K106" s="432"/>
    </row>
    <row r="107" spans="1:12" ht="15" customHeight="1" x14ac:dyDescent="0.25">
      <c r="A107" s="635" t="s">
        <v>50</v>
      </c>
      <c r="B107" s="640" t="s">
        <v>44</v>
      </c>
      <c r="C107" s="641"/>
      <c r="D107" s="633" t="s">
        <v>45</v>
      </c>
      <c r="E107" s="635" t="s">
        <v>46</v>
      </c>
      <c r="F107" s="636"/>
      <c r="G107" s="432"/>
      <c r="H107" s="630"/>
      <c r="I107" s="631"/>
      <c r="J107" s="631"/>
      <c r="K107" s="432"/>
    </row>
    <row r="108" spans="1:12" ht="15" customHeight="1" x14ac:dyDescent="0.25">
      <c r="A108" s="637"/>
      <c r="B108" s="642"/>
      <c r="C108" s="643"/>
      <c r="D108" s="634"/>
      <c r="E108" s="433" t="s">
        <v>47</v>
      </c>
      <c r="F108" s="433" t="s">
        <v>48</v>
      </c>
      <c r="G108" s="481" t="str">
        <f>$G$31</f>
        <v>PREMISSAS e EXCLUSÕES</v>
      </c>
      <c r="H108" s="433" t="s">
        <v>91</v>
      </c>
      <c r="I108" s="420" t="s">
        <v>92</v>
      </c>
      <c r="J108" s="420" t="s">
        <v>89</v>
      </c>
      <c r="K108" s="481" t="s">
        <v>1072</v>
      </c>
      <c r="L108" s="418"/>
    </row>
    <row r="109" spans="1:12" s="418" customFormat="1" ht="49.95" customHeight="1" x14ac:dyDescent="0.3">
      <c r="A109" s="413">
        <f>1</f>
        <v>1</v>
      </c>
      <c r="B109" s="638" t="s">
        <v>380</v>
      </c>
      <c r="C109" s="639"/>
      <c r="D109" s="440"/>
      <c r="E109" s="421"/>
      <c r="F109" s="413" t="str">
        <f t="shared" ref="F109:F111" si="18">IF(E109="","X","")</f>
        <v>X</v>
      </c>
      <c r="G109" s="482"/>
      <c r="H109" s="435">
        <v>0</v>
      </c>
      <c r="I109" s="434"/>
      <c r="J109" s="434">
        <f t="shared" ref="J109:J110" si="19">H109*I109*8</f>
        <v>0</v>
      </c>
      <c r="K109" s="482"/>
    </row>
    <row r="110" spans="1:12" s="418" customFormat="1" ht="49.95" customHeight="1" x14ac:dyDescent="0.3">
      <c r="A110" s="413">
        <f>A109+1</f>
        <v>2</v>
      </c>
      <c r="B110" s="638" t="s">
        <v>70</v>
      </c>
      <c r="C110" s="639"/>
      <c r="D110" s="440" t="s">
        <v>999</v>
      </c>
      <c r="E110" s="413"/>
      <c r="F110" s="413" t="str">
        <f t="shared" si="18"/>
        <v>X</v>
      </c>
      <c r="G110" s="482"/>
      <c r="H110" s="435"/>
      <c r="I110" s="434"/>
      <c r="J110" s="434">
        <f t="shared" si="19"/>
        <v>0</v>
      </c>
      <c r="K110" s="482"/>
    </row>
    <row r="111" spans="1:12" s="418" customFormat="1" ht="49.95" customHeight="1" x14ac:dyDescent="0.3">
      <c r="A111" s="413">
        <v>3</v>
      </c>
      <c r="B111" s="638" t="s">
        <v>300</v>
      </c>
      <c r="C111" s="639"/>
      <c r="D111" s="417" t="str">
        <f>IF(E111&lt;&gt;"", "SIM", "NÃO")</f>
        <v>NÃO</v>
      </c>
      <c r="E111" s="413"/>
      <c r="F111" s="413" t="str">
        <f t="shared" si="18"/>
        <v>X</v>
      </c>
      <c r="G111" s="482"/>
      <c r="H111" s="437" t="s">
        <v>319</v>
      </c>
      <c r="I111" s="437" t="s">
        <v>319</v>
      </c>
      <c r="J111" s="437" t="s">
        <v>319</v>
      </c>
      <c r="K111" s="482"/>
    </row>
    <row r="112" spans="1:12" s="418" customFormat="1" ht="15" customHeight="1" x14ac:dyDescent="0.25">
      <c r="A112" s="414"/>
      <c r="B112" s="415"/>
      <c r="C112" s="415"/>
      <c r="D112" s="415"/>
      <c r="E112" s="416"/>
      <c r="F112" s="416"/>
      <c r="G112" s="415"/>
      <c r="H112" s="416"/>
      <c r="I112" s="416"/>
      <c r="J112" s="416"/>
      <c r="K112" s="415"/>
    </row>
    <row r="113" spans="1:12" ht="15" customHeight="1" x14ac:dyDescent="0.25">
      <c r="A113" s="428" t="s">
        <v>86</v>
      </c>
      <c r="B113" s="429"/>
      <c r="C113" s="429"/>
      <c r="D113" s="431"/>
      <c r="E113" s="429"/>
      <c r="F113" s="432"/>
      <c r="G113" s="432"/>
      <c r="H113" s="628" t="s">
        <v>73</v>
      </c>
      <c r="I113" s="629"/>
      <c r="J113" s="629"/>
      <c r="K113" s="432"/>
    </row>
    <row r="114" spans="1:12" ht="15" customHeight="1" x14ac:dyDescent="0.25">
      <c r="A114" s="635" t="s">
        <v>50</v>
      </c>
      <c r="B114" s="640" t="s">
        <v>44</v>
      </c>
      <c r="C114" s="641"/>
      <c r="D114" s="633" t="s">
        <v>45</v>
      </c>
      <c r="E114" s="635" t="s">
        <v>46</v>
      </c>
      <c r="F114" s="636"/>
      <c r="G114" s="432"/>
      <c r="H114" s="630"/>
      <c r="I114" s="631"/>
      <c r="J114" s="631"/>
      <c r="K114" s="432"/>
    </row>
    <row r="115" spans="1:12" ht="15" customHeight="1" x14ac:dyDescent="0.25">
      <c r="A115" s="637"/>
      <c r="B115" s="642"/>
      <c r="C115" s="643"/>
      <c r="D115" s="634"/>
      <c r="E115" s="433" t="s">
        <v>47</v>
      </c>
      <c r="F115" s="433" t="s">
        <v>48</v>
      </c>
      <c r="G115" s="481" t="str">
        <f>$G$31</f>
        <v>PREMISSAS e EXCLUSÕES</v>
      </c>
      <c r="H115" s="433" t="s">
        <v>91</v>
      </c>
      <c r="I115" s="420" t="s">
        <v>92</v>
      </c>
      <c r="J115" s="420" t="s">
        <v>89</v>
      </c>
      <c r="K115" s="481" t="s">
        <v>1072</v>
      </c>
      <c r="L115" s="418"/>
    </row>
    <row r="116" spans="1:12" s="418" customFormat="1" ht="49.95" customHeight="1" x14ac:dyDescent="0.3">
      <c r="A116" s="421">
        <v>1</v>
      </c>
      <c r="B116" s="638" t="s">
        <v>75</v>
      </c>
      <c r="C116" s="639"/>
      <c r="D116" s="417"/>
      <c r="E116" s="413"/>
      <c r="F116" s="413" t="str">
        <f t="shared" ref="F116:F127" si="20">IF(E116="","X","")</f>
        <v>X</v>
      </c>
      <c r="G116" s="482"/>
      <c r="H116" s="435">
        <v>0</v>
      </c>
      <c r="I116" s="435">
        <v>0</v>
      </c>
      <c r="J116" s="434">
        <f>H116*I116*8.8</f>
        <v>0</v>
      </c>
      <c r="K116" s="482"/>
    </row>
    <row r="117" spans="1:12" s="418" customFormat="1" ht="49.95" customHeight="1" x14ac:dyDescent="0.3">
      <c r="A117" s="421">
        <f>A116+1</f>
        <v>2</v>
      </c>
      <c r="B117" s="638" t="s">
        <v>395</v>
      </c>
      <c r="C117" s="639"/>
      <c r="D117" s="417"/>
      <c r="E117" s="413"/>
      <c r="F117" s="413" t="str">
        <f t="shared" si="20"/>
        <v>X</v>
      </c>
      <c r="G117" s="483"/>
      <c r="H117" s="435">
        <v>0</v>
      </c>
      <c r="I117" s="435">
        <v>0</v>
      </c>
      <c r="J117" s="434">
        <f>H117*I117*8.8</f>
        <v>0</v>
      </c>
      <c r="K117" s="483"/>
    </row>
    <row r="118" spans="1:12" s="418" customFormat="1" ht="49.95" customHeight="1" x14ac:dyDescent="0.3">
      <c r="A118" s="421">
        <f t="shared" ref="A118:A127" si="21">A117+1</f>
        <v>3</v>
      </c>
      <c r="B118" s="638" t="s">
        <v>297</v>
      </c>
      <c r="C118" s="639"/>
      <c r="D118" s="417"/>
      <c r="E118" s="413"/>
      <c r="F118" s="413" t="str">
        <f t="shared" si="20"/>
        <v>X</v>
      </c>
      <c r="G118" s="482"/>
      <c r="H118" s="435">
        <v>0</v>
      </c>
      <c r="I118" s="435">
        <v>0</v>
      </c>
      <c r="J118" s="434">
        <f t="shared" ref="J118:J126" si="22">H118*I118*8.8</f>
        <v>0</v>
      </c>
      <c r="K118" s="482"/>
    </row>
    <row r="119" spans="1:12" s="418" customFormat="1" ht="49.95" customHeight="1" x14ac:dyDescent="0.3">
      <c r="A119" s="421">
        <f t="shared" si="21"/>
        <v>4</v>
      </c>
      <c r="B119" s="626" t="s">
        <v>870</v>
      </c>
      <c r="C119" s="627"/>
      <c r="D119" s="417"/>
      <c r="E119" s="413"/>
      <c r="F119" s="413" t="str">
        <f t="shared" si="20"/>
        <v>X</v>
      </c>
      <c r="G119" s="482"/>
      <c r="H119" s="435">
        <v>0</v>
      </c>
      <c r="I119" s="435">
        <v>0</v>
      </c>
      <c r="J119" s="434">
        <f t="shared" si="22"/>
        <v>0</v>
      </c>
      <c r="K119" s="482"/>
    </row>
    <row r="120" spans="1:12" ht="49.95" customHeight="1" x14ac:dyDescent="0.25">
      <c r="A120" s="421">
        <f t="shared" si="21"/>
        <v>5</v>
      </c>
      <c r="B120" s="626" t="s">
        <v>869</v>
      </c>
      <c r="C120" s="627"/>
      <c r="D120" s="417"/>
      <c r="E120" s="413"/>
      <c r="F120" s="413" t="str">
        <f t="shared" si="20"/>
        <v>X</v>
      </c>
      <c r="G120" s="482"/>
      <c r="H120" s="435">
        <v>0</v>
      </c>
      <c r="I120" s="435">
        <v>0</v>
      </c>
      <c r="J120" s="434">
        <f t="shared" si="22"/>
        <v>0</v>
      </c>
      <c r="K120" s="482"/>
    </row>
    <row r="121" spans="1:12" ht="49.95" customHeight="1" x14ac:dyDescent="0.25">
      <c r="A121" s="421">
        <f t="shared" si="21"/>
        <v>6</v>
      </c>
      <c r="B121" s="626" t="s">
        <v>114</v>
      </c>
      <c r="C121" s="627"/>
      <c r="D121" s="417"/>
      <c r="E121" s="413"/>
      <c r="F121" s="413" t="str">
        <f t="shared" si="20"/>
        <v>X</v>
      </c>
      <c r="G121" s="482"/>
      <c r="H121" s="435">
        <v>0</v>
      </c>
      <c r="I121" s="435">
        <v>0</v>
      </c>
      <c r="J121" s="434">
        <f t="shared" si="22"/>
        <v>0</v>
      </c>
      <c r="K121" s="482"/>
    </row>
    <row r="122" spans="1:12" ht="49.95" customHeight="1" x14ac:dyDescent="0.25">
      <c r="A122" s="421">
        <f t="shared" si="21"/>
        <v>7</v>
      </c>
      <c r="B122" s="626" t="s">
        <v>115</v>
      </c>
      <c r="C122" s="627"/>
      <c r="D122" s="417"/>
      <c r="E122" s="413"/>
      <c r="F122" s="413" t="str">
        <f t="shared" si="20"/>
        <v>X</v>
      </c>
      <c r="G122" s="482"/>
      <c r="H122" s="435">
        <v>0</v>
      </c>
      <c r="I122" s="435">
        <v>0</v>
      </c>
      <c r="J122" s="434">
        <f t="shared" si="22"/>
        <v>0</v>
      </c>
      <c r="K122" s="482"/>
    </row>
    <row r="123" spans="1:12" ht="49.95" customHeight="1" x14ac:dyDescent="0.25">
      <c r="A123" s="421">
        <f t="shared" si="21"/>
        <v>8</v>
      </c>
      <c r="B123" s="626" t="s">
        <v>116</v>
      </c>
      <c r="C123" s="627"/>
      <c r="D123" s="417"/>
      <c r="E123" s="413"/>
      <c r="F123" s="413" t="str">
        <f t="shared" si="20"/>
        <v>X</v>
      </c>
      <c r="G123" s="482"/>
      <c r="H123" s="435">
        <v>0</v>
      </c>
      <c r="I123" s="435">
        <v>0</v>
      </c>
      <c r="J123" s="434">
        <f t="shared" si="22"/>
        <v>0</v>
      </c>
      <c r="K123" s="482"/>
    </row>
    <row r="124" spans="1:12" s="418" customFormat="1" ht="49.95" customHeight="1" x14ac:dyDescent="0.3">
      <c r="A124" s="421">
        <f t="shared" si="21"/>
        <v>9</v>
      </c>
      <c r="B124" s="626" t="s">
        <v>117</v>
      </c>
      <c r="C124" s="627"/>
      <c r="D124" s="417"/>
      <c r="E124" s="413"/>
      <c r="F124" s="413" t="str">
        <f t="shared" si="20"/>
        <v>X</v>
      </c>
      <c r="G124" s="482"/>
      <c r="H124" s="435">
        <v>0</v>
      </c>
      <c r="I124" s="435">
        <v>0</v>
      </c>
      <c r="J124" s="434">
        <f t="shared" si="22"/>
        <v>0</v>
      </c>
      <c r="K124" s="482"/>
    </row>
    <row r="125" spans="1:12" ht="49.95" customHeight="1" x14ac:dyDescent="0.25">
      <c r="A125" s="421">
        <f t="shared" si="21"/>
        <v>10</v>
      </c>
      <c r="B125" s="626" t="s">
        <v>118</v>
      </c>
      <c r="C125" s="627"/>
      <c r="D125" s="417"/>
      <c r="E125" s="413"/>
      <c r="F125" s="413" t="str">
        <f t="shared" si="20"/>
        <v>X</v>
      </c>
      <c r="G125" s="482"/>
      <c r="H125" s="435">
        <v>0</v>
      </c>
      <c r="I125" s="435">
        <v>0</v>
      </c>
      <c r="J125" s="434">
        <f t="shared" si="22"/>
        <v>0</v>
      </c>
      <c r="K125" s="482"/>
    </row>
    <row r="126" spans="1:12" ht="49.95" customHeight="1" x14ac:dyDescent="0.25">
      <c r="A126" s="421">
        <f t="shared" si="21"/>
        <v>11</v>
      </c>
      <c r="B126" s="626" t="s">
        <v>119</v>
      </c>
      <c r="C126" s="627"/>
      <c r="D126" s="417"/>
      <c r="E126" s="413"/>
      <c r="F126" s="413" t="str">
        <f t="shared" si="20"/>
        <v>X</v>
      </c>
      <c r="G126" s="482"/>
      <c r="H126" s="435">
        <v>0</v>
      </c>
      <c r="I126" s="435">
        <v>0</v>
      </c>
      <c r="J126" s="434">
        <f t="shared" si="22"/>
        <v>0</v>
      </c>
      <c r="K126" s="482"/>
    </row>
    <row r="127" spans="1:12" ht="49.95" customHeight="1" x14ac:dyDescent="0.25">
      <c r="A127" s="421">
        <f t="shared" si="21"/>
        <v>12</v>
      </c>
      <c r="B127" s="626" t="s">
        <v>146</v>
      </c>
      <c r="C127" s="627"/>
      <c r="D127" s="417"/>
      <c r="E127" s="413"/>
      <c r="F127" s="413" t="str">
        <f t="shared" si="20"/>
        <v>X</v>
      </c>
      <c r="G127" s="482"/>
      <c r="H127" s="435">
        <v>0</v>
      </c>
      <c r="I127" s="435">
        <v>0</v>
      </c>
      <c r="J127" s="434">
        <f>H127*I127*8.8</f>
        <v>0</v>
      </c>
      <c r="K127" s="482"/>
    </row>
    <row r="129" spans="1:12" ht="15" customHeight="1" x14ac:dyDescent="0.25">
      <c r="A129" s="428" t="s">
        <v>71</v>
      </c>
      <c r="B129" s="429"/>
      <c r="C129" s="429"/>
      <c r="D129" s="431"/>
      <c r="E129" s="429"/>
      <c r="F129" s="432"/>
      <c r="G129" s="432"/>
      <c r="H129" s="628" t="s">
        <v>73</v>
      </c>
      <c r="I129" s="629"/>
      <c r="J129" s="629"/>
      <c r="K129" s="432"/>
    </row>
    <row r="130" spans="1:12" ht="15" customHeight="1" x14ac:dyDescent="0.25">
      <c r="A130" s="635" t="s">
        <v>50</v>
      </c>
      <c r="B130" s="640" t="s">
        <v>44</v>
      </c>
      <c r="C130" s="641"/>
      <c r="D130" s="633" t="s">
        <v>45</v>
      </c>
      <c r="E130" s="635" t="s">
        <v>46</v>
      </c>
      <c r="F130" s="636"/>
      <c r="G130" s="432"/>
      <c r="H130" s="630"/>
      <c r="I130" s="631"/>
      <c r="J130" s="631"/>
      <c r="K130" s="432"/>
    </row>
    <row r="131" spans="1:12" ht="15" customHeight="1" x14ac:dyDescent="0.25">
      <c r="A131" s="637"/>
      <c r="B131" s="642"/>
      <c r="C131" s="643"/>
      <c r="D131" s="634"/>
      <c r="E131" s="433" t="s">
        <v>47</v>
      </c>
      <c r="F131" s="433" t="s">
        <v>48</v>
      </c>
      <c r="G131" s="481" t="str">
        <f>$G$31</f>
        <v>PREMISSAS e EXCLUSÕES</v>
      </c>
      <c r="H131" s="433" t="s">
        <v>91</v>
      </c>
      <c r="I131" s="420" t="s">
        <v>92</v>
      </c>
      <c r="J131" s="420" t="s">
        <v>89</v>
      </c>
      <c r="K131" s="481" t="s">
        <v>1072</v>
      </c>
      <c r="L131" s="418"/>
    </row>
    <row r="132" spans="1:12" s="418" customFormat="1" ht="49.95" customHeight="1" x14ac:dyDescent="0.3">
      <c r="A132" s="413">
        <f>1</f>
        <v>1</v>
      </c>
      <c r="B132" s="638"/>
      <c r="C132" s="639"/>
      <c r="D132" s="417"/>
      <c r="E132" s="413"/>
      <c r="F132" s="413" t="str">
        <f t="shared" ref="F132:F141" si="23">IF(E132="","X","")</f>
        <v>X</v>
      </c>
      <c r="G132" s="482"/>
      <c r="H132" s="436" t="s">
        <v>319</v>
      </c>
      <c r="I132" s="436" t="s">
        <v>319</v>
      </c>
      <c r="J132" s="436" t="s">
        <v>319</v>
      </c>
      <c r="K132" s="482"/>
    </row>
    <row r="133" spans="1:12" s="418" customFormat="1" ht="49.95" customHeight="1" x14ac:dyDescent="0.3">
      <c r="A133" s="413">
        <f>A132+1</f>
        <v>2</v>
      </c>
      <c r="B133" s="638"/>
      <c r="C133" s="639"/>
      <c r="D133" s="417"/>
      <c r="E133" s="413"/>
      <c r="F133" s="413" t="str">
        <f t="shared" si="23"/>
        <v>X</v>
      </c>
      <c r="G133" s="482"/>
      <c r="H133" s="436" t="s">
        <v>319</v>
      </c>
      <c r="I133" s="436" t="s">
        <v>319</v>
      </c>
      <c r="J133" s="436" t="s">
        <v>319</v>
      </c>
      <c r="K133" s="482"/>
    </row>
    <row r="134" spans="1:12" ht="49.95" customHeight="1" x14ac:dyDescent="0.25">
      <c r="A134" s="413">
        <f t="shared" ref="A134:A141" si="24">A133+1</f>
        <v>3</v>
      </c>
      <c r="B134" s="638"/>
      <c r="C134" s="639"/>
      <c r="D134" s="417"/>
      <c r="E134" s="413"/>
      <c r="F134" s="413" t="str">
        <f t="shared" si="23"/>
        <v>X</v>
      </c>
      <c r="G134" s="482"/>
      <c r="H134" s="436" t="s">
        <v>319</v>
      </c>
      <c r="I134" s="436" t="s">
        <v>319</v>
      </c>
      <c r="J134" s="436" t="s">
        <v>319</v>
      </c>
      <c r="K134" s="482"/>
    </row>
    <row r="135" spans="1:12" ht="49.95" customHeight="1" x14ac:dyDescent="0.25">
      <c r="A135" s="413">
        <f t="shared" si="24"/>
        <v>4</v>
      </c>
      <c r="B135" s="638"/>
      <c r="C135" s="639"/>
      <c r="D135" s="417"/>
      <c r="E135" s="413"/>
      <c r="F135" s="413" t="str">
        <f t="shared" si="23"/>
        <v>X</v>
      </c>
      <c r="G135" s="482"/>
      <c r="H135" s="436" t="s">
        <v>319</v>
      </c>
      <c r="I135" s="436" t="s">
        <v>319</v>
      </c>
      <c r="J135" s="436" t="s">
        <v>319</v>
      </c>
      <c r="K135" s="482"/>
    </row>
    <row r="136" spans="1:12" ht="49.95" customHeight="1" x14ac:dyDescent="0.25">
      <c r="A136" s="413">
        <f t="shared" si="24"/>
        <v>5</v>
      </c>
      <c r="B136" s="638"/>
      <c r="C136" s="639"/>
      <c r="D136" s="417"/>
      <c r="E136" s="413"/>
      <c r="F136" s="413" t="str">
        <f t="shared" si="23"/>
        <v>X</v>
      </c>
      <c r="G136" s="482"/>
      <c r="H136" s="436" t="s">
        <v>319</v>
      </c>
      <c r="I136" s="436" t="s">
        <v>319</v>
      </c>
      <c r="J136" s="436" t="s">
        <v>319</v>
      </c>
      <c r="K136" s="482"/>
    </row>
    <row r="137" spans="1:12" ht="49.95" customHeight="1" x14ac:dyDescent="0.25">
      <c r="A137" s="413">
        <f t="shared" si="24"/>
        <v>6</v>
      </c>
      <c r="B137" s="638"/>
      <c r="C137" s="639"/>
      <c r="D137" s="417"/>
      <c r="E137" s="413"/>
      <c r="F137" s="413" t="str">
        <f t="shared" si="23"/>
        <v>X</v>
      </c>
      <c r="G137" s="482"/>
      <c r="H137" s="436" t="s">
        <v>319</v>
      </c>
      <c r="I137" s="436" t="s">
        <v>319</v>
      </c>
      <c r="J137" s="436" t="s">
        <v>319</v>
      </c>
      <c r="K137" s="482"/>
    </row>
    <row r="138" spans="1:12" s="418" customFormat="1" ht="49.95" customHeight="1" x14ac:dyDescent="0.3">
      <c r="A138" s="413">
        <f t="shared" si="24"/>
        <v>7</v>
      </c>
      <c r="B138" s="638"/>
      <c r="C138" s="639"/>
      <c r="D138" s="417"/>
      <c r="E138" s="413"/>
      <c r="F138" s="413" t="str">
        <f t="shared" si="23"/>
        <v>X</v>
      </c>
      <c r="G138" s="482"/>
      <c r="H138" s="436" t="s">
        <v>319</v>
      </c>
      <c r="I138" s="436" t="s">
        <v>319</v>
      </c>
      <c r="J138" s="436" t="s">
        <v>319</v>
      </c>
      <c r="K138" s="482"/>
    </row>
    <row r="139" spans="1:12" s="418" customFormat="1" ht="49.95" customHeight="1" x14ac:dyDescent="0.3">
      <c r="A139" s="413">
        <f t="shared" si="24"/>
        <v>8</v>
      </c>
      <c r="B139" s="638"/>
      <c r="C139" s="639"/>
      <c r="D139" s="417"/>
      <c r="E139" s="413"/>
      <c r="F139" s="413" t="str">
        <f t="shared" si="23"/>
        <v>X</v>
      </c>
      <c r="G139" s="482"/>
      <c r="H139" s="436" t="s">
        <v>319</v>
      </c>
      <c r="I139" s="436" t="s">
        <v>319</v>
      </c>
      <c r="J139" s="436" t="s">
        <v>319</v>
      </c>
      <c r="K139" s="482"/>
    </row>
    <row r="140" spans="1:12" s="418" customFormat="1" ht="49.95" customHeight="1" x14ac:dyDescent="0.3">
      <c r="A140" s="413">
        <f t="shared" si="24"/>
        <v>9</v>
      </c>
      <c r="B140" s="638"/>
      <c r="C140" s="639"/>
      <c r="D140" s="417"/>
      <c r="E140" s="413"/>
      <c r="F140" s="413" t="str">
        <f t="shared" si="23"/>
        <v>X</v>
      </c>
      <c r="G140" s="482"/>
      <c r="H140" s="436" t="s">
        <v>319</v>
      </c>
      <c r="I140" s="436" t="s">
        <v>319</v>
      </c>
      <c r="J140" s="436" t="s">
        <v>319</v>
      </c>
      <c r="K140" s="482"/>
    </row>
    <row r="141" spans="1:12" s="418" customFormat="1" ht="49.95" customHeight="1" x14ac:dyDescent="0.3">
      <c r="A141" s="413">
        <f t="shared" si="24"/>
        <v>10</v>
      </c>
      <c r="B141" s="638"/>
      <c r="C141" s="639"/>
      <c r="D141" s="417"/>
      <c r="E141" s="413"/>
      <c r="F141" s="413" t="str">
        <f t="shared" si="23"/>
        <v>X</v>
      </c>
      <c r="G141" s="482"/>
      <c r="H141" s="436" t="s">
        <v>319</v>
      </c>
      <c r="I141" s="436" t="s">
        <v>319</v>
      </c>
      <c r="J141" s="436" t="s">
        <v>319</v>
      </c>
      <c r="K141" s="482"/>
    </row>
    <row r="142" spans="1:12" s="418" customFormat="1" ht="30" customHeight="1" x14ac:dyDescent="0.25">
      <c r="A142" s="414"/>
      <c r="B142" s="415"/>
      <c r="C142" s="415"/>
      <c r="D142" s="415"/>
      <c r="E142" s="416"/>
      <c r="F142" s="416"/>
      <c r="G142" s="415"/>
      <c r="H142" s="416"/>
      <c r="I142" s="416"/>
      <c r="J142" s="416"/>
      <c r="K142" s="415"/>
    </row>
    <row r="143" spans="1:12" ht="15" customHeight="1" x14ac:dyDescent="0.25">
      <c r="A143" s="428" t="s">
        <v>133</v>
      </c>
      <c r="B143" s="429"/>
      <c r="C143" s="429"/>
      <c r="D143" s="431"/>
      <c r="E143" s="429"/>
      <c r="F143" s="432"/>
      <c r="G143" s="432"/>
      <c r="H143" s="628" t="s">
        <v>73</v>
      </c>
      <c r="I143" s="629"/>
      <c r="J143" s="629"/>
      <c r="K143" s="432"/>
    </row>
    <row r="144" spans="1:12" ht="15" customHeight="1" x14ac:dyDescent="0.25">
      <c r="A144" s="635" t="s">
        <v>50</v>
      </c>
      <c r="B144" s="640" t="s">
        <v>44</v>
      </c>
      <c r="C144" s="641"/>
      <c r="D144" s="633" t="s">
        <v>45</v>
      </c>
      <c r="E144" s="635" t="s">
        <v>46</v>
      </c>
      <c r="F144" s="636"/>
      <c r="G144" s="432"/>
      <c r="H144" s="630"/>
      <c r="I144" s="631"/>
      <c r="J144" s="631"/>
      <c r="K144" s="432"/>
    </row>
    <row r="145" spans="1:12" ht="15" customHeight="1" x14ac:dyDescent="0.25">
      <c r="A145" s="637"/>
      <c r="B145" s="642"/>
      <c r="C145" s="643"/>
      <c r="D145" s="634"/>
      <c r="E145" s="433" t="s">
        <v>47</v>
      </c>
      <c r="F145" s="433" t="s">
        <v>48</v>
      </c>
      <c r="G145" s="481" t="str">
        <f>$G$31</f>
        <v>PREMISSAS e EXCLUSÕES</v>
      </c>
      <c r="H145" s="433" t="s">
        <v>91</v>
      </c>
      <c r="I145" s="420" t="s">
        <v>92</v>
      </c>
      <c r="J145" s="420" t="s">
        <v>89</v>
      </c>
      <c r="K145" s="481" t="s">
        <v>1072</v>
      </c>
      <c r="L145" s="418"/>
    </row>
    <row r="146" spans="1:12" ht="49.95" customHeight="1" x14ac:dyDescent="0.25">
      <c r="A146" s="413" t="s">
        <v>77</v>
      </c>
      <c r="B146" s="626" t="s">
        <v>72</v>
      </c>
      <c r="C146" s="627"/>
      <c r="D146" s="417"/>
      <c r="E146" s="413"/>
      <c r="F146" s="413" t="str">
        <f t="shared" ref="F146" si="25">IF(E146="","X","")</f>
        <v>X</v>
      </c>
      <c r="G146" s="482"/>
      <c r="H146" s="435">
        <v>0</v>
      </c>
      <c r="I146" s="435">
        <v>0</v>
      </c>
      <c r="J146" s="434">
        <f>H146*I146*8</f>
        <v>0</v>
      </c>
      <c r="K146" s="482"/>
    </row>
    <row r="148" spans="1:12" ht="15" customHeight="1" x14ac:dyDescent="0.25">
      <c r="A148" s="428" t="s">
        <v>276</v>
      </c>
      <c r="B148" s="429"/>
      <c r="C148" s="429"/>
      <c r="D148" s="430"/>
      <c r="E148" s="415"/>
      <c r="G148" s="416"/>
      <c r="K148" s="416"/>
    </row>
    <row r="149" spans="1:12" ht="15" customHeight="1" x14ac:dyDescent="0.25">
      <c r="A149" s="655" t="s">
        <v>277</v>
      </c>
      <c r="B149" s="649" t="s">
        <v>278</v>
      </c>
      <c r="C149" s="650"/>
      <c r="D149" s="632" t="s">
        <v>279</v>
      </c>
      <c r="E149" s="415"/>
      <c r="G149" s="416"/>
      <c r="K149" s="416"/>
    </row>
    <row r="150" spans="1:12" ht="15" customHeight="1" x14ac:dyDescent="0.25">
      <c r="A150" s="635"/>
      <c r="B150" s="642"/>
      <c r="C150" s="643"/>
      <c r="D150" s="633"/>
      <c r="E150" s="415"/>
      <c r="G150" s="416"/>
      <c r="K150" s="416"/>
    </row>
    <row r="151" spans="1:12" s="418" customFormat="1" ht="49.95" customHeight="1" x14ac:dyDescent="0.25">
      <c r="A151" s="413"/>
      <c r="B151" s="647"/>
      <c r="C151" s="648"/>
      <c r="D151" s="417"/>
      <c r="E151" s="415"/>
      <c r="F151" s="416"/>
      <c r="G151" s="416"/>
      <c r="H151" s="416"/>
      <c r="I151" s="416"/>
      <c r="J151" s="416"/>
      <c r="K151" s="416"/>
    </row>
    <row r="152" spans="1:12" s="418" customFormat="1" ht="49.95" customHeight="1" x14ac:dyDescent="0.25">
      <c r="A152" s="413"/>
      <c r="B152" s="647"/>
      <c r="C152" s="648"/>
      <c r="D152" s="417"/>
      <c r="E152" s="415"/>
      <c r="F152" s="416"/>
      <c r="G152" s="416"/>
      <c r="H152" s="416"/>
      <c r="I152" s="416"/>
      <c r="J152" s="416"/>
      <c r="K152" s="416"/>
    </row>
    <row r="153" spans="1:12" s="418" customFormat="1" ht="49.95" customHeight="1" x14ac:dyDescent="0.25">
      <c r="A153" s="413"/>
      <c r="B153" s="647"/>
      <c r="C153" s="648"/>
      <c r="D153" s="417"/>
      <c r="E153" s="415"/>
      <c r="F153" s="416"/>
      <c r="G153" s="416"/>
      <c r="H153" s="416"/>
      <c r="I153" s="416"/>
      <c r="J153" s="416"/>
      <c r="K153" s="416"/>
    </row>
    <row r="154" spans="1:12" s="418" customFormat="1" ht="49.95" customHeight="1" x14ac:dyDescent="0.25">
      <c r="A154" s="413"/>
      <c r="B154" s="647"/>
      <c r="C154" s="648"/>
      <c r="D154" s="417"/>
      <c r="E154" s="415"/>
      <c r="F154" s="416"/>
      <c r="G154" s="416"/>
      <c r="H154" s="416"/>
      <c r="I154" s="416"/>
      <c r="J154" s="416"/>
      <c r="K154" s="416"/>
    </row>
    <row r="155" spans="1:12" s="418" customFormat="1" ht="49.95" customHeight="1" x14ac:dyDescent="0.25">
      <c r="A155" s="413"/>
      <c r="B155" s="647"/>
      <c r="C155" s="648"/>
      <c r="D155" s="417"/>
      <c r="G155" s="416"/>
      <c r="J155" s="416"/>
      <c r="K155" s="416"/>
    </row>
    <row r="156" spans="1:12" s="418" customFormat="1" ht="49.95" customHeight="1" x14ac:dyDescent="0.25">
      <c r="A156" s="413"/>
      <c r="B156" s="647"/>
      <c r="C156" s="648"/>
      <c r="D156" s="417"/>
      <c r="G156" s="416"/>
      <c r="J156" s="416"/>
      <c r="K156" s="416"/>
    </row>
    <row r="157" spans="1:12" s="418" customFormat="1" x14ac:dyDescent="0.25">
      <c r="A157" s="422"/>
      <c r="B157" s="423"/>
      <c r="C157" s="423"/>
      <c r="D157" s="441"/>
      <c r="G157" s="416"/>
      <c r="J157" s="416"/>
      <c r="K157" s="416"/>
    </row>
  </sheetData>
  <protectedRanges>
    <protectedRange algorithmName="SHA-512" hashValue="/EK7U8CDPAY0JPnvsTu9qfudsB+ecVILb1hB8nqA4eiJ1Ge9FLfXLxtdmY+O0balszbmav6JLJjcUvViebsaFw==" saltValue="qh3EF2nMwbfxALjXMLUouA==" spinCount="100000" sqref="F109:F111 F92:F105 F90 F84:F85 F146 F60:F64 F53:F55 F44:F48 F37:F39 F32 F116:F127 F132:F141 F76 F70:F74" name="Selecao_Nao_1"/>
  </protectedRanges>
  <mergeCells count="163">
    <mergeCell ref="A130:A131"/>
    <mergeCell ref="B130:C131"/>
    <mergeCell ref="D130:D131"/>
    <mergeCell ref="E130:F130"/>
    <mergeCell ref="B134:C134"/>
    <mergeCell ref="A114:A115"/>
    <mergeCell ref="B114:C115"/>
    <mergeCell ref="D114:D115"/>
    <mergeCell ref="E114:F114"/>
    <mergeCell ref="B120:C120"/>
    <mergeCell ref="B121:C121"/>
    <mergeCell ref="B122:C122"/>
    <mergeCell ref="B123:C123"/>
    <mergeCell ref="B125:C125"/>
    <mergeCell ref="B117:C117"/>
    <mergeCell ref="B118:C118"/>
    <mergeCell ref="B132:C132"/>
    <mergeCell ref="D7:D8"/>
    <mergeCell ref="B7:C8"/>
    <mergeCell ref="B9:C9"/>
    <mergeCell ref="B10:C10"/>
    <mergeCell ref="A35:A36"/>
    <mergeCell ref="D35:D36"/>
    <mergeCell ref="B15:C15"/>
    <mergeCell ref="B22:C22"/>
    <mergeCell ref="B23:C23"/>
    <mergeCell ref="B24:C24"/>
    <mergeCell ref="D16:D17"/>
    <mergeCell ref="B11:C11"/>
    <mergeCell ref="B12:C12"/>
    <mergeCell ref="B25:C25"/>
    <mergeCell ref="B26:C26"/>
    <mergeCell ref="B13:C13"/>
    <mergeCell ref="B18:C18"/>
    <mergeCell ref="B19:C19"/>
    <mergeCell ref="B20:C20"/>
    <mergeCell ref="B21:C21"/>
    <mergeCell ref="B16:C17"/>
    <mergeCell ref="A149:A150"/>
    <mergeCell ref="A144:A145"/>
    <mergeCell ref="B144:C145"/>
    <mergeCell ref="B88:C89"/>
    <mergeCell ref="D88:D89"/>
    <mergeCell ref="B79:C80"/>
    <mergeCell ref="D79:D80"/>
    <mergeCell ref="B81:C81"/>
    <mergeCell ref="B102:C102"/>
    <mergeCell ref="B96:C96"/>
    <mergeCell ref="B101:C101"/>
    <mergeCell ref="B92:C92"/>
    <mergeCell ref="B93:C93"/>
    <mergeCell ref="B94:C94"/>
    <mergeCell ref="A107:A108"/>
    <mergeCell ref="B107:C108"/>
    <mergeCell ref="D107:D108"/>
    <mergeCell ref="D144:D145"/>
    <mergeCell ref="B98:C98"/>
    <mergeCell ref="B99:C99"/>
    <mergeCell ref="B100:C100"/>
    <mergeCell ref="B126:C126"/>
    <mergeCell ref="B127:C127"/>
    <mergeCell ref="B109:C109"/>
    <mergeCell ref="B2:C2"/>
    <mergeCell ref="B4:C4"/>
    <mergeCell ref="A58:A59"/>
    <mergeCell ref="D58:D59"/>
    <mergeCell ref="B95:C95"/>
    <mergeCell ref="A88:A89"/>
    <mergeCell ref="E88:F88"/>
    <mergeCell ref="A79:A80"/>
    <mergeCell ref="E79:F79"/>
    <mergeCell ref="B82:C82"/>
    <mergeCell ref="B84:C84"/>
    <mergeCell ref="B85:C85"/>
    <mergeCell ref="E42:F42"/>
    <mergeCell ref="B55:C55"/>
    <mergeCell ref="B60:C60"/>
    <mergeCell ref="B61:C61"/>
    <mergeCell ref="B62:C62"/>
    <mergeCell ref="B63:C63"/>
    <mergeCell ref="B69:C69"/>
    <mergeCell ref="B37:C37"/>
    <mergeCell ref="B27:C27"/>
    <mergeCell ref="A30:A31"/>
    <mergeCell ref="D30:D31"/>
    <mergeCell ref="E30:F30"/>
    <mergeCell ref="B154:C154"/>
    <mergeCell ref="B153:C153"/>
    <mergeCell ref="B152:C152"/>
    <mergeCell ref="B151:C151"/>
    <mergeCell ref="B149:C150"/>
    <mergeCell ref="B156:C156"/>
    <mergeCell ref="B155:C155"/>
    <mergeCell ref="B135:C135"/>
    <mergeCell ref="B136:C136"/>
    <mergeCell ref="B137:C137"/>
    <mergeCell ref="B146:C146"/>
    <mergeCell ref="B139:C139"/>
    <mergeCell ref="B140:C140"/>
    <mergeCell ref="B141:C141"/>
    <mergeCell ref="A42:A43"/>
    <mergeCell ref="A67:A68"/>
    <mergeCell ref="B64:C64"/>
    <mergeCell ref="B138:C138"/>
    <mergeCell ref="A51:A52"/>
    <mergeCell ref="E144:F144"/>
    <mergeCell ref="B58:C59"/>
    <mergeCell ref="B67:C68"/>
    <mergeCell ref="B103:C103"/>
    <mergeCell ref="B104:C104"/>
    <mergeCell ref="B70:C70"/>
    <mergeCell ref="B76:C76"/>
    <mergeCell ref="B119:C119"/>
    <mergeCell ref="B124:C124"/>
    <mergeCell ref="B116:C116"/>
    <mergeCell ref="B133:C133"/>
    <mergeCell ref="B90:C90"/>
    <mergeCell ref="B91:C91"/>
    <mergeCell ref="B97:C97"/>
    <mergeCell ref="B47:C47"/>
    <mergeCell ref="B48:C48"/>
    <mergeCell ref="B53:C53"/>
    <mergeCell ref="B54:C54"/>
    <mergeCell ref="B42:C43"/>
    <mergeCell ref="H129:J130"/>
    <mergeCell ref="H143:J144"/>
    <mergeCell ref="H29:J30"/>
    <mergeCell ref="H34:J35"/>
    <mergeCell ref="H41:J42"/>
    <mergeCell ref="H50:J51"/>
    <mergeCell ref="H57:J58"/>
    <mergeCell ref="D149:D150"/>
    <mergeCell ref="D42:D43"/>
    <mergeCell ref="D67:D68"/>
    <mergeCell ref="E67:F67"/>
    <mergeCell ref="E58:F58"/>
    <mergeCell ref="E35:F35"/>
    <mergeCell ref="D51:D52"/>
    <mergeCell ref="E51:F51"/>
    <mergeCell ref="E107:F107"/>
    <mergeCell ref="K25:K27"/>
    <mergeCell ref="B71:C71"/>
    <mergeCell ref="B72:C72"/>
    <mergeCell ref="B74:C74"/>
    <mergeCell ref="H66:J67"/>
    <mergeCell ref="H78:J79"/>
    <mergeCell ref="H87:J88"/>
    <mergeCell ref="H106:J107"/>
    <mergeCell ref="H113:J114"/>
    <mergeCell ref="B30:C31"/>
    <mergeCell ref="B32:C32"/>
    <mergeCell ref="B35:C36"/>
    <mergeCell ref="B38:C38"/>
    <mergeCell ref="B39:C39"/>
    <mergeCell ref="B44:C44"/>
    <mergeCell ref="B45:C45"/>
    <mergeCell ref="B51:C52"/>
    <mergeCell ref="B46:C46"/>
    <mergeCell ref="B73:C73"/>
    <mergeCell ref="B83:C83"/>
    <mergeCell ref="B75:C75"/>
    <mergeCell ref="B110:C110"/>
    <mergeCell ref="B111:C111"/>
  </mergeCells>
  <phoneticPr fontId="10" type="noConversion"/>
  <conditionalFormatting sqref="E109:F111 E90:F105 E81:F85 E60:F64 E53:F55 E44:F48 E37:F39 E32:F32 E116:F127 E132:F141 E146:F146 H69:J76 E69:F76">
    <cfRule type="containsText" dxfId="9" priority="11" operator="containsText" text="X">
      <formula>NOT(ISERROR(SEARCH("X",E32)))</formula>
    </cfRule>
  </conditionalFormatting>
  <conditionalFormatting sqref="D81:D82 H116:J127 H109:J110 H90:J90 H92:J104 H60:J64 H53:J55 H44:J48 H37:J39 H32:J32 D69:D70 H146:J146 D76">
    <cfRule type="cellIs" dxfId="8" priority="10" operator="lessThanOrEqual">
      <formula>0</formula>
    </cfRule>
  </conditionalFormatting>
  <conditionalFormatting sqref="H81:J85">
    <cfRule type="containsText" dxfId="7" priority="9" operator="containsText" text="X">
      <formula>NOT(ISERROR(SEARCH("X",H81)))</formula>
    </cfRule>
  </conditionalFormatting>
  <conditionalFormatting sqref="H132:J141">
    <cfRule type="containsText" dxfId="6" priority="7" operator="containsText" text="X">
      <formula>NOT(ISERROR(SEARCH("X",H132)))</formula>
    </cfRule>
  </conditionalFormatting>
  <pageMargins left="0.25" right="0.25" top="0.75" bottom="0.75" header="0.3" footer="0.3"/>
  <pageSetup paperSize="9" scale="53" orientation="landscape" horizontalDpi="300" verticalDpi="300" r:id="rId1"/>
  <rowBreaks count="7" manualBreakCount="7">
    <brk id="27" max="16383" man="1"/>
    <brk id="48" max="10" man="1"/>
    <brk id="65" max="10" man="1"/>
    <brk id="86" max="10" man="1"/>
    <brk id="104" max="10" man="1"/>
    <brk id="127" max="10" man="1"/>
    <brk id="146" max="10" man="1"/>
  </rowBreaks>
  <colBreaks count="1" manualBreakCount="1">
    <brk id="7" max="153" man="1"/>
  </colBreaks>
  <extLst>
    <ext xmlns:x14="http://schemas.microsoft.com/office/spreadsheetml/2009/9/main" uri="{CCE6A557-97BC-4b89-ADB6-D9C93CAAB3DF}">
      <x14:dataValidations xmlns:xm="http://schemas.microsoft.com/office/excel/2006/main" count="3">
        <x14:dataValidation type="list" allowBlank="1" showInputMessage="1" showErrorMessage="1" xr:uid="{D75406BF-8F23-4730-B6F1-C51AD3B7E12D}">
          <x14:formula1>
            <xm:f>'4. LISTAS'!$J$41:$J$42</xm:f>
          </x14:formula1>
          <xm:sqref>D84:D85 D111 D76 D70</xm:sqref>
        </x14:dataValidation>
        <x14:dataValidation type="list" allowBlank="1" showInputMessage="1" showErrorMessage="1" xr:uid="{065F7ED6-3552-4DB7-9A83-32E3A23ED88D}">
          <x14:formula1>
            <xm:f>'4. LISTAS'!$K$41:$K$42</xm:f>
          </x14:formula1>
          <xm:sqref>D81 D76 D69:D70</xm:sqref>
        </x14:dataValidation>
        <x14:dataValidation type="list" allowBlank="1" showInputMessage="1" showErrorMessage="1" xr:uid="{8199BC4F-3F59-43B7-B76F-CF714B24929D}">
          <x14:formula1>
            <xm:f>'4. LISTAS'!$L$41:$L$42</xm:f>
          </x14:formula1>
          <xm:sqref>D82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7EFD5-453C-41E4-B94D-B98A1E1BBA88}">
  <sheetPr codeName="Planilha3">
    <tabColor theme="6" tint="0.79998168889431442"/>
  </sheetPr>
  <dimension ref="A1:W112"/>
  <sheetViews>
    <sheetView zoomScale="90" zoomScaleNormal="90" workbookViewId="0">
      <pane xSplit="2" ySplit="14" topLeftCell="C15" activePane="bottomRight" state="frozen"/>
      <selection pane="topRight" activeCell="C1" sqref="C1"/>
      <selection pane="bottomLeft" activeCell="A11" sqref="A11"/>
      <selection pane="bottomRight" activeCell="R46" sqref="R46"/>
    </sheetView>
  </sheetViews>
  <sheetFormatPr defaultColWidth="8.88671875" defaultRowHeight="13.2" outlineLevelRow="1" x14ac:dyDescent="0.25"/>
  <cols>
    <col min="1" max="1" width="5" style="26" customWidth="1"/>
    <col min="2" max="2" width="34.33203125" style="27" customWidth="1"/>
    <col min="3" max="3" width="10.6640625" style="28" customWidth="1"/>
    <col min="4" max="6" width="10.6640625" style="68" customWidth="1"/>
    <col min="7" max="13" width="10.6640625" style="28" customWidth="1"/>
    <col min="14" max="15" width="20.6640625" style="30" customWidth="1"/>
    <col min="16" max="16" width="20.6640625" style="27" customWidth="1"/>
    <col min="17" max="20" width="8.88671875" style="27"/>
    <col min="21" max="21" width="13.33203125" style="27" bestFit="1" customWidth="1"/>
    <col min="22" max="16384" width="8.88671875" style="27"/>
  </cols>
  <sheetData>
    <row r="1" spans="1:23" ht="13.5" customHeight="1" thickBot="1" x14ac:dyDescent="0.3">
      <c r="A1" s="45"/>
      <c r="B1" s="39"/>
      <c r="C1" s="46" t="s">
        <v>129</v>
      </c>
      <c r="D1" s="80"/>
      <c r="E1" s="80"/>
      <c r="F1" s="80"/>
      <c r="G1" s="47"/>
      <c r="H1" s="47"/>
      <c r="I1" s="47"/>
      <c r="J1" s="47"/>
      <c r="K1" s="47"/>
      <c r="L1" s="47"/>
      <c r="M1" s="47"/>
      <c r="N1" s="29" t="s">
        <v>108</v>
      </c>
      <c r="O1" s="29" t="s">
        <v>109</v>
      </c>
      <c r="P1" s="165" t="s">
        <v>265</v>
      </c>
      <c r="R1" s="660" t="s">
        <v>935</v>
      </c>
      <c r="S1" s="660"/>
      <c r="T1" s="660"/>
      <c r="U1" s="660"/>
      <c r="V1" s="660"/>
      <c r="W1" s="660"/>
    </row>
    <row r="2" spans="1:23" ht="14.4" customHeight="1" thickBot="1" x14ac:dyDescent="0.3">
      <c r="A2" s="45"/>
      <c r="B2" s="39"/>
      <c r="C2" s="662" t="s">
        <v>142</v>
      </c>
      <c r="D2" s="662"/>
      <c r="E2" s="662"/>
      <c r="F2" s="662"/>
      <c r="G2" s="662"/>
      <c r="H2" s="662"/>
      <c r="I2" s="662"/>
      <c r="J2" s="662"/>
      <c r="K2" s="662"/>
      <c r="L2" s="662"/>
      <c r="M2" s="663"/>
      <c r="N2" s="48"/>
      <c r="O2" s="49"/>
      <c r="P2" s="166" t="s">
        <v>266</v>
      </c>
      <c r="R2" s="660"/>
      <c r="S2" s="660"/>
      <c r="T2" s="660"/>
      <c r="U2" s="660"/>
      <c r="V2" s="660"/>
      <c r="W2" s="660"/>
    </row>
    <row r="3" spans="1:23" ht="14.4" customHeight="1" x14ac:dyDescent="0.25">
      <c r="A3" s="45"/>
      <c r="B3" s="39"/>
      <c r="C3" s="662"/>
      <c r="D3" s="662"/>
      <c r="E3" s="662"/>
      <c r="F3" s="662"/>
      <c r="G3" s="662"/>
      <c r="H3" s="662"/>
      <c r="I3" s="662"/>
      <c r="J3" s="662"/>
      <c r="K3" s="662"/>
      <c r="L3" s="662"/>
      <c r="M3" s="663"/>
      <c r="N3" s="50"/>
      <c r="O3" s="51"/>
      <c r="P3" s="167">
        <f>O4+O92</f>
        <v>0</v>
      </c>
      <c r="R3" s="660"/>
      <c r="S3" s="660"/>
      <c r="T3" s="660"/>
      <c r="U3" s="660"/>
      <c r="V3" s="660"/>
      <c r="W3" s="660"/>
    </row>
    <row r="4" spans="1:23" ht="14.4" customHeight="1" thickBot="1" x14ac:dyDescent="0.3">
      <c r="A4" s="45"/>
      <c r="B4" s="39"/>
      <c r="C4" s="662"/>
      <c r="D4" s="662"/>
      <c r="E4" s="662"/>
      <c r="F4" s="662"/>
      <c r="G4" s="662"/>
      <c r="H4" s="662"/>
      <c r="I4" s="662"/>
      <c r="J4" s="662"/>
      <c r="K4" s="662"/>
      <c r="L4" s="662"/>
      <c r="M4" s="663"/>
      <c r="N4" s="52">
        <f>SUBTOTAL(9,N15:N88)</f>
        <v>0</v>
      </c>
      <c r="O4" s="53">
        <f>SUBTOTAL(9,O15:O88)</f>
        <v>0</v>
      </c>
      <c r="P4" s="168"/>
      <c r="R4" s="660"/>
      <c r="S4" s="660"/>
      <c r="T4" s="660"/>
      <c r="U4" s="660"/>
      <c r="V4" s="660"/>
      <c r="W4" s="660"/>
    </row>
    <row r="5" spans="1:23" ht="14.4" customHeight="1" thickBot="1" x14ac:dyDescent="0.3">
      <c r="A5" s="45"/>
      <c r="B5" s="39"/>
      <c r="C5" s="662"/>
      <c r="D5" s="662"/>
      <c r="E5" s="662"/>
      <c r="F5" s="662"/>
      <c r="G5" s="662"/>
      <c r="H5" s="662"/>
      <c r="I5" s="662"/>
      <c r="J5" s="662"/>
      <c r="K5" s="662"/>
      <c r="L5" s="662"/>
      <c r="M5" s="663"/>
      <c r="N5" s="54"/>
      <c r="O5" s="55"/>
      <c r="P5" s="166" t="s">
        <v>267</v>
      </c>
      <c r="R5" s="660"/>
      <c r="S5" s="660"/>
      <c r="T5" s="660"/>
      <c r="U5" s="660"/>
      <c r="V5" s="660"/>
      <c r="W5" s="660"/>
    </row>
    <row r="6" spans="1:23" ht="15" customHeight="1" thickBot="1" x14ac:dyDescent="0.3">
      <c r="A6" s="45"/>
      <c r="B6" s="39"/>
      <c r="C6" s="662"/>
      <c r="D6" s="662"/>
      <c r="E6" s="662"/>
      <c r="F6" s="662"/>
      <c r="G6" s="662"/>
      <c r="H6" s="662"/>
      <c r="I6" s="662"/>
      <c r="J6" s="662"/>
      <c r="K6" s="662"/>
      <c r="L6" s="662"/>
      <c r="M6" s="663"/>
      <c r="N6" s="56"/>
      <c r="O6" s="57"/>
      <c r="P6" s="167">
        <f>O4+N92</f>
        <v>0</v>
      </c>
      <c r="R6" s="660"/>
      <c r="S6" s="660"/>
      <c r="T6" s="660"/>
      <c r="U6" s="660"/>
      <c r="V6" s="660"/>
      <c r="W6" s="660"/>
    </row>
    <row r="7" spans="1:23" s="32" customFormat="1" ht="15.6" customHeight="1" thickBot="1" x14ac:dyDescent="0.3">
      <c r="A7" s="58"/>
      <c r="B7" s="59"/>
      <c r="C7" s="664" t="s">
        <v>144</v>
      </c>
      <c r="D7" s="664"/>
      <c r="E7" s="664"/>
      <c r="F7" s="664"/>
      <c r="G7" s="664"/>
      <c r="H7" s="664"/>
      <c r="I7" s="664"/>
      <c r="J7" s="664"/>
      <c r="K7" s="664"/>
      <c r="L7" s="664"/>
      <c r="M7" s="665"/>
      <c r="N7" s="60" t="s">
        <v>110</v>
      </c>
      <c r="O7" s="61">
        <v>0.45</v>
      </c>
      <c r="P7" s="168"/>
      <c r="R7" s="661"/>
      <c r="S7" s="661"/>
      <c r="T7" s="661"/>
      <c r="U7" s="661"/>
      <c r="V7" s="661"/>
      <c r="W7" s="661"/>
    </row>
    <row r="8" spans="1:23" outlineLevel="1" x14ac:dyDescent="0.25">
      <c r="A8" s="26" t="s">
        <v>30</v>
      </c>
      <c r="C8" s="29"/>
      <c r="E8" s="69" t="s">
        <v>27</v>
      </c>
      <c r="F8" s="69" t="s">
        <v>42</v>
      </c>
      <c r="G8" s="29" t="s">
        <v>84</v>
      </c>
      <c r="H8" s="29" t="s">
        <v>78</v>
      </c>
      <c r="I8" s="29" t="s">
        <v>79</v>
      </c>
      <c r="J8" s="29" t="s">
        <v>80</v>
      </c>
      <c r="K8" s="29" t="s">
        <v>81</v>
      </c>
      <c r="L8" s="29" t="s">
        <v>82</v>
      </c>
      <c r="M8" s="29" t="s">
        <v>83</v>
      </c>
      <c r="N8" s="27"/>
      <c r="O8" s="27"/>
    </row>
    <row r="9" spans="1:23" s="35" customFormat="1" ht="15" customHeight="1" outlineLevel="1" thickBot="1" x14ac:dyDescent="0.3">
      <c r="A9" s="26"/>
      <c r="B9" s="35" t="s">
        <v>111</v>
      </c>
      <c r="C9" s="62"/>
      <c r="D9" s="81"/>
      <c r="E9" s="63">
        <f>E10/(1-$C$11-$C$12)</f>
        <v>174.21428571428572</v>
      </c>
      <c r="F9" s="63">
        <f t="shared" ref="F9:M9" si="0">F10/(1-$C$11-$C$12)</f>
        <v>225.04761904761904</v>
      </c>
      <c r="G9" s="63">
        <f t="shared" si="0"/>
        <v>65.11904761904762</v>
      </c>
      <c r="H9" s="63">
        <f t="shared" si="0"/>
        <v>134.1904761904762</v>
      </c>
      <c r="I9" s="63">
        <f t="shared" si="0"/>
        <v>182.38095238095238</v>
      </c>
      <c r="J9" s="63">
        <f t="shared" si="0"/>
        <v>240.50000000000003</v>
      </c>
      <c r="K9" s="63">
        <f t="shared" si="0"/>
        <v>302.02380952380952</v>
      </c>
      <c r="L9" s="63">
        <f t="shared" si="0"/>
        <v>370.02380952380952</v>
      </c>
      <c r="M9" s="63">
        <f t="shared" si="0"/>
        <v>454.26190476190476</v>
      </c>
    </row>
    <row r="10" spans="1:23" outlineLevel="1" x14ac:dyDescent="0.25">
      <c r="B10" s="27" t="s">
        <v>112</v>
      </c>
      <c r="E10" s="64">
        <v>73.17</v>
      </c>
      <c r="F10" s="64">
        <v>94.52</v>
      </c>
      <c r="G10" s="64">
        <v>27.35</v>
      </c>
      <c r="H10" s="64">
        <v>56.36</v>
      </c>
      <c r="I10" s="64">
        <v>76.599999999999994</v>
      </c>
      <c r="J10" s="64">
        <v>101.01</v>
      </c>
      <c r="K10" s="64">
        <v>126.85</v>
      </c>
      <c r="L10" s="64">
        <v>155.41</v>
      </c>
      <c r="M10" s="64">
        <v>190.79</v>
      </c>
      <c r="N10" s="27"/>
      <c r="O10" s="484" t="s">
        <v>994</v>
      </c>
      <c r="P10" s="485">
        <f>SUM(D17,D20,D25,D32)</f>
        <v>0</v>
      </c>
    </row>
    <row r="11" spans="1:23" outlineLevel="1" x14ac:dyDescent="0.25">
      <c r="B11" s="27" t="s">
        <v>302</v>
      </c>
      <c r="C11" s="65">
        <f>'DRE Generica'!H13/100</f>
        <v>0.13</v>
      </c>
      <c r="D11" s="65"/>
      <c r="E11" s="170">
        <f>$C$11</f>
        <v>0.13</v>
      </c>
      <c r="F11" s="170">
        <f t="shared" ref="F11:M11" si="1">$C$11</f>
        <v>0.13</v>
      </c>
      <c r="G11" s="170">
        <f t="shared" si="1"/>
        <v>0.13</v>
      </c>
      <c r="H11" s="170">
        <f t="shared" si="1"/>
        <v>0.13</v>
      </c>
      <c r="I11" s="170">
        <f t="shared" si="1"/>
        <v>0.13</v>
      </c>
      <c r="J11" s="170">
        <f t="shared" si="1"/>
        <v>0.13</v>
      </c>
      <c r="K11" s="170">
        <f t="shared" si="1"/>
        <v>0.13</v>
      </c>
      <c r="L11" s="170">
        <f t="shared" si="1"/>
        <v>0.13</v>
      </c>
      <c r="M11" s="170">
        <f t="shared" si="1"/>
        <v>0.13</v>
      </c>
      <c r="N11" s="65"/>
      <c r="O11" s="488" t="s">
        <v>995</v>
      </c>
      <c r="P11" s="486">
        <f>SUM(D37,D45,D57,D61)</f>
        <v>0</v>
      </c>
    </row>
    <row r="12" spans="1:23" outlineLevel="1" x14ac:dyDescent="0.25">
      <c r="B12" s="27" t="s">
        <v>301</v>
      </c>
      <c r="C12" s="65">
        <f>O7</f>
        <v>0.45</v>
      </c>
      <c r="D12" s="65"/>
      <c r="E12" s="170">
        <f>$C$12</f>
        <v>0.45</v>
      </c>
      <c r="F12" s="170">
        <f t="shared" ref="F12:M12" si="2">$C$12</f>
        <v>0.45</v>
      </c>
      <c r="G12" s="170">
        <f t="shared" si="2"/>
        <v>0.45</v>
      </c>
      <c r="H12" s="170">
        <f t="shared" si="2"/>
        <v>0.45</v>
      </c>
      <c r="I12" s="170">
        <f t="shared" si="2"/>
        <v>0.45</v>
      </c>
      <c r="J12" s="170">
        <f t="shared" si="2"/>
        <v>0.45</v>
      </c>
      <c r="K12" s="170">
        <f t="shared" si="2"/>
        <v>0.45</v>
      </c>
      <c r="L12" s="170">
        <f t="shared" si="2"/>
        <v>0.45</v>
      </c>
      <c r="M12" s="170">
        <f t="shared" si="2"/>
        <v>0.45</v>
      </c>
      <c r="N12" s="65"/>
      <c r="O12" s="488" t="s">
        <v>996</v>
      </c>
      <c r="P12" s="492">
        <f>SUM(N17,N20,N25,N32)</f>
        <v>0</v>
      </c>
    </row>
    <row r="13" spans="1:23" ht="14.4" customHeight="1" outlineLevel="1" thickBot="1" x14ac:dyDescent="0.3">
      <c r="B13" s="27" t="s">
        <v>934</v>
      </c>
      <c r="C13" s="65">
        <v>0.2</v>
      </c>
      <c r="E13" s="64">
        <f t="shared" ref="E13" si="3">E10*$C$13</f>
        <v>14.634</v>
      </c>
      <c r="F13" s="64">
        <f>F10*$C$13</f>
        <v>18.904</v>
      </c>
      <c r="G13" s="64">
        <f t="shared" ref="G13" si="4">G10*$C$13</f>
        <v>5.4700000000000006</v>
      </c>
      <c r="H13" s="64">
        <f t="shared" ref="H13" si="5">H10*$C$13</f>
        <v>11.272</v>
      </c>
      <c r="I13" s="64">
        <f t="shared" ref="I13" si="6">I10*$C$13</f>
        <v>15.32</v>
      </c>
      <c r="J13" s="64">
        <f t="shared" ref="J13" si="7">J10*$C$13</f>
        <v>20.202000000000002</v>
      </c>
      <c r="K13" s="64">
        <f t="shared" ref="K13" si="8">K10*$C$13</f>
        <v>25.37</v>
      </c>
      <c r="L13" s="64">
        <f t="shared" ref="L13" si="9">L10*$C$13</f>
        <v>31.082000000000001</v>
      </c>
      <c r="M13" s="64">
        <f t="shared" ref="M13" si="10">M10*$C$13</f>
        <v>38.158000000000001</v>
      </c>
      <c r="N13" s="27"/>
      <c r="O13" s="489" t="s">
        <v>997</v>
      </c>
      <c r="P13" s="491">
        <f>SUM(N37,N45,N57,N61)</f>
        <v>0</v>
      </c>
    </row>
    <row r="14" spans="1:23" ht="13.8" outlineLevel="1" thickBot="1" x14ac:dyDescent="0.3">
      <c r="A14" s="31"/>
      <c r="C14" s="33"/>
      <c r="D14" s="82"/>
      <c r="E14" s="82"/>
      <c r="F14" s="82"/>
      <c r="G14" s="169"/>
      <c r="H14" s="169"/>
      <c r="I14" s="169"/>
      <c r="J14" s="169"/>
      <c r="K14" s="169"/>
      <c r="L14" s="169"/>
      <c r="M14" s="169"/>
      <c r="N14" s="32"/>
      <c r="O14" s="490"/>
      <c r="P14" s="32"/>
    </row>
    <row r="15" spans="1:23" x14ac:dyDescent="0.25">
      <c r="A15" s="35"/>
      <c r="B15" s="35"/>
      <c r="C15" s="29" t="s">
        <v>91</v>
      </c>
      <c r="D15" s="69" t="s">
        <v>89</v>
      </c>
      <c r="E15" s="69" t="str">
        <f t="shared" ref="E15:M15" si="11">E8</f>
        <v>HH Dev</v>
      </c>
      <c r="F15" s="69" t="str">
        <f t="shared" si="11"/>
        <v>HH Campo</v>
      </c>
      <c r="G15" s="29" t="str">
        <f t="shared" si="11"/>
        <v>Estagiário</v>
      </c>
      <c r="H15" s="29" t="str">
        <f t="shared" si="11"/>
        <v>Analista C</v>
      </c>
      <c r="I15" s="29" t="str">
        <f t="shared" si="11"/>
        <v>Analista B</v>
      </c>
      <c r="J15" s="29" t="str">
        <f t="shared" si="11"/>
        <v>Analista A</v>
      </c>
      <c r="K15" s="29" t="str">
        <f t="shared" si="11"/>
        <v>Consultor C</v>
      </c>
      <c r="L15" s="29" t="str">
        <f t="shared" si="11"/>
        <v>Consultor B</v>
      </c>
      <c r="M15" s="29" t="str">
        <f t="shared" si="11"/>
        <v>Consultor A</v>
      </c>
      <c r="N15" s="36" t="s">
        <v>108</v>
      </c>
      <c r="O15" s="36" t="s">
        <v>90</v>
      </c>
      <c r="P15" s="35"/>
    </row>
    <row r="16" spans="1:23" x14ac:dyDescent="0.25">
      <c r="B16" s="35"/>
      <c r="C16" s="29"/>
      <c r="D16" s="69"/>
      <c r="E16" s="69"/>
      <c r="F16" s="69"/>
      <c r="G16" s="29"/>
      <c r="H16" s="29"/>
      <c r="I16" s="29"/>
      <c r="J16" s="29"/>
      <c r="K16" s="29"/>
      <c r="L16" s="29"/>
      <c r="M16" s="29"/>
      <c r="N16" s="36"/>
      <c r="O16" s="36"/>
    </row>
    <row r="17" spans="1:15" x14ac:dyDescent="0.25">
      <c r="A17" s="26" t="str">
        <f>'Matriz Escopo'!A29</f>
        <v>INTERNAÇÃO</v>
      </c>
      <c r="B17" s="35"/>
      <c r="C17" s="29"/>
      <c r="D17" s="87">
        <f>SUBTOTAL(9,D18)</f>
        <v>0</v>
      </c>
      <c r="E17" s="69"/>
      <c r="F17" s="69"/>
      <c r="G17" s="29"/>
      <c r="H17" s="29"/>
      <c r="I17" s="29"/>
      <c r="J17" s="29"/>
      <c r="K17" s="29"/>
      <c r="L17" s="29"/>
      <c r="M17" s="29"/>
      <c r="N17" s="85">
        <f>SUBTOTAL(9,N18)</f>
        <v>0</v>
      </c>
      <c r="O17" s="85">
        <f>SUBTOTAL(9,O18)</f>
        <v>0</v>
      </c>
    </row>
    <row r="18" spans="1:15" x14ac:dyDescent="0.25">
      <c r="A18" s="26">
        <f>'Matriz Escopo'!A32</f>
        <v>1</v>
      </c>
      <c r="B18" s="27" t="str">
        <f>'Matriz Escopo'!B32</f>
        <v>Kick-off</v>
      </c>
      <c r="C18" s="90">
        <f>'Matriz Escopo'!H32</f>
        <v>0</v>
      </c>
      <c r="D18" s="68">
        <f>C18*SUM(E18:M18)*8</f>
        <v>0</v>
      </c>
      <c r="E18" s="89">
        <f>'Matriz Escopo'!I32</f>
        <v>0</v>
      </c>
      <c r="F18" s="89"/>
      <c r="G18" s="67"/>
      <c r="H18" s="67"/>
      <c r="I18" s="67"/>
      <c r="J18" s="67"/>
      <c r="K18" s="67"/>
      <c r="L18" s="67"/>
      <c r="M18" s="67"/>
      <c r="N18" s="30">
        <f>SUMPRODUCT($E18:$M18,$E$10:$M$10)*$C18*8</f>
        <v>0</v>
      </c>
      <c r="O18" s="30">
        <f>SUMPRODUCT(E18:M18,$E$9:$M$9)*$C18*8</f>
        <v>0</v>
      </c>
    </row>
    <row r="19" spans="1:15" x14ac:dyDescent="0.25">
      <c r="C19" s="68"/>
    </row>
    <row r="20" spans="1:15" x14ac:dyDescent="0.25">
      <c r="A20" s="26" t="str">
        <f>'Matriz Escopo'!A34</f>
        <v>ANÁLISE</v>
      </c>
      <c r="C20" s="68"/>
      <c r="D20" s="88">
        <f>SUBTOTAL(9,D21:D23)</f>
        <v>0</v>
      </c>
      <c r="N20" s="85">
        <f>SUBTOTAL(9,N21:N23)</f>
        <v>0</v>
      </c>
      <c r="O20" s="85">
        <f>SUBTOTAL(9,O21:O23)</f>
        <v>0</v>
      </c>
    </row>
    <row r="21" spans="1:15" x14ac:dyDescent="0.25">
      <c r="A21" s="26">
        <f>'Matriz Escopo'!A37</f>
        <v>1</v>
      </c>
      <c r="B21" s="27" t="str">
        <f>'Matriz Escopo'!B37</f>
        <v>Levantamento de Campo</v>
      </c>
      <c r="C21" s="90">
        <f>'Matriz Escopo'!H37</f>
        <v>0</v>
      </c>
      <c r="D21" s="68">
        <f t="shared" ref="D21:D23" si="12">C21*SUM(E21:M21)*8</f>
        <v>0</v>
      </c>
      <c r="E21" s="89">
        <f>'Matriz Escopo'!I37</f>
        <v>0</v>
      </c>
      <c r="F21" s="89"/>
      <c r="G21" s="67"/>
      <c r="H21" s="67"/>
      <c r="I21" s="67"/>
      <c r="J21" s="67"/>
      <c r="K21" s="67"/>
      <c r="L21" s="67"/>
      <c r="M21" s="67"/>
      <c r="N21" s="30">
        <f>SUMPRODUCT($E21:$M21,$E$10:$M$10)*$C21*8</f>
        <v>0</v>
      </c>
      <c r="O21" s="30">
        <f>SUMPRODUCT(E21:M21,$E$9:$M$9)*$C21*8</f>
        <v>0</v>
      </c>
    </row>
    <row r="22" spans="1:15" x14ac:dyDescent="0.25">
      <c r="A22" s="26">
        <f>'Matriz Escopo'!A38</f>
        <v>2</v>
      </c>
      <c r="B22" s="27" t="str">
        <f>'Matriz Escopo'!B38</f>
        <v>Levantamento de Dados</v>
      </c>
      <c r="C22" s="90">
        <f>'Matriz Escopo'!H38</f>
        <v>0</v>
      </c>
      <c r="D22" s="68">
        <f t="shared" si="12"/>
        <v>0</v>
      </c>
      <c r="E22" s="89">
        <f>'Matriz Escopo'!I38</f>
        <v>0</v>
      </c>
      <c r="F22" s="89"/>
      <c r="G22" s="67"/>
      <c r="H22" s="67"/>
      <c r="I22" s="67"/>
      <c r="J22" s="67"/>
      <c r="K22" s="67"/>
      <c r="L22" s="67"/>
      <c r="M22" s="67"/>
      <c r="N22" s="30">
        <f>SUMPRODUCT($E22:$M22,$E$10:$M$10)*$C22*8</f>
        <v>0</v>
      </c>
      <c r="O22" s="30">
        <f>SUMPRODUCT(E22:M22,$E$9:$M$9)*$C22*8</f>
        <v>0</v>
      </c>
    </row>
    <row r="23" spans="1:15" x14ac:dyDescent="0.25">
      <c r="A23" s="26">
        <f>'Matriz Escopo'!A39</f>
        <v>3</v>
      </c>
      <c r="B23" s="27" t="str">
        <f>'Matriz Escopo'!B39</f>
        <v>Documentação gerada na etapa</v>
      </c>
      <c r="C23" s="90">
        <f>'Matriz Escopo'!H39</f>
        <v>0</v>
      </c>
      <c r="D23" s="68">
        <f t="shared" si="12"/>
        <v>0</v>
      </c>
      <c r="E23" s="89">
        <f>'Matriz Escopo'!I39</f>
        <v>0</v>
      </c>
      <c r="F23" s="89"/>
      <c r="G23" s="67"/>
      <c r="H23" s="67"/>
      <c r="I23" s="67"/>
      <c r="J23" s="67"/>
      <c r="K23" s="67"/>
      <c r="L23" s="67"/>
      <c r="M23" s="67"/>
      <c r="N23" s="30">
        <f>SUMPRODUCT($E23:$M23,$E$10:$M$10)*$C23*8</f>
        <v>0</v>
      </c>
      <c r="O23" s="30">
        <f>SUMPRODUCT(E23:M23,$E$9:$M$9)*$C23*8</f>
        <v>0</v>
      </c>
    </row>
    <row r="24" spans="1:15" x14ac:dyDescent="0.25">
      <c r="C24" s="68"/>
    </row>
    <row r="25" spans="1:15" x14ac:dyDescent="0.25">
      <c r="A25" s="26" t="str">
        <f>'Matriz Escopo'!A41</f>
        <v>DESENVOLVIMENTO DE PROJETO</v>
      </c>
      <c r="C25" s="68"/>
      <c r="D25" s="88">
        <f>SUBTOTAL(9,D26:D30)</f>
        <v>0</v>
      </c>
      <c r="N25" s="85">
        <f>SUBTOTAL(9,N26:N30)</f>
        <v>0</v>
      </c>
      <c r="O25" s="85">
        <f>SUBTOTAL(9,O26:O30)</f>
        <v>0</v>
      </c>
    </row>
    <row r="26" spans="1:15" x14ac:dyDescent="0.25">
      <c r="A26" s="26">
        <f>'Matriz Escopo'!A44</f>
        <v>1</v>
      </c>
      <c r="B26" s="27" t="str">
        <f>'Matriz Escopo'!B44</f>
        <v>Sistema de Controle</v>
      </c>
      <c r="C26" s="90">
        <f>'Matriz Escopo'!H44</f>
        <v>0</v>
      </c>
      <c r="D26" s="68">
        <f t="shared" ref="D26:D30" si="13">C26*SUM(E26:M26)*8</f>
        <v>0</v>
      </c>
      <c r="E26" s="89">
        <f>'Matriz Escopo'!I44</f>
        <v>0</v>
      </c>
      <c r="F26" s="89"/>
      <c r="G26" s="67"/>
      <c r="H26" s="67"/>
      <c r="I26" s="67"/>
      <c r="J26" s="67"/>
      <c r="K26" s="67"/>
      <c r="L26" s="67"/>
      <c r="M26" s="67"/>
      <c r="N26" s="30">
        <f>SUMPRODUCT($E26:$M26,$E$10:$M$10)*$C26*8</f>
        <v>0</v>
      </c>
      <c r="O26" s="30">
        <f>SUMPRODUCT(E26:M26,$E$9:$M$9)*$C26*8</f>
        <v>0</v>
      </c>
    </row>
    <row r="27" spans="1:15" x14ac:dyDescent="0.25">
      <c r="A27" s="26">
        <f>'Matriz Escopo'!A45</f>
        <v>2</v>
      </c>
      <c r="B27" s="27" t="str">
        <f>'Matriz Escopo'!B45</f>
        <v>Sistema de Supervisão</v>
      </c>
      <c r="C27" s="90">
        <f>'Matriz Escopo'!H45</f>
        <v>0</v>
      </c>
      <c r="D27" s="68">
        <f t="shared" si="13"/>
        <v>0</v>
      </c>
      <c r="E27" s="89">
        <f>'Matriz Escopo'!I45</f>
        <v>0</v>
      </c>
      <c r="F27" s="89"/>
      <c r="G27" s="67"/>
      <c r="H27" s="67"/>
      <c r="I27" s="67"/>
      <c r="J27" s="67"/>
      <c r="K27" s="67"/>
      <c r="L27" s="67"/>
      <c r="M27" s="67"/>
      <c r="N27" s="30">
        <f t="shared" ref="N27:N30" si="14">SUMPRODUCT($E27:$M27,$E$10:$M$10)*$C27*8</f>
        <v>0</v>
      </c>
      <c r="O27" s="30">
        <f t="shared" ref="O27:O30" si="15">SUMPRODUCT(E27:M27,$E$9:$M$9)*$C27*8</f>
        <v>0</v>
      </c>
    </row>
    <row r="28" spans="1:15" x14ac:dyDescent="0.25">
      <c r="A28" s="26">
        <f>'Matriz Escopo'!A46</f>
        <v>3</v>
      </c>
      <c r="B28" s="27" t="str">
        <f>'Matriz Escopo'!B46</f>
        <v>Programação de IHM</v>
      </c>
      <c r="C28" s="90">
        <f>'Matriz Escopo'!H46</f>
        <v>0</v>
      </c>
      <c r="D28" s="68">
        <f t="shared" si="13"/>
        <v>0</v>
      </c>
      <c r="E28" s="89">
        <f>'Matriz Escopo'!I46</f>
        <v>0</v>
      </c>
      <c r="F28" s="89"/>
      <c r="G28" s="67"/>
      <c r="H28" s="67"/>
      <c r="I28" s="67"/>
      <c r="J28" s="67"/>
      <c r="K28" s="67"/>
      <c r="L28" s="67"/>
      <c r="M28" s="67"/>
      <c r="N28" s="30">
        <f t="shared" si="14"/>
        <v>0</v>
      </c>
      <c r="O28" s="30">
        <f t="shared" si="15"/>
        <v>0</v>
      </c>
    </row>
    <row r="29" spans="1:15" x14ac:dyDescent="0.25">
      <c r="A29" s="26">
        <f>'Matriz Escopo'!A47</f>
        <v>4</v>
      </c>
      <c r="B29" s="27" t="str">
        <f>'Matriz Escopo'!B47</f>
        <v>Interface com outros sistemas</v>
      </c>
      <c r="C29" s="90">
        <f>'Matriz Escopo'!H47</f>
        <v>0</v>
      </c>
      <c r="D29" s="68">
        <f t="shared" si="13"/>
        <v>0</v>
      </c>
      <c r="E29" s="89">
        <f>'Matriz Escopo'!I47</f>
        <v>0</v>
      </c>
      <c r="F29" s="89"/>
      <c r="G29" s="67"/>
      <c r="H29" s="67"/>
      <c r="I29" s="67"/>
      <c r="J29" s="67"/>
      <c r="K29" s="67"/>
      <c r="L29" s="67"/>
      <c r="M29" s="67"/>
      <c r="N29" s="30">
        <f t="shared" si="14"/>
        <v>0</v>
      </c>
      <c r="O29" s="30">
        <f t="shared" si="15"/>
        <v>0</v>
      </c>
    </row>
    <row r="30" spans="1:15" x14ac:dyDescent="0.25">
      <c r="A30" s="26">
        <f>'Matriz Escopo'!A48</f>
        <v>5</v>
      </c>
      <c r="B30" s="27" t="str">
        <f>'Matriz Escopo'!B48</f>
        <v>Documentação gerada na etapa</v>
      </c>
      <c r="C30" s="90">
        <f>'Matriz Escopo'!H48</f>
        <v>0</v>
      </c>
      <c r="D30" s="68">
        <f t="shared" si="13"/>
        <v>0</v>
      </c>
      <c r="E30" s="89">
        <f>'Matriz Escopo'!I48</f>
        <v>0</v>
      </c>
      <c r="F30" s="89"/>
      <c r="G30" s="67"/>
      <c r="H30" s="67"/>
      <c r="I30" s="67"/>
      <c r="J30" s="67"/>
      <c r="K30" s="67"/>
      <c r="L30" s="67"/>
      <c r="M30" s="67"/>
      <c r="N30" s="30">
        <f t="shared" si="14"/>
        <v>0</v>
      </c>
      <c r="O30" s="30">
        <f t="shared" si="15"/>
        <v>0</v>
      </c>
    </row>
    <row r="31" spans="1:15" x14ac:dyDescent="0.25">
      <c r="C31" s="68"/>
    </row>
    <row r="32" spans="1:15" x14ac:dyDescent="0.25">
      <c r="A32" s="26" t="str">
        <f>'Matriz Escopo'!A50</f>
        <v>TESTES DE ACEITAÇÃO</v>
      </c>
      <c r="C32" s="68"/>
      <c r="D32" s="88">
        <f>SUBTOTAL(9,D33:D35)</f>
        <v>0</v>
      </c>
      <c r="N32" s="85">
        <f>SUBTOTAL(9,N33:N35)</f>
        <v>0</v>
      </c>
      <c r="O32" s="85">
        <f>SUBTOTAL(9,O33:O35)</f>
        <v>0</v>
      </c>
    </row>
    <row r="33" spans="1:15" x14ac:dyDescent="0.25">
      <c r="A33" s="26">
        <f>'Matriz Escopo'!A53</f>
        <v>1</v>
      </c>
      <c r="B33" s="27" t="str">
        <f>'Matriz Escopo'!B53</f>
        <v>Teste de Plataforma</v>
      </c>
      <c r="C33" s="90">
        <f>'Matriz Escopo'!H53</f>
        <v>0</v>
      </c>
      <c r="D33" s="68">
        <f t="shared" ref="D33:D35" si="16">C33*SUM(E33:M33)*8</f>
        <v>0</v>
      </c>
      <c r="E33" s="89">
        <f>'Matriz Escopo'!I53</f>
        <v>0</v>
      </c>
      <c r="F33" s="89"/>
      <c r="G33" s="67"/>
      <c r="H33" s="67"/>
      <c r="I33" s="67"/>
      <c r="J33" s="67"/>
      <c r="K33" s="67"/>
      <c r="L33" s="67"/>
      <c r="M33" s="67"/>
      <c r="N33" s="30">
        <f t="shared" ref="N33:N35" si="17">SUMPRODUCT($E33:$M33,$E$10:$M$10)*$C33*8</f>
        <v>0</v>
      </c>
      <c r="O33" s="30">
        <f t="shared" ref="O33:O35" si="18">SUMPRODUCT(E33:M33,$E$9:$M$9)*$C33*8</f>
        <v>0</v>
      </c>
    </row>
    <row r="34" spans="1:15" x14ac:dyDescent="0.25">
      <c r="A34" s="26">
        <f>'Matriz Escopo'!A54</f>
        <v>2</v>
      </c>
      <c r="B34" s="27" t="str">
        <f>'Matriz Escopo'!B54</f>
        <v>Teste em Fábrica (TAF)</v>
      </c>
      <c r="C34" s="90">
        <f>'Matriz Escopo'!H54</f>
        <v>0</v>
      </c>
      <c r="D34" s="68">
        <f t="shared" si="16"/>
        <v>0</v>
      </c>
      <c r="E34" s="89">
        <f>'Matriz Escopo'!I54</f>
        <v>0</v>
      </c>
      <c r="F34" s="89"/>
      <c r="G34" s="67"/>
      <c r="H34" s="67"/>
      <c r="I34" s="67"/>
      <c r="J34" s="67"/>
      <c r="K34" s="67"/>
      <c r="L34" s="67"/>
      <c r="M34" s="67"/>
      <c r="N34" s="30">
        <f t="shared" si="17"/>
        <v>0</v>
      </c>
      <c r="O34" s="30">
        <f t="shared" si="18"/>
        <v>0</v>
      </c>
    </row>
    <row r="35" spans="1:15" x14ac:dyDescent="0.25">
      <c r="A35" s="26">
        <f>'Matriz Escopo'!A55</f>
        <v>3</v>
      </c>
      <c r="B35" s="27" t="str">
        <f>'Matriz Escopo'!B55</f>
        <v>Documentação gerada na etapa</v>
      </c>
      <c r="C35" s="90">
        <f>'Matriz Escopo'!H55</f>
        <v>0</v>
      </c>
      <c r="D35" s="68">
        <f t="shared" si="16"/>
        <v>0</v>
      </c>
      <c r="E35" s="89">
        <f>'Matriz Escopo'!I55</f>
        <v>0</v>
      </c>
      <c r="F35" s="89"/>
      <c r="G35" s="67"/>
      <c r="H35" s="67"/>
      <c r="I35" s="67"/>
      <c r="J35" s="67"/>
      <c r="K35" s="67"/>
      <c r="L35" s="67"/>
      <c r="M35" s="67"/>
      <c r="N35" s="30">
        <f t="shared" si="17"/>
        <v>0</v>
      </c>
      <c r="O35" s="30">
        <f t="shared" si="18"/>
        <v>0</v>
      </c>
    </row>
    <row r="36" spans="1:15" x14ac:dyDescent="0.25">
      <c r="C36" s="68"/>
    </row>
    <row r="37" spans="1:15" x14ac:dyDescent="0.25">
      <c r="A37" s="26" t="str">
        <f>'Matriz Escopo'!A57</f>
        <v>MOBILIZAÇÃO EMPRESA E EQUIPE</v>
      </c>
      <c r="C37" s="68"/>
      <c r="D37" s="88">
        <f>SUBTOTAL(9,D38:D42)</f>
        <v>0</v>
      </c>
      <c r="N37" s="85">
        <f>SUBTOTAL(9,N38:N43)</f>
        <v>0</v>
      </c>
      <c r="O37" s="85">
        <f>SUBTOTAL(9,O38:O43)</f>
        <v>0</v>
      </c>
    </row>
    <row r="38" spans="1:15" x14ac:dyDescent="0.25">
      <c r="A38" s="26">
        <f>'Matriz Escopo'!A60</f>
        <v>1</v>
      </c>
      <c r="B38" s="27" t="str">
        <f>'Matriz Escopo'!B60</f>
        <v>Elaboração de Documentos de SSMA</v>
      </c>
      <c r="C38" s="90">
        <f>'Matriz Escopo'!H60</f>
        <v>0</v>
      </c>
      <c r="D38" s="68">
        <f t="shared" ref="D38:D42" si="19">C38*SUM(E38:M38)*8</f>
        <v>0</v>
      </c>
      <c r="E38" s="89">
        <f>'Matriz Escopo'!I60</f>
        <v>0</v>
      </c>
      <c r="F38" s="89"/>
      <c r="G38" s="67"/>
      <c r="H38" s="67"/>
      <c r="I38" s="67"/>
      <c r="J38" s="67"/>
      <c r="K38" s="67"/>
      <c r="L38" s="67"/>
      <c r="M38" s="67"/>
      <c r="N38" s="30">
        <f t="shared" ref="N38:N42" si="20">SUMPRODUCT($E38:$M38,$E$10:$M$10)*$C38*8</f>
        <v>0</v>
      </c>
      <c r="O38" s="30">
        <f t="shared" ref="O38:O42" si="21">SUMPRODUCT(E38:M38,$E$9:$M$9)*$C38*8</f>
        <v>0</v>
      </c>
    </row>
    <row r="39" spans="1:15" x14ac:dyDescent="0.25">
      <c r="A39" s="26">
        <f>'Matriz Escopo'!A61</f>
        <v>2</v>
      </c>
      <c r="B39" s="27" t="str">
        <f>'Matriz Escopo'!B61</f>
        <v>Exames</v>
      </c>
      <c r="C39" s="90">
        <f>'Matriz Escopo'!H61</f>
        <v>0</v>
      </c>
      <c r="D39" s="68">
        <f t="shared" si="19"/>
        <v>0</v>
      </c>
      <c r="E39" s="89">
        <f>'Matriz Escopo'!I61</f>
        <v>0</v>
      </c>
      <c r="F39" s="89"/>
      <c r="G39" s="67"/>
      <c r="H39" s="67"/>
      <c r="I39" s="67"/>
      <c r="J39" s="67"/>
      <c r="K39" s="67"/>
      <c r="L39" s="67"/>
      <c r="M39" s="67"/>
      <c r="N39" s="30">
        <f t="shared" si="20"/>
        <v>0</v>
      </c>
      <c r="O39" s="30">
        <f t="shared" si="21"/>
        <v>0</v>
      </c>
    </row>
    <row r="40" spans="1:15" x14ac:dyDescent="0.25">
      <c r="A40" s="26">
        <f>'Matriz Escopo'!A62</f>
        <v>3</v>
      </c>
      <c r="B40" s="27" t="str">
        <f>'Matriz Escopo'!B62</f>
        <v>Treinamentos Específicos</v>
      </c>
      <c r="C40" s="90">
        <f>'Matriz Escopo'!H62</f>
        <v>0</v>
      </c>
      <c r="D40" s="68">
        <f t="shared" si="19"/>
        <v>0</v>
      </c>
      <c r="E40" s="89"/>
      <c r="F40" s="89">
        <f>'Matriz Escopo'!I62</f>
        <v>0</v>
      </c>
      <c r="G40" s="67"/>
      <c r="H40" s="67"/>
      <c r="I40" s="67"/>
      <c r="J40" s="67"/>
      <c r="K40" s="67"/>
      <c r="L40" s="67"/>
      <c r="M40" s="67"/>
      <c r="N40" s="30">
        <f t="shared" si="20"/>
        <v>0</v>
      </c>
      <c r="O40" s="30">
        <f t="shared" si="21"/>
        <v>0</v>
      </c>
    </row>
    <row r="41" spans="1:15" x14ac:dyDescent="0.25">
      <c r="A41" s="26">
        <f>'Matriz Escopo'!A63</f>
        <v>4</v>
      </c>
      <c r="B41" s="27" t="str">
        <f>'Matriz Escopo'!B63</f>
        <v>Treinamento de Integração</v>
      </c>
      <c r="C41" s="90">
        <f>'Matriz Escopo'!H63</f>
        <v>0</v>
      </c>
      <c r="D41" s="68">
        <f t="shared" si="19"/>
        <v>0</v>
      </c>
      <c r="E41" s="89"/>
      <c r="F41" s="89">
        <f>'Matriz Escopo'!I63</f>
        <v>0</v>
      </c>
      <c r="G41" s="67"/>
      <c r="H41" s="67"/>
      <c r="I41" s="67"/>
      <c r="J41" s="67"/>
      <c r="K41" s="67"/>
      <c r="L41" s="67"/>
      <c r="M41" s="67"/>
      <c r="N41" s="30">
        <f t="shared" si="20"/>
        <v>0</v>
      </c>
      <c r="O41" s="30">
        <f t="shared" si="21"/>
        <v>0</v>
      </c>
    </row>
    <row r="42" spans="1:15" x14ac:dyDescent="0.25">
      <c r="A42" s="26">
        <f>'Matriz Escopo'!A64</f>
        <v>5</v>
      </c>
      <c r="B42" s="27" t="str">
        <f>'Matriz Escopo'!B64</f>
        <v>Envio de documentos de habilitação</v>
      </c>
      <c r="C42" s="90">
        <f>'Matriz Escopo'!H64</f>
        <v>0</v>
      </c>
      <c r="D42" s="68">
        <f t="shared" si="19"/>
        <v>0</v>
      </c>
      <c r="E42" s="89"/>
      <c r="F42" s="89">
        <f>'Matriz Escopo'!I64</f>
        <v>0</v>
      </c>
      <c r="G42" s="67"/>
      <c r="H42" s="67"/>
      <c r="I42" s="67"/>
      <c r="J42" s="67"/>
      <c r="K42" s="67"/>
      <c r="L42" s="67"/>
      <c r="M42" s="67"/>
      <c r="N42" s="30">
        <f t="shared" si="20"/>
        <v>0</v>
      </c>
      <c r="O42" s="30">
        <f t="shared" si="21"/>
        <v>0</v>
      </c>
    </row>
    <row r="43" spans="1:15" x14ac:dyDescent="0.25">
      <c r="A43" s="26">
        <v>6</v>
      </c>
      <c r="B43" s="27" t="s">
        <v>182</v>
      </c>
      <c r="C43" s="90">
        <v>0</v>
      </c>
      <c r="E43" s="89"/>
      <c r="F43" s="89"/>
      <c r="G43" s="89"/>
      <c r="H43" s="89"/>
      <c r="I43" s="89"/>
      <c r="J43" s="89"/>
      <c r="K43" s="89"/>
      <c r="L43" s="89"/>
      <c r="M43" s="89"/>
      <c r="N43" s="30">
        <f>C43*'Comece aqui! ; )'!$C$36</f>
        <v>0</v>
      </c>
      <c r="O43" s="30">
        <f>N43/(1-C11-C12)</f>
        <v>0</v>
      </c>
    </row>
    <row r="44" spans="1:15" x14ac:dyDescent="0.25">
      <c r="C44" s="68"/>
    </row>
    <row r="45" spans="1:15" x14ac:dyDescent="0.25">
      <c r="A45" s="26" t="str">
        <f>'Matriz Escopo'!A87</f>
        <v>IMPLANTAÇÃO DE CAMPO</v>
      </c>
      <c r="C45" s="68"/>
      <c r="D45" s="88">
        <f>SUBTOTAL(9,D46:D50)</f>
        <v>0</v>
      </c>
      <c r="N45" s="85">
        <f>SUBTOTAL(9,N46:N50)</f>
        <v>0</v>
      </c>
      <c r="O45" s="85">
        <f>SUBTOTAL(9,O46:O50)</f>
        <v>0</v>
      </c>
    </row>
    <row r="46" spans="1:15" x14ac:dyDescent="0.25">
      <c r="A46" s="26">
        <v>1</v>
      </c>
      <c r="B46" s="27" t="str">
        <f>'Matriz Escopo'!B91</f>
        <v>Comissionamento</v>
      </c>
      <c r="C46" s="90">
        <f>'Matriz Escopo'!H91</f>
        <v>0</v>
      </c>
      <c r="D46" s="68">
        <f t="shared" ref="D46:D50" si="22">C46*SUM(E46:M46)*8.8</f>
        <v>0</v>
      </c>
      <c r="E46" s="89"/>
      <c r="F46" s="89">
        <f>'Matriz Escopo'!I91</f>
        <v>0</v>
      </c>
      <c r="G46" s="67"/>
      <c r="H46" s="67"/>
      <c r="I46" s="67"/>
      <c r="J46" s="67"/>
      <c r="K46" s="67"/>
      <c r="L46" s="67"/>
      <c r="M46" s="67"/>
      <c r="N46" s="30">
        <f t="shared" ref="N46:N50" si="23">SUMPRODUCT($E46:$M46,$E$10:$M$10)*$C46*8.8</f>
        <v>0</v>
      </c>
      <c r="O46" s="30">
        <f t="shared" ref="O46:O50" si="24">SUMPRODUCT(E46:M46,$E$9:$M$9)*$C46*8.8</f>
        <v>0</v>
      </c>
    </row>
    <row r="47" spans="1:15" x14ac:dyDescent="0.25">
      <c r="A47" s="26">
        <v>2</v>
      </c>
      <c r="B47" s="27" t="str">
        <f>'Matriz Escopo'!B102</f>
        <v>Start-up</v>
      </c>
      <c r="C47" s="90">
        <f>'Matriz Escopo'!H102</f>
        <v>0</v>
      </c>
      <c r="D47" s="68">
        <f t="shared" si="22"/>
        <v>0</v>
      </c>
      <c r="E47" s="89"/>
      <c r="F47" s="89">
        <f>'Matriz Escopo'!I102</f>
        <v>0</v>
      </c>
      <c r="G47" s="67"/>
      <c r="H47" s="67"/>
      <c r="I47" s="67"/>
      <c r="J47" s="67"/>
      <c r="K47" s="67"/>
      <c r="L47" s="67"/>
      <c r="M47" s="67"/>
      <c r="N47" s="30">
        <f t="shared" si="23"/>
        <v>0</v>
      </c>
      <c r="O47" s="30">
        <f t="shared" si="24"/>
        <v>0</v>
      </c>
    </row>
    <row r="48" spans="1:15" x14ac:dyDescent="0.25">
      <c r="A48" s="26">
        <v>3</v>
      </c>
      <c r="B48" s="27" t="str">
        <f>'Matriz Escopo'!B103</f>
        <v>Operação Assistida</v>
      </c>
      <c r="C48" s="90">
        <f>'Matriz Escopo'!H103</f>
        <v>0</v>
      </c>
      <c r="D48" s="68">
        <f t="shared" si="22"/>
        <v>0</v>
      </c>
      <c r="E48" s="89"/>
      <c r="F48" s="89">
        <f>'Matriz Escopo'!I103</f>
        <v>0</v>
      </c>
      <c r="G48" s="67"/>
      <c r="H48" s="67"/>
      <c r="I48" s="67"/>
      <c r="J48" s="67"/>
      <c r="K48" s="67"/>
      <c r="L48" s="67"/>
      <c r="M48" s="67"/>
      <c r="N48" s="30">
        <f t="shared" si="23"/>
        <v>0</v>
      </c>
      <c r="O48" s="30">
        <f t="shared" si="24"/>
        <v>0</v>
      </c>
    </row>
    <row r="49" spans="1:16" x14ac:dyDescent="0.25">
      <c r="A49" s="26">
        <v>4</v>
      </c>
      <c r="B49" s="27" t="s">
        <v>991</v>
      </c>
      <c r="C49" s="90"/>
      <c r="D49" s="68">
        <f t="shared" si="22"/>
        <v>0</v>
      </c>
      <c r="E49" s="90"/>
      <c r="F49" s="90"/>
      <c r="G49" s="90"/>
      <c r="H49" s="90"/>
      <c r="I49" s="90"/>
      <c r="J49" s="90"/>
      <c r="K49" s="90"/>
      <c r="L49" s="90"/>
      <c r="M49" s="90"/>
      <c r="N49" s="30">
        <f t="shared" si="23"/>
        <v>0</v>
      </c>
      <c r="O49" s="30">
        <f t="shared" si="24"/>
        <v>0</v>
      </c>
    </row>
    <row r="50" spans="1:16" x14ac:dyDescent="0.25">
      <c r="A50" s="26">
        <v>5</v>
      </c>
      <c r="B50" s="27" t="str">
        <f>'Matriz Escopo'!B104</f>
        <v>As-Built - Campo</v>
      </c>
      <c r="C50" s="90">
        <f>'Matriz Escopo'!H104</f>
        <v>0</v>
      </c>
      <c r="D50" s="68">
        <f t="shared" si="22"/>
        <v>0</v>
      </c>
      <c r="E50" s="89"/>
      <c r="F50" s="89">
        <f>'Matriz Escopo'!I104</f>
        <v>0</v>
      </c>
      <c r="G50" s="67"/>
      <c r="H50" s="67"/>
      <c r="I50" s="67"/>
      <c r="J50" s="67"/>
      <c r="K50" s="67"/>
      <c r="L50" s="67"/>
      <c r="M50" s="67"/>
      <c r="N50" s="30">
        <f t="shared" si="23"/>
        <v>0</v>
      </c>
      <c r="O50" s="30">
        <f t="shared" si="24"/>
        <v>0</v>
      </c>
      <c r="P50" s="442"/>
    </row>
    <row r="51" spans="1:16" x14ac:dyDescent="0.25">
      <c r="C51" s="68"/>
    </row>
    <row r="52" spans="1:16" x14ac:dyDescent="0.25">
      <c r="A52" s="494" t="s">
        <v>998</v>
      </c>
      <c r="B52" s="443"/>
      <c r="C52" s="495"/>
      <c r="D52" s="495"/>
      <c r="E52" s="495"/>
      <c r="F52" s="495"/>
      <c r="G52" s="496"/>
      <c r="H52" s="496"/>
      <c r="I52" s="496"/>
      <c r="J52" s="496"/>
      <c r="K52" s="496"/>
      <c r="L52" s="496"/>
      <c r="M52" s="496"/>
      <c r="N52" s="85">
        <f>SUBTOTAL(9,N53:N55)</f>
        <v>0</v>
      </c>
      <c r="O52" s="85">
        <f>SUBTOTAL(9,O53:O55)</f>
        <v>0</v>
      </c>
    </row>
    <row r="53" spans="1:16" x14ac:dyDescent="0.25">
      <c r="A53" s="26">
        <v>1</v>
      </c>
      <c r="B53" s="27" t="str">
        <f>B46</f>
        <v>Comissionamento</v>
      </c>
      <c r="C53" s="90"/>
      <c r="E53" s="89"/>
      <c r="F53" s="89"/>
      <c r="G53" s="67"/>
      <c r="H53" s="67"/>
      <c r="I53" s="67"/>
      <c r="J53" s="67"/>
      <c r="K53" s="67"/>
      <c r="L53" s="67"/>
      <c r="M53" s="67"/>
      <c r="N53" s="30">
        <f t="shared" ref="N53:N55" si="25">SUMPRODUCT($E53:$M53,$E$10:$M$10)*$C53*8.8</f>
        <v>0</v>
      </c>
      <c r="O53" s="30">
        <f t="shared" ref="O53:O55" si="26">SUMPRODUCT(E53:M53,$E$9:$M$9)*$C53*8.8</f>
        <v>0</v>
      </c>
    </row>
    <row r="54" spans="1:16" x14ac:dyDescent="0.25">
      <c r="A54" s="26">
        <v>2</v>
      </c>
      <c r="B54" s="27" t="str">
        <f>B47</f>
        <v>Start-up</v>
      </c>
      <c r="C54" s="90"/>
      <c r="E54" s="89"/>
      <c r="F54" s="89"/>
      <c r="G54" s="67"/>
      <c r="H54" s="67"/>
      <c r="I54" s="67"/>
      <c r="J54" s="67"/>
      <c r="K54" s="67"/>
      <c r="L54" s="67"/>
      <c r="M54" s="67"/>
      <c r="N54" s="30">
        <f t="shared" si="25"/>
        <v>0</v>
      </c>
      <c r="O54" s="30">
        <f t="shared" si="26"/>
        <v>0</v>
      </c>
    </row>
    <row r="55" spans="1:16" x14ac:dyDescent="0.25">
      <c r="A55" s="26">
        <v>3</v>
      </c>
      <c r="B55" s="27" t="str">
        <f>B48</f>
        <v>Operação Assistida</v>
      </c>
      <c r="C55" s="90"/>
      <c r="E55" s="89"/>
      <c r="F55" s="89"/>
      <c r="G55" s="67"/>
      <c r="H55" s="67"/>
      <c r="I55" s="67"/>
      <c r="J55" s="67"/>
      <c r="K55" s="67"/>
      <c r="L55" s="67"/>
      <c r="M55" s="67"/>
      <c r="N55" s="30">
        <f t="shared" si="25"/>
        <v>0</v>
      </c>
      <c r="O55" s="30">
        <f t="shared" si="26"/>
        <v>0</v>
      </c>
    </row>
    <row r="56" spans="1:16" x14ac:dyDescent="0.25">
      <c r="C56" s="68"/>
    </row>
    <row r="57" spans="1:16" x14ac:dyDescent="0.25">
      <c r="A57" s="26" t="str">
        <f>'Matriz Escopo'!A106</f>
        <v>TREINAMENTOS</v>
      </c>
      <c r="C57" s="68"/>
      <c r="D57" s="87">
        <f>SUBTOTAL(9,D58:D59)</f>
        <v>0</v>
      </c>
      <c r="N57" s="85">
        <f>SUBTOTAL(9,N58:N59)</f>
        <v>0</v>
      </c>
      <c r="O57" s="85">
        <f>SUBTOTAL(9,O58:O59)</f>
        <v>0</v>
      </c>
    </row>
    <row r="58" spans="1:16" x14ac:dyDescent="0.25">
      <c r="A58" s="26">
        <f>'Matriz Escopo'!A109</f>
        <v>1</v>
      </c>
      <c r="B58" s="27" t="str">
        <f>'Matriz Escopo'!B109</f>
        <v>Treinamentos</v>
      </c>
      <c r="C58" s="90">
        <f>'Matriz Escopo'!H109</f>
        <v>0</v>
      </c>
      <c r="D58" s="68">
        <f t="shared" ref="D58:D59" si="27">C58*SUM(E58:M58)*8</f>
        <v>0</v>
      </c>
      <c r="E58" s="89"/>
      <c r="F58" s="89">
        <f>'Matriz Escopo'!I109</f>
        <v>0</v>
      </c>
      <c r="G58" s="67"/>
      <c r="H58" s="67"/>
      <c r="I58" s="67"/>
      <c r="J58" s="67"/>
      <c r="K58" s="67"/>
      <c r="L58" s="67"/>
      <c r="M58" s="67"/>
      <c r="N58" s="30">
        <f t="shared" ref="N58:N59" si="28">SUMPRODUCT($E58:$M58,$E$10:$M$10)*$C58*8</f>
        <v>0</v>
      </c>
      <c r="O58" s="30">
        <f t="shared" ref="O58:O59" si="29">SUMPRODUCT(E58:M58,$E$9:$M$9)*$C58*8</f>
        <v>0</v>
      </c>
    </row>
    <row r="59" spans="1:16" x14ac:dyDescent="0.25">
      <c r="A59" s="26">
        <f>'Matriz Escopo'!A110</f>
        <v>2</v>
      </c>
      <c r="B59" s="27" t="str">
        <f>'Matriz Escopo'!B110</f>
        <v>Manuais</v>
      </c>
      <c r="C59" s="90">
        <f>'Matriz Escopo'!H110</f>
        <v>0</v>
      </c>
      <c r="D59" s="68">
        <f t="shared" si="27"/>
        <v>0</v>
      </c>
      <c r="E59" s="89"/>
      <c r="F59" s="89">
        <f>'Matriz Escopo'!I110</f>
        <v>0</v>
      </c>
      <c r="G59" s="67"/>
      <c r="H59" s="67"/>
      <c r="I59" s="67"/>
      <c r="J59" s="67"/>
      <c r="K59" s="67"/>
      <c r="L59" s="67"/>
      <c r="M59" s="67"/>
      <c r="N59" s="30">
        <f t="shared" si="28"/>
        <v>0</v>
      </c>
      <c r="O59" s="30">
        <f t="shared" si="29"/>
        <v>0</v>
      </c>
    </row>
    <row r="60" spans="1:16" x14ac:dyDescent="0.25">
      <c r="C60" s="68"/>
    </row>
    <row r="61" spans="1:16" x14ac:dyDescent="0.25">
      <c r="A61" s="26" t="str">
        <f>'Matriz Escopo'!A113</f>
        <v>OUTRAS ATIVIDADES</v>
      </c>
      <c r="B61" s="38"/>
      <c r="C61" s="68"/>
      <c r="D61" s="88">
        <f>SUBTOTAL(9,D62:D73)</f>
        <v>0</v>
      </c>
      <c r="N61" s="85">
        <f>SUBTOTAL(9,N62:N73)</f>
        <v>0</v>
      </c>
      <c r="O61" s="85">
        <f>SUBTOTAL(9,O62:O73)</f>
        <v>0</v>
      </c>
    </row>
    <row r="62" spans="1:16" x14ac:dyDescent="0.25">
      <c r="A62" s="26">
        <f>'Matriz Escopo'!A116</f>
        <v>1</v>
      </c>
      <c r="B62" s="38" t="str">
        <f>'Matriz Escopo'!B116</f>
        <v>Supervisão de Montagem</v>
      </c>
      <c r="C62" s="90">
        <f>'Matriz Escopo'!H116</f>
        <v>0</v>
      </c>
      <c r="D62" s="68">
        <f>C62*SUM(E62:M62)*8.8</f>
        <v>0</v>
      </c>
      <c r="E62" s="89"/>
      <c r="F62" s="89">
        <f>'Matriz Escopo'!I116</f>
        <v>0</v>
      </c>
      <c r="G62" s="67"/>
      <c r="H62" s="67"/>
      <c r="I62" s="67"/>
      <c r="J62" s="67"/>
      <c r="K62" s="67"/>
      <c r="L62" s="67"/>
      <c r="M62" s="67"/>
      <c r="N62" s="30">
        <f>SUMPRODUCT($E62:$M62,$E$10:$M$10)*$C62*8.8</f>
        <v>0</v>
      </c>
      <c r="O62" s="30">
        <f>SUMPRODUCT(E62:M62,$E$9:$M$9)*$C62*8.8</f>
        <v>0</v>
      </c>
    </row>
    <row r="63" spans="1:16" x14ac:dyDescent="0.25">
      <c r="A63" s="26">
        <f>'Matriz Escopo'!A117</f>
        <v>2</v>
      </c>
      <c r="B63" s="38" t="str">
        <f>'Matriz Escopo'!B117</f>
        <v>Montagem elétrica</v>
      </c>
      <c r="C63" s="90">
        <f>'Matriz Escopo'!H117</f>
        <v>0</v>
      </c>
      <c r="D63" s="68">
        <f t="shared" ref="D63:D73" si="30">C63*SUM(E63:M63)*8.8</f>
        <v>0</v>
      </c>
      <c r="E63" s="89"/>
      <c r="F63" s="89">
        <f>'Matriz Escopo'!I117</f>
        <v>0</v>
      </c>
      <c r="G63" s="67"/>
      <c r="H63" s="67"/>
      <c r="I63" s="67"/>
      <c r="J63" s="67"/>
      <c r="K63" s="67"/>
      <c r="L63" s="67"/>
      <c r="M63" s="67"/>
      <c r="N63" s="30">
        <f t="shared" ref="N63:N73" si="31">SUMPRODUCT($E63:$M63,$E$10:$M$10)*$C63*8.8</f>
        <v>0</v>
      </c>
      <c r="O63" s="30">
        <f t="shared" ref="O63:O73" si="32">SUMPRODUCT(E63:M63,$E$9:$M$9)*$C63*8.8</f>
        <v>0</v>
      </c>
    </row>
    <row r="64" spans="1:16" x14ac:dyDescent="0.25">
      <c r="A64" s="26">
        <f>'Matriz Escopo'!A118</f>
        <v>3</v>
      </c>
      <c r="B64" s="38" t="str">
        <f>'Matriz Escopo'!B118</f>
        <v>Certificação de Redes</v>
      </c>
      <c r="C64" s="90">
        <f>'Matriz Escopo'!H118</f>
        <v>0</v>
      </c>
      <c r="D64" s="68">
        <f t="shared" si="30"/>
        <v>0</v>
      </c>
      <c r="E64" s="89"/>
      <c r="F64" s="89">
        <f>'Matriz Escopo'!I118</f>
        <v>0</v>
      </c>
      <c r="G64" s="67"/>
      <c r="H64" s="67"/>
      <c r="I64" s="67"/>
      <c r="J64" s="67"/>
      <c r="K64" s="67"/>
      <c r="L64" s="67"/>
      <c r="M64" s="67"/>
      <c r="N64" s="30">
        <f t="shared" si="31"/>
        <v>0</v>
      </c>
      <c r="O64" s="30">
        <f t="shared" si="32"/>
        <v>0</v>
      </c>
    </row>
    <row r="65" spans="1:15" x14ac:dyDescent="0.25">
      <c r="A65" s="26">
        <f>'Matriz Escopo'!A119</f>
        <v>4</v>
      </c>
      <c r="B65" s="38" t="str">
        <f>'Matriz Escopo'!B119</f>
        <v>Calibração de instrumentos</v>
      </c>
      <c r="C65" s="90">
        <f>'Matriz Escopo'!H119</f>
        <v>0</v>
      </c>
      <c r="D65" s="68">
        <f t="shared" si="30"/>
        <v>0</v>
      </c>
      <c r="E65" s="89"/>
      <c r="F65" s="89">
        <f>'Matriz Escopo'!I119</f>
        <v>0</v>
      </c>
      <c r="G65" s="67"/>
      <c r="H65" s="67"/>
      <c r="I65" s="67"/>
      <c r="J65" s="67"/>
      <c r="K65" s="67"/>
      <c r="L65" s="67"/>
      <c r="M65" s="67"/>
      <c r="N65" s="30">
        <f t="shared" si="31"/>
        <v>0</v>
      </c>
      <c r="O65" s="30">
        <f t="shared" si="32"/>
        <v>0</v>
      </c>
    </row>
    <row r="66" spans="1:15" x14ac:dyDescent="0.25">
      <c r="A66" s="26">
        <f>'Matriz Escopo'!A120</f>
        <v>5</v>
      </c>
      <c r="B66" s="38" t="str">
        <f>'Matriz Escopo'!B120</f>
        <v>Estudos elétricos</v>
      </c>
      <c r="C66" s="90">
        <f>'Matriz Escopo'!H120</f>
        <v>0</v>
      </c>
      <c r="D66" s="68">
        <f t="shared" si="30"/>
        <v>0</v>
      </c>
      <c r="E66" s="89"/>
      <c r="F66" s="89">
        <f>'Matriz Escopo'!I120</f>
        <v>0</v>
      </c>
      <c r="G66" s="67"/>
      <c r="H66" s="67"/>
      <c r="I66" s="67"/>
      <c r="J66" s="67"/>
      <c r="K66" s="67"/>
      <c r="L66" s="67"/>
      <c r="M66" s="67"/>
      <c r="N66" s="30">
        <f t="shared" si="31"/>
        <v>0</v>
      </c>
      <c r="O66" s="30">
        <f t="shared" si="32"/>
        <v>0</v>
      </c>
    </row>
    <row r="67" spans="1:15" x14ac:dyDescent="0.25">
      <c r="A67" s="26">
        <f>'Matriz Escopo'!A121</f>
        <v>6</v>
      </c>
      <c r="B67" s="38" t="str">
        <f>'Matriz Escopo'!B121</f>
        <v>Atividade 4</v>
      </c>
      <c r="C67" s="90">
        <f>'Matriz Escopo'!H121</f>
        <v>0</v>
      </c>
      <c r="D67" s="68">
        <f t="shared" si="30"/>
        <v>0</v>
      </c>
      <c r="E67" s="89"/>
      <c r="F67" s="89">
        <f>'Matriz Escopo'!I121</f>
        <v>0</v>
      </c>
      <c r="G67" s="67"/>
      <c r="H67" s="67"/>
      <c r="I67" s="67"/>
      <c r="J67" s="67"/>
      <c r="K67" s="67"/>
      <c r="L67" s="67"/>
      <c r="M67" s="67"/>
      <c r="N67" s="30">
        <f t="shared" si="31"/>
        <v>0</v>
      </c>
      <c r="O67" s="30">
        <f t="shared" si="32"/>
        <v>0</v>
      </c>
    </row>
    <row r="68" spans="1:15" x14ac:dyDescent="0.25">
      <c r="A68" s="26">
        <f>'Matriz Escopo'!A122</f>
        <v>7</v>
      </c>
      <c r="B68" s="38" t="str">
        <f>'Matriz Escopo'!B122</f>
        <v>Atividade 5</v>
      </c>
      <c r="C68" s="90">
        <f>'Matriz Escopo'!H122</f>
        <v>0</v>
      </c>
      <c r="D68" s="68">
        <f t="shared" si="30"/>
        <v>0</v>
      </c>
      <c r="E68" s="89"/>
      <c r="F68" s="89">
        <f>'Matriz Escopo'!I122</f>
        <v>0</v>
      </c>
      <c r="G68" s="67"/>
      <c r="H68" s="67"/>
      <c r="I68" s="67"/>
      <c r="J68" s="67"/>
      <c r="K68" s="67"/>
      <c r="L68" s="67"/>
      <c r="M68" s="67"/>
      <c r="N68" s="30">
        <f t="shared" si="31"/>
        <v>0</v>
      </c>
      <c r="O68" s="30">
        <f t="shared" si="32"/>
        <v>0</v>
      </c>
    </row>
    <row r="69" spans="1:15" x14ac:dyDescent="0.25">
      <c r="A69" s="26">
        <f>'Matriz Escopo'!A123</f>
        <v>8</v>
      </c>
      <c r="B69" s="38" t="str">
        <f>'Matriz Escopo'!B123</f>
        <v>Atividade 6</v>
      </c>
      <c r="C69" s="90">
        <f>'Matriz Escopo'!H123</f>
        <v>0</v>
      </c>
      <c r="D69" s="68">
        <f t="shared" si="30"/>
        <v>0</v>
      </c>
      <c r="E69" s="89"/>
      <c r="F69" s="89">
        <f>'Matriz Escopo'!I123</f>
        <v>0</v>
      </c>
      <c r="G69" s="67"/>
      <c r="H69" s="67"/>
      <c r="I69" s="67"/>
      <c r="J69" s="67"/>
      <c r="K69" s="67"/>
      <c r="L69" s="67"/>
      <c r="M69" s="67"/>
      <c r="N69" s="30">
        <f t="shared" si="31"/>
        <v>0</v>
      </c>
      <c r="O69" s="30">
        <f t="shared" si="32"/>
        <v>0</v>
      </c>
    </row>
    <row r="70" spans="1:15" x14ac:dyDescent="0.25">
      <c r="A70" s="26">
        <f>'Matriz Escopo'!A124</f>
        <v>9</v>
      </c>
      <c r="B70" s="38" t="str">
        <f>'Matriz Escopo'!B124</f>
        <v>Atividade 7</v>
      </c>
      <c r="C70" s="90">
        <f>'Matriz Escopo'!H124</f>
        <v>0</v>
      </c>
      <c r="D70" s="68">
        <f t="shared" si="30"/>
        <v>0</v>
      </c>
      <c r="E70" s="89"/>
      <c r="F70" s="89">
        <f>'Matriz Escopo'!I124</f>
        <v>0</v>
      </c>
      <c r="G70" s="67"/>
      <c r="H70" s="67"/>
      <c r="I70" s="67"/>
      <c r="J70" s="67"/>
      <c r="K70" s="67"/>
      <c r="L70" s="67"/>
      <c r="M70" s="67"/>
      <c r="N70" s="30">
        <f t="shared" si="31"/>
        <v>0</v>
      </c>
      <c r="O70" s="30">
        <f t="shared" si="32"/>
        <v>0</v>
      </c>
    </row>
    <row r="71" spans="1:15" x14ac:dyDescent="0.25">
      <c r="A71" s="26">
        <f>'Matriz Escopo'!A125</f>
        <v>10</v>
      </c>
      <c r="B71" s="38" t="str">
        <f>'Matriz Escopo'!B125</f>
        <v>Atividade 8</v>
      </c>
      <c r="C71" s="90">
        <f>'Matriz Escopo'!H125</f>
        <v>0</v>
      </c>
      <c r="D71" s="68">
        <f t="shared" si="30"/>
        <v>0</v>
      </c>
      <c r="E71" s="89"/>
      <c r="F71" s="89">
        <f>'Matriz Escopo'!I125</f>
        <v>0</v>
      </c>
      <c r="G71" s="67"/>
      <c r="H71" s="67"/>
      <c r="I71" s="67"/>
      <c r="J71" s="67"/>
      <c r="K71" s="67"/>
      <c r="L71" s="67"/>
      <c r="M71" s="67"/>
      <c r="N71" s="30">
        <f t="shared" si="31"/>
        <v>0</v>
      </c>
      <c r="O71" s="30">
        <f t="shared" si="32"/>
        <v>0</v>
      </c>
    </row>
    <row r="72" spans="1:15" x14ac:dyDescent="0.25">
      <c r="A72" s="26">
        <f>'Matriz Escopo'!A126</f>
        <v>11</v>
      </c>
      <c r="B72" s="38" t="str">
        <f>'Matriz Escopo'!B126</f>
        <v>Atividade 9</v>
      </c>
      <c r="C72" s="90">
        <f>'Matriz Escopo'!H126</f>
        <v>0</v>
      </c>
      <c r="D72" s="68">
        <f t="shared" si="30"/>
        <v>0</v>
      </c>
      <c r="E72" s="89"/>
      <c r="F72" s="89">
        <f>'Matriz Escopo'!I126</f>
        <v>0</v>
      </c>
      <c r="G72" s="67"/>
      <c r="H72" s="67"/>
      <c r="I72" s="67"/>
      <c r="J72" s="67"/>
      <c r="K72" s="67"/>
      <c r="L72" s="67"/>
      <c r="M72" s="67"/>
      <c r="N72" s="30">
        <f t="shared" si="31"/>
        <v>0</v>
      </c>
      <c r="O72" s="30">
        <f t="shared" si="32"/>
        <v>0</v>
      </c>
    </row>
    <row r="73" spans="1:15" x14ac:dyDescent="0.25">
      <c r="A73" s="26">
        <f>'Matriz Escopo'!A127</f>
        <v>12</v>
      </c>
      <c r="B73" s="38" t="str">
        <f>'Matriz Escopo'!B127</f>
        <v>Atividade 10</v>
      </c>
      <c r="C73" s="90">
        <f>'Matriz Escopo'!H127</f>
        <v>0</v>
      </c>
      <c r="D73" s="68">
        <f t="shared" si="30"/>
        <v>0</v>
      </c>
      <c r="E73" s="89"/>
      <c r="F73" s="89">
        <f>'Matriz Escopo'!I127</f>
        <v>0</v>
      </c>
      <c r="G73" s="67"/>
      <c r="H73" s="67"/>
      <c r="I73" s="67"/>
      <c r="J73" s="67"/>
      <c r="K73" s="67"/>
      <c r="L73" s="67"/>
      <c r="M73" s="67"/>
      <c r="N73" s="30">
        <f t="shared" si="31"/>
        <v>0</v>
      </c>
      <c r="O73" s="30">
        <f t="shared" si="32"/>
        <v>0</v>
      </c>
    </row>
    <row r="74" spans="1:15" x14ac:dyDescent="0.25">
      <c r="B74" s="38"/>
      <c r="C74" s="68"/>
    </row>
    <row r="75" spans="1:15" x14ac:dyDescent="0.25">
      <c r="A75" s="476" t="str">
        <f>'Matriz Escopo'!A129</f>
        <v>FORNECIMENTOS</v>
      </c>
      <c r="B75" s="477"/>
      <c r="C75" s="84"/>
      <c r="D75" s="88">
        <f>SUBTOTAL(9,D76:D85)</f>
        <v>0</v>
      </c>
      <c r="E75" s="84"/>
      <c r="F75" s="84"/>
      <c r="G75" s="37"/>
      <c r="H75" s="37"/>
      <c r="I75" s="37"/>
      <c r="J75" s="37"/>
      <c r="K75" s="37"/>
      <c r="L75" s="37"/>
      <c r="M75" s="37"/>
      <c r="N75" s="85">
        <f>SUBTOTAL(9,N76:N85)</f>
        <v>0</v>
      </c>
      <c r="O75" s="85">
        <f>SUBTOTAL(9,O76:O85)</f>
        <v>0</v>
      </c>
    </row>
    <row r="76" spans="1:15" x14ac:dyDescent="0.25">
      <c r="A76" s="476">
        <f>'Matriz Escopo'!A132</f>
        <v>1</v>
      </c>
      <c r="B76" s="478">
        <f>'Matriz Escopo'!B132</f>
        <v>0</v>
      </c>
      <c r="C76" s="479"/>
      <c r="D76" s="68">
        <f t="shared" ref="D76" si="33">C76*SUM(E76:M76)*8</f>
        <v>0</v>
      </c>
      <c r="E76" s="89"/>
      <c r="F76" s="89"/>
      <c r="G76" s="67"/>
      <c r="H76" s="67"/>
      <c r="I76" s="67"/>
      <c r="J76" s="67"/>
      <c r="K76" s="67"/>
      <c r="L76" s="67"/>
      <c r="M76" s="67"/>
      <c r="N76" s="30">
        <f t="shared" ref="N76:N85" si="34">SUMPRODUCT($E76:$M76,$E$10:$M$10)*$C76*8</f>
        <v>0</v>
      </c>
      <c r="O76" s="30">
        <f t="shared" ref="O76:O85" si="35">SUMPRODUCT(E76:M76,$E$9:$M$9)*$C76*8</f>
        <v>0</v>
      </c>
    </row>
    <row r="77" spans="1:15" x14ac:dyDescent="0.25">
      <c r="A77" s="476">
        <f>'Matriz Escopo'!A133</f>
        <v>2</v>
      </c>
      <c r="B77" s="478">
        <f>'Matriz Escopo'!B133</f>
        <v>0</v>
      </c>
      <c r="C77" s="479"/>
      <c r="D77" s="68">
        <f t="shared" ref="D77:D85" si="36">C77*SUM(E77:M77)*8</f>
        <v>0</v>
      </c>
      <c r="E77" s="89"/>
      <c r="F77" s="89"/>
      <c r="G77" s="67"/>
      <c r="H77" s="67"/>
      <c r="I77" s="67"/>
      <c r="J77" s="67"/>
      <c r="K77" s="67"/>
      <c r="L77" s="67"/>
      <c r="M77" s="67"/>
      <c r="N77" s="30">
        <f t="shared" si="34"/>
        <v>0</v>
      </c>
      <c r="O77" s="30">
        <f t="shared" si="35"/>
        <v>0</v>
      </c>
    </row>
    <row r="78" spans="1:15" x14ac:dyDescent="0.25">
      <c r="A78" s="476">
        <f>'Matriz Escopo'!A134</f>
        <v>3</v>
      </c>
      <c r="B78" s="478">
        <f>'Matriz Escopo'!B134</f>
        <v>0</v>
      </c>
      <c r="C78" s="479"/>
      <c r="D78" s="68">
        <f t="shared" si="36"/>
        <v>0</v>
      </c>
      <c r="E78" s="89"/>
      <c r="F78" s="89"/>
      <c r="G78" s="67"/>
      <c r="H78" s="67"/>
      <c r="I78" s="67"/>
      <c r="J78" s="67"/>
      <c r="K78" s="67"/>
      <c r="L78" s="67"/>
      <c r="M78" s="67"/>
    </row>
    <row r="79" spans="1:15" x14ac:dyDescent="0.25">
      <c r="A79" s="476">
        <f>'Matriz Escopo'!A135</f>
        <v>4</v>
      </c>
      <c r="B79" s="478">
        <f>'Matriz Escopo'!B135</f>
        <v>0</v>
      </c>
      <c r="C79" s="479"/>
      <c r="D79" s="68">
        <f t="shared" si="36"/>
        <v>0</v>
      </c>
      <c r="E79" s="89"/>
      <c r="F79" s="89"/>
      <c r="G79" s="67"/>
      <c r="H79" s="67"/>
      <c r="I79" s="67"/>
      <c r="J79" s="67"/>
      <c r="K79" s="67"/>
      <c r="L79" s="67"/>
      <c r="M79" s="67"/>
    </row>
    <row r="80" spans="1:15" x14ac:dyDescent="0.25">
      <c r="A80" s="476">
        <f>'Matriz Escopo'!A136</f>
        <v>5</v>
      </c>
      <c r="B80" s="478">
        <f>'Matriz Escopo'!B136</f>
        <v>0</v>
      </c>
      <c r="C80" s="479"/>
      <c r="D80" s="68">
        <f t="shared" si="36"/>
        <v>0</v>
      </c>
      <c r="E80" s="89"/>
      <c r="F80" s="89"/>
      <c r="G80" s="67"/>
      <c r="H80" s="67"/>
      <c r="I80" s="67"/>
      <c r="J80" s="67"/>
      <c r="K80" s="67"/>
      <c r="L80" s="67"/>
      <c r="M80" s="67"/>
    </row>
    <row r="81" spans="1:15" x14ac:dyDescent="0.25">
      <c r="A81" s="476">
        <f>'Matriz Escopo'!A137</f>
        <v>6</v>
      </c>
      <c r="B81" s="478">
        <f>'Matriz Escopo'!B137</f>
        <v>0</v>
      </c>
      <c r="C81" s="479"/>
      <c r="D81" s="68">
        <f t="shared" si="36"/>
        <v>0</v>
      </c>
      <c r="E81" s="89"/>
      <c r="F81" s="89"/>
      <c r="G81" s="67"/>
      <c r="H81" s="67"/>
      <c r="I81" s="67"/>
      <c r="J81" s="67"/>
      <c r="K81" s="67"/>
      <c r="L81" s="67"/>
      <c r="M81" s="67"/>
    </row>
    <row r="82" spans="1:15" x14ac:dyDescent="0.25">
      <c r="A82" s="476">
        <f>'Matriz Escopo'!A138</f>
        <v>7</v>
      </c>
      <c r="B82" s="478">
        <f>'Matriz Escopo'!B138</f>
        <v>0</v>
      </c>
      <c r="C82" s="479"/>
      <c r="D82" s="68">
        <f t="shared" si="36"/>
        <v>0</v>
      </c>
      <c r="E82" s="89"/>
      <c r="F82" s="89"/>
      <c r="G82" s="67"/>
      <c r="H82" s="67"/>
      <c r="I82" s="67"/>
      <c r="J82" s="67"/>
      <c r="K82" s="67"/>
      <c r="L82" s="67"/>
      <c r="M82" s="67"/>
    </row>
    <row r="83" spans="1:15" x14ac:dyDescent="0.25">
      <c r="A83" s="476">
        <f>'Matriz Escopo'!A139</f>
        <v>8</v>
      </c>
      <c r="B83" s="478">
        <f>'Matriz Escopo'!B139</f>
        <v>0</v>
      </c>
      <c r="C83" s="479"/>
      <c r="D83" s="68">
        <f t="shared" si="36"/>
        <v>0</v>
      </c>
      <c r="E83" s="89"/>
      <c r="F83" s="89"/>
      <c r="G83" s="67"/>
      <c r="H83" s="67"/>
      <c r="I83" s="67"/>
      <c r="J83" s="67"/>
      <c r="K83" s="67"/>
      <c r="L83" s="67"/>
      <c r="M83" s="67"/>
      <c r="N83" s="30">
        <f t="shared" si="34"/>
        <v>0</v>
      </c>
      <c r="O83" s="30">
        <f t="shared" si="35"/>
        <v>0</v>
      </c>
    </row>
    <row r="84" spans="1:15" x14ac:dyDescent="0.25">
      <c r="A84" s="476">
        <f>'Matriz Escopo'!A140</f>
        <v>9</v>
      </c>
      <c r="B84" s="478">
        <f>'Matriz Escopo'!B140</f>
        <v>0</v>
      </c>
      <c r="C84" s="479"/>
      <c r="D84" s="68">
        <f t="shared" si="36"/>
        <v>0</v>
      </c>
      <c r="E84" s="89"/>
      <c r="F84" s="89"/>
      <c r="G84" s="67"/>
      <c r="H84" s="67"/>
      <c r="I84" s="67"/>
      <c r="J84" s="67"/>
      <c r="K84" s="67"/>
      <c r="L84" s="67"/>
      <c r="M84" s="67"/>
      <c r="N84" s="30">
        <f t="shared" si="34"/>
        <v>0</v>
      </c>
      <c r="O84" s="30">
        <f t="shared" si="35"/>
        <v>0</v>
      </c>
    </row>
    <row r="85" spans="1:15" x14ac:dyDescent="0.25">
      <c r="A85" s="476">
        <f>'Matriz Escopo'!A141</f>
        <v>10</v>
      </c>
      <c r="B85" s="478">
        <f>'Matriz Escopo'!B141</f>
        <v>0</v>
      </c>
      <c r="C85" s="479"/>
      <c r="D85" s="68">
        <f t="shared" si="36"/>
        <v>0</v>
      </c>
      <c r="E85" s="89"/>
      <c r="F85" s="89"/>
      <c r="G85" s="67"/>
      <c r="H85" s="67"/>
      <c r="I85" s="67"/>
      <c r="J85" s="67"/>
      <c r="K85" s="67"/>
      <c r="L85" s="67"/>
      <c r="M85" s="67"/>
      <c r="N85" s="30">
        <f t="shared" si="34"/>
        <v>0</v>
      </c>
      <c r="O85" s="30">
        <f t="shared" si="35"/>
        <v>0</v>
      </c>
    </row>
    <row r="86" spans="1:15" x14ac:dyDescent="0.25">
      <c r="B86" s="38"/>
      <c r="C86" s="68"/>
    </row>
    <row r="87" spans="1:15" ht="13.8" thickBot="1" x14ac:dyDescent="0.3">
      <c r="A87" s="26" t="str">
        <f>'Matriz Escopo'!A143</f>
        <v>ENCERRAMENTO DE PROJETO</v>
      </c>
      <c r="B87" s="38"/>
      <c r="C87" s="68"/>
      <c r="D87" s="87">
        <f>SUBTOTAL(9,D88)</f>
        <v>0</v>
      </c>
      <c r="N87" s="85">
        <f>SUBTOTAL(9,N88)</f>
        <v>0</v>
      </c>
      <c r="O87" s="85">
        <f>SUBTOTAL(9,O88)</f>
        <v>0</v>
      </c>
    </row>
    <row r="88" spans="1:15" x14ac:dyDescent="0.25">
      <c r="A88" s="26">
        <v>1</v>
      </c>
      <c r="B88" s="38" t="str">
        <f>'Matriz Escopo'!B146</f>
        <v>Desmobilização</v>
      </c>
      <c r="C88" s="90">
        <f>'Matriz Escopo'!H146</f>
        <v>0</v>
      </c>
      <c r="D88" s="68">
        <f t="shared" ref="D88" si="37">C88*SUM(E88:M88)*8</f>
        <v>0</v>
      </c>
      <c r="E88" s="89">
        <f>'Matriz Escopo'!I146</f>
        <v>0</v>
      </c>
      <c r="F88" s="89"/>
      <c r="G88" s="67"/>
      <c r="H88" s="67"/>
      <c r="I88" s="67"/>
      <c r="J88" s="67"/>
      <c r="K88" s="67"/>
      <c r="L88" s="67"/>
      <c r="M88" s="67"/>
      <c r="N88" s="30">
        <f>SUMPRODUCT($E88:$M88,$E$10:$M$10)*$C88*8</f>
        <v>0</v>
      </c>
      <c r="O88" s="30">
        <f>SUMPRODUCT(E88:M88,$E$9:$M$9)*$C88*8</f>
        <v>0</v>
      </c>
    </row>
    <row r="89" spans="1:15" ht="13.8" thickBot="1" x14ac:dyDescent="0.3">
      <c r="A89" s="31"/>
      <c r="B89" s="32"/>
      <c r="C89" s="82"/>
      <c r="D89" s="82"/>
      <c r="E89" s="82"/>
      <c r="F89" s="82"/>
      <c r="G89" s="82"/>
      <c r="H89" s="82"/>
      <c r="I89" s="82"/>
      <c r="J89" s="82"/>
      <c r="K89" s="82"/>
      <c r="L89" s="82"/>
      <c r="M89" s="82"/>
      <c r="N89" s="34"/>
      <c r="O89" s="34"/>
    </row>
    <row r="90" spans="1:15" s="35" customFormat="1" ht="13.8" thickBot="1" x14ac:dyDescent="0.3">
      <c r="A90" s="26"/>
      <c r="B90" s="27"/>
      <c r="C90" s="69" t="s">
        <v>91</v>
      </c>
      <c r="D90" s="69" t="s">
        <v>152</v>
      </c>
      <c r="E90" s="69" t="s">
        <v>127</v>
      </c>
      <c r="F90" s="69" t="s">
        <v>120</v>
      </c>
      <c r="G90" s="69" t="s">
        <v>102</v>
      </c>
      <c r="H90" s="29" t="s">
        <v>121</v>
      </c>
      <c r="I90" s="35" t="s">
        <v>122</v>
      </c>
      <c r="J90" s="29" t="s">
        <v>123</v>
      </c>
      <c r="K90" s="29" t="s">
        <v>124</v>
      </c>
      <c r="L90" s="29" t="s">
        <v>106</v>
      </c>
      <c r="M90" s="29" t="s">
        <v>125</v>
      </c>
      <c r="N90" s="36" t="s">
        <v>108</v>
      </c>
      <c r="O90" s="36" t="s">
        <v>109</v>
      </c>
    </row>
    <row r="91" spans="1:15" ht="15" customHeight="1" x14ac:dyDescent="0.25">
      <c r="B91" s="92" t="s">
        <v>39</v>
      </c>
      <c r="C91" s="68"/>
      <c r="F91" s="68">
        <f>'Comece aqui! ; )'!$C$39</f>
        <v>1200</v>
      </c>
      <c r="G91" s="68">
        <f>'Comece aqui! ; )'!$C$40</f>
        <v>240</v>
      </c>
      <c r="H91" s="68">
        <f>'Comece aqui! ; )'!$C$41</f>
        <v>130</v>
      </c>
      <c r="I91" s="68">
        <v>3000</v>
      </c>
      <c r="J91" s="68">
        <f>'Comece aqui! ; )'!$C$43</f>
        <v>40</v>
      </c>
      <c r="K91" s="68">
        <f>'Comece aqui! ; )'!$C$44</f>
        <v>80</v>
      </c>
      <c r="L91" s="68">
        <f>'Comece aqui! ; )'!$C$45</f>
        <v>120</v>
      </c>
      <c r="M91" s="68">
        <f>'Comece aqui! ; )'!$C$46</f>
        <v>7</v>
      </c>
      <c r="N91" s="48"/>
      <c r="O91" s="49"/>
    </row>
    <row r="92" spans="1:15" ht="13.2" customHeight="1" x14ac:dyDescent="0.25">
      <c r="B92" s="93" t="s">
        <v>40</v>
      </c>
      <c r="C92" s="69"/>
      <c r="D92" s="69"/>
      <c r="E92" s="69"/>
      <c r="F92" s="69">
        <f t="shared" ref="F92:M92" si="38">F91/(1-$C$11-$C$13)</f>
        <v>1791.0447761194032</v>
      </c>
      <c r="G92" s="69">
        <f t="shared" si="38"/>
        <v>358.20895522388065</v>
      </c>
      <c r="H92" s="69">
        <f t="shared" si="38"/>
        <v>194.02985074626866</v>
      </c>
      <c r="I92" s="69">
        <f t="shared" si="38"/>
        <v>4477.6119402985078</v>
      </c>
      <c r="J92" s="69">
        <f t="shared" si="38"/>
        <v>59.701492537313442</v>
      </c>
      <c r="K92" s="69">
        <f t="shared" si="38"/>
        <v>119.40298507462688</v>
      </c>
      <c r="L92" s="69">
        <f t="shared" si="38"/>
        <v>179.10447761194033</v>
      </c>
      <c r="M92" s="69">
        <f t="shared" si="38"/>
        <v>10.447761194029852</v>
      </c>
      <c r="N92" s="52">
        <f>SUBTOTAL(9,N97:N111)</f>
        <v>0</v>
      </c>
      <c r="O92" s="53">
        <f>SUBTOTAL(9,O97:O111)</f>
        <v>0</v>
      </c>
    </row>
    <row r="93" spans="1:15" ht="13.8" thickBot="1" x14ac:dyDescent="0.3">
      <c r="C93" s="658" t="s">
        <v>156</v>
      </c>
      <c r="D93" s="658" t="s">
        <v>155</v>
      </c>
      <c r="E93" s="658" t="s">
        <v>157</v>
      </c>
      <c r="F93" s="658"/>
      <c r="G93" s="68"/>
      <c r="I93" s="658" t="s">
        <v>153</v>
      </c>
      <c r="J93" s="658" t="s">
        <v>158</v>
      </c>
      <c r="M93" s="658" t="s">
        <v>154</v>
      </c>
      <c r="N93" s="56"/>
      <c r="O93" s="57"/>
    </row>
    <row r="94" spans="1:15" s="30" customFormat="1" x14ac:dyDescent="0.25">
      <c r="A94" s="26"/>
      <c r="B94" s="27"/>
      <c r="C94" s="658"/>
      <c r="D94" s="658"/>
      <c r="E94" s="658"/>
      <c r="F94" s="658"/>
      <c r="G94" s="68"/>
      <c r="H94" s="28"/>
      <c r="I94" s="658"/>
      <c r="J94" s="658"/>
      <c r="K94" s="28"/>
      <c r="L94" s="28"/>
      <c r="M94" s="658"/>
      <c r="N94" s="28"/>
      <c r="O94" s="28"/>
    </row>
    <row r="95" spans="1:15" s="30" customFormat="1" x14ac:dyDescent="0.25">
      <c r="A95" s="26"/>
      <c r="B95" s="27"/>
      <c r="C95" s="658"/>
      <c r="D95" s="658"/>
      <c r="E95" s="658"/>
      <c r="F95" s="658"/>
      <c r="G95" s="68"/>
      <c r="H95" s="28"/>
      <c r="I95" s="658"/>
      <c r="J95" s="658"/>
      <c r="K95" s="28"/>
      <c r="L95" s="28"/>
      <c r="M95" s="658"/>
      <c r="N95" s="28"/>
      <c r="O95" s="28"/>
    </row>
    <row r="96" spans="1:15" s="30" customFormat="1" x14ac:dyDescent="0.25">
      <c r="A96" s="26" t="s">
        <v>1053</v>
      </c>
      <c r="B96" s="27"/>
      <c r="C96" s="659"/>
      <c r="D96" s="659"/>
      <c r="E96" s="659"/>
      <c r="F96" s="659"/>
      <c r="G96" s="68"/>
      <c r="H96" s="28"/>
      <c r="I96" s="659"/>
      <c r="J96" s="659"/>
      <c r="K96" s="28"/>
      <c r="L96" s="28"/>
      <c r="M96" s="659"/>
      <c r="N96" s="85">
        <f>SUBTOTAL(9,N97:N111)</f>
        <v>0</v>
      </c>
      <c r="O96" s="85">
        <f>SUBTOTAL(9,O97:O111)</f>
        <v>0</v>
      </c>
    </row>
    <row r="97" spans="1:15" s="30" customFormat="1" x14ac:dyDescent="0.25">
      <c r="A97" s="26">
        <v>1</v>
      </c>
      <c r="B97" s="66" t="s">
        <v>87</v>
      </c>
      <c r="C97" s="90"/>
      <c r="D97" s="90"/>
      <c r="E97" s="90"/>
      <c r="F97" s="91">
        <f>D97*E97*2</f>
        <v>0</v>
      </c>
      <c r="G97" s="91">
        <f>$C97*$D97</f>
        <v>0</v>
      </c>
      <c r="H97" s="91">
        <f>C97</f>
        <v>0</v>
      </c>
      <c r="I97" s="90"/>
      <c r="J97" s="91">
        <f>$C97*$D97</f>
        <v>0</v>
      </c>
      <c r="K97" s="91">
        <f>$C97*$D97</f>
        <v>0</v>
      </c>
      <c r="L97" s="91">
        <f>F97</f>
        <v>0</v>
      </c>
      <c r="M97" s="91">
        <f>C97*(80/10)</f>
        <v>0</v>
      </c>
      <c r="N97" s="30">
        <f t="shared" ref="N97:N111" si="39">SUMPRODUCT(F97:M97,$F$91:$M$91)</f>
        <v>0</v>
      </c>
      <c r="O97" s="30">
        <f>SUMPRODUCT(F97:M97,$F$92:$M$92)</f>
        <v>0</v>
      </c>
    </row>
    <row r="98" spans="1:15" s="30" customFormat="1" x14ac:dyDescent="0.25">
      <c r="A98" s="26">
        <v>2</v>
      </c>
      <c r="B98" s="66" t="s">
        <v>88</v>
      </c>
      <c r="C98" s="90"/>
      <c r="D98" s="90"/>
      <c r="E98" s="90"/>
      <c r="F98" s="91">
        <f t="shared" ref="F98:F111" si="40">D98*E98*2</f>
        <v>0</v>
      </c>
      <c r="G98" s="91">
        <f t="shared" ref="G98:G111" si="41">$C98*$D98</f>
        <v>0</v>
      </c>
      <c r="H98" s="91">
        <f t="shared" ref="H98:H111" si="42">C98</f>
        <v>0</v>
      </c>
      <c r="I98" s="90"/>
      <c r="J98" s="91">
        <f t="shared" ref="J98:K111" si="43">$C98*$D98</f>
        <v>0</v>
      </c>
      <c r="K98" s="91">
        <f t="shared" si="43"/>
        <v>0</v>
      </c>
      <c r="L98" s="91">
        <f t="shared" ref="L98:L111" si="44">F98</f>
        <v>0</v>
      </c>
      <c r="M98" s="91">
        <f t="shared" ref="M98:M111" si="45">C98*(80/10)</f>
        <v>0</v>
      </c>
      <c r="N98" s="30">
        <f t="shared" si="39"/>
        <v>0</v>
      </c>
      <c r="O98" s="30">
        <f>SUMPRODUCT(F98:M98,$F$92:$M$92)</f>
        <v>0</v>
      </c>
    </row>
    <row r="99" spans="1:15" s="30" customFormat="1" x14ac:dyDescent="0.25">
      <c r="A99" s="26">
        <v>3</v>
      </c>
      <c r="B99" s="66" t="s">
        <v>113</v>
      </c>
      <c r="C99" s="90"/>
      <c r="D99" s="90"/>
      <c r="E99" s="90"/>
      <c r="F99" s="91">
        <f t="shared" si="40"/>
        <v>0</v>
      </c>
      <c r="G99" s="91">
        <f t="shared" si="41"/>
        <v>0</v>
      </c>
      <c r="H99" s="91">
        <f t="shared" si="42"/>
        <v>0</v>
      </c>
      <c r="I99" s="90"/>
      <c r="J99" s="91">
        <f t="shared" si="43"/>
        <v>0</v>
      </c>
      <c r="K99" s="91">
        <f t="shared" si="43"/>
        <v>0</v>
      </c>
      <c r="L99" s="91">
        <f t="shared" si="44"/>
        <v>0</v>
      </c>
      <c r="M99" s="91">
        <f t="shared" si="45"/>
        <v>0</v>
      </c>
      <c r="N99" s="30">
        <f t="shared" si="39"/>
        <v>0</v>
      </c>
      <c r="O99" s="30">
        <f t="shared" ref="O99:O111" si="46">SUMPRODUCT(F99:M99,$F$92:$M$92)</f>
        <v>0</v>
      </c>
    </row>
    <row r="100" spans="1:15" x14ac:dyDescent="0.25">
      <c r="A100" s="26">
        <v>4</v>
      </c>
      <c r="B100" s="66" t="s">
        <v>114</v>
      </c>
      <c r="C100" s="90"/>
      <c r="D100" s="90"/>
      <c r="E100" s="90"/>
      <c r="F100" s="91">
        <f t="shared" si="40"/>
        <v>0</v>
      </c>
      <c r="G100" s="91">
        <f t="shared" si="41"/>
        <v>0</v>
      </c>
      <c r="H100" s="91">
        <f t="shared" si="42"/>
        <v>0</v>
      </c>
      <c r="I100" s="90"/>
      <c r="J100" s="91">
        <f t="shared" si="43"/>
        <v>0</v>
      </c>
      <c r="K100" s="91">
        <f t="shared" si="43"/>
        <v>0</v>
      </c>
      <c r="L100" s="91">
        <f t="shared" si="44"/>
        <v>0</v>
      </c>
      <c r="M100" s="91">
        <f t="shared" si="45"/>
        <v>0</v>
      </c>
      <c r="N100" s="30">
        <f t="shared" si="39"/>
        <v>0</v>
      </c>
      <c r="O100" s="30">
        <f t="shared" si="46"/>
        <v>0</v>
      </c>
    </row>
    <row r="101" spans="1:15" x14ac:dyDescent="0.25">
      <c r="A101" s="26">
        <v>5</v>
      </c>
      <c r="B101" s="66" t="s">
        <v>115</v>
      </c>
      <c r="C101" s="90"/>
      <c r="D101" s="90"/>
      <c r="E101" s="90"/>
      <c r="F101" s="91">
        <f t="shared" si="40"/>
        <v>0</v>
      </c>
      <c r="G101" s="91">
        <f t="shared" si="41"/>
        <v>0</v>
      </c>
      <c r="H101" s="91">
        <f t="shared" si="42"/>
        <v>0</v>
      </c>
      <c r="I101" s="90"/>
      <c r="J101" s="91">
        <f t="shared" si="43"/>
        <v>0</v>
      </c>
      <c r="K101" s="91">
        <f t="shared" si="43"/>
        <v>0</v>
      </c>
      <c r="L101" s="91">
        <f t="shared" si="44"/>
        <v>0</v>
      </c>
      <c r="M101" s="91">
        <f t="shared" si="45"/>
        <v>0</v>
      </c>
      <c r="N101" s="30">
        <f t="shared" si="39"/>
        <v>0</v>
      </c>
      <c r="O101" s="30">
        <f t="shared" si="46"/>
        <v>0</v>
      </c>
    </row>
    <row r="102" spans="1:15" x14ac:dyDescent="0.25">
      <c r="A102" s="26">
        <v>6</v>
      </c>
      <c r="B102" s="66" t="s">
        <v>116</v>
      </c>
      <c r="C102" s="90"/>
      <c r="D102" s="90"/>
      <c r="E102" s="90"/>
      <c r="F102" s="91">
        <f t="shared" si="40"/>
        <v>0</v>
      </c>
      <c r="G102" s="91">
        <f t="shared" si="41"/>
        <v>0</v>
      </c>
      <c r="H102" s="91">
        <f t="shared" si="42"/>
        <v>0</v>
      </c>
      <c r="I102" s="90"/>
      <c r="J102" s="91">
        <f t="shared" si="43"/>
        <v>0</v>
      </c>
      <c r="K102" s="91">
        <f t="shared" si="43"/>
        <v>0</v>
      </c>
      <c r="L102" s="91">
        <f t="shared" si="44"/>
        <v>0</v>
      </c>
      <c r="M102" s="91">
        <f t="shared" si="45"/>
        <v>0</v>
      </c>
      <c r="N102" s="30">
        <f t="shared" si="39"/>
        <v>0</v>
      </c>
      <c r="O102" s="30">
        <f t="shared" si="46"/>
        <v>0</v>
      </c>
    </row>
    <row r="103" spans="1:15" x14ac:dyDescent="0.25">
      <c r="A103" s="26">
        <v>7</v>
      </c>
      <c r="B103" s="66" t="s">
        <v>117</v>
      </c>
      <c r="C103" s="90"/>
      <c r="D103" s="90"/>
      <c r="E103" s="90"/>
      <c r="F103" s="91">
        <f t="shared" si="40"/>
        <v>0</v>
      </c>
      <c r="G103" s="91">
        <f t="shared" si="41"/>
        <v>0</v>
      </c>
      <c r="H103" s="91">
        <f t="shared" si="42"/>
        <v>0</v>
      </c>
      <c r="I103" s="90"/>
      <c r="J103" s="91">
        <f t="shared" si="43"/>
        <v>0</v>
      </c>
      <c r="K103" s="91">
        <f t="shared" si="43"/>
        <v>0</v>
      </c>
      <c r="L103" s="91">
        <f t="shared" si="44"/>
        <v>0</v>
      </c>
      <c r="M103" s="91">
        <f t="shared" si="45"/>
        <v>0</v>
      </c>
      <c r="N103" s="30">
        <f t="shared" si="39"/>
        <v>0</v>
      </c>
      <c r="O103" s="30">
        <f t="shared" si="46"/>
        <v>0</v>
      </c>
    </row>
    <row r="104" spans="1:15" x14ac:dyDescent="0.25">
      <c r="A104" s="26">
        <v>8</v>
      </c>
      <c r="B104" s="66" t="s">
        <v>118</v>
      </c>
      <c r="C104" s="90"/>
      <c r="D104" s="90"/>
      <c r="E104" s="90"/>
      <c r="F104" s="91">
        <f t="shared" si="40"/>
        <v>0</v>
      </c>
      <c r="G104" s="91">
        <f t="shared" si="41"/>
        <v>0</v>
      </c>
      <c r="H104" s="91">
        <f t="shared" si="42"/>
        <v>0</v>
      </c>
      <c r="I104" s="90"/>
      <c r="J104" s="91">
        <f t="shared" si="43"/>
        <v>0</v>
      </c>
      <c r="K104" s="91">
        <f t="shared" si="43"/>
        <v>0</v>
      </c>
      <c r="L104" s="91">
        <f t="shared" si="44"/>
        <v>0</v>
      </c>
      <c r="M104" s="91">
        <f t="shared" si="45"/>
        <v>0</v>
      </c>
      <c r="N104" s="30">
        <f t="shared" si="39"/>
        <v>0</v>
      </c>
      <c r="O104" s="30">
        <f t="shared" si="46"/>
        <v>0</v>
      </c>
    </row>
    <row r="105" spans="1:15" x14ac:dyDescent="0.25">
      <c r="A105" s="26">
        <v>9</v>
      </c>
      <c r="B105" s="66" t="s">
        <v>119</v>
      </c>
      <c r="C105" s="90"/>
      <c r="D105" s="90"/>
      <c r="E105" s="90"/>
      <c r="F105" s="91">
        <f t="shared" si="40"/>
        <v>0</v>
      </c>
      <c r="G105" s="91">
        <f t="shared" si="41"/>
        <v>0</v>
      </c>
      <c r="H105" s="91">
        <f t="shared" si="42"/>
        <v>0</v>
      </c>
      <c r="I105" s="90"/>
      <c r="J105" s="91">
        <f t="shared" si="43"/>
        <v>0</v>
      </c>
      <c r="K105" s="91">
        <f t="shared" si="43"/>
        <v>0</v>
      </c>
      <c r="L105" s="91">
        <f t="shared" si="44"/>
        <v>0</v>
      </c>
      <c r="M105" s="91">
        <f t="shared" si="45"/>
        <v>0</v>
      </c>
      <c r="N105" s="30">
        <f t="shared" si="39"/>
        <v>0</v>
      </c>
      <c r="O105" s="30">
        <f t="shared" si="46"/>
        <v>0</v>
      </c>
    </row>
    <row r="106" spans="1:15" x14ac:dyDescent="0.25">
      <c r="A106" s="26">
        <v>10</v>
      </c>
      <c r="B106" s="66" t="s">
        <v>146</v>
      </c>
      <c r="C106" s="90"/>
      <c r="D106" s="90"/>
      <c r="E106" s="90"/>
      <c r="F106" s="91">
        <f t="shared" si="40"/>
        <v>0</v>
      </c>
      <c r="G106" s="91">
        <f t="shared" si="41"/>
        <v>0</v>
      </c>
      <c r="H106" s="91">
        <f t="shared" si="42"/>
        <v>0</v>
      </c>
      <c r="I106" s="90"/>
      <c r="J106" s="91">
        <f t="shared" si="43"/>
        <v>0</v>
      </c>
      <c r="K106" s="91">
        <f t="shared" si="43"/>
        <v>0</v>
      </c>
      <c r="L106" s="91">
        <f t="shared" si="44"/>
        <v>0</v>
      </c>
      <c r="M106" s="91">
        <f t="shared" si="45"/>
        <v>0</v>
      </c>
      <c r="N106" s="30">
        <f t="shared" si="39"/>
        <v>0</v>
      </c>
      <c r="O106" s="30">
        <f t="shared" si="46"/>
        <v>0</v>
      </c>
    </row>
    <row r="107" spans="1:15" x14ac:dyDescent="0.25">
      <c r="A107" s="26">
        <v>11</v>
      </c>
      <c r="B107" s="66" t="s">
        <v>147</v>
      </c>
      <c r="C107" s="90"/>
      <c r="D107" s="90"/>
      <c r="E107" s="90"/>
      <c r="F107" s="91">
        <f t="shared" si="40"/>
        <v>0</v>
      </c>
      <c r="G107" s="91">
        <f t="shared" si="41"/>
        <v>0</v>
      </c>
      <c r="H107" s="91">
        <f t="shared" si="42"/>
        <v>0</v>
      </c>
      <c r="I107" s="90"/>
      <c r="J107" s="91">
        <f t="shared" si="43"/>
        <v>0</v>
      </c>
      <c r="K107" s="91">
        <f t="shared" si="43"/>
        <v>0</v>
      </c>
      <c r="L107" s="91">
        <f t="shared" si="44"/>
        <v>0</v>
      </c>
      <c r="M107" s="91">
        <f t="shared" si="45"/>
        <v>0</v>
      </c>
      <c r="N107" s="30">
        <f t="shared" si="39"/>
        <v>0</v>
      </c>
      <c r="O107" s="30">
        <f t="shared" si="46"/>
        <v>0</v>
      </c>
    </row>
    <row r="108" spans="1:15" x14ac:dyDescent="0.25">
      <c r="A108" s="26">
        <v>12</v>
      </c>
      <c r="B108" s="66" t="s">
        <v>148</v>
      </c>
      <c r="C108" s="90"/>
      <c r="D108" s="90"/>
      <c r="E108" s="90"/>
      <c r="F108" s="91">
        <f t="shared" si="40"/>
        <v>0</v>
      </c>
      <c r="G108" s="91">
        <f t="shared" si="41"/>
        <v>0</v>
      </c>
      <c r="H108" s="91">
        <f t="shared" si="42"/>
        <v>0</v>
      </c>
      <c r="I108" s="90"/>
      <c r="J108" s="91">
        <f t="shared" si="43"/>
        <v>0</v>
      </c>
      <c r="K108" s="91">
        <f t="shared" si="43"/>
        <v>0</v>
      </c>
      <c r="L108" s="91">
        <f t="shared" si="44"/>
        <v>0</v>
      </c>
      <c r="M108" s="91">
        <f t="shared" si="45"/>
        <v>0</v>
      </c>
      <c r="N108" s="30">
        <f t="shared" si="39"/>
        <v>0</v>
      </c>
      <c r="O108" s="30">
        <f t="shared" si="46"/>
        <v>0</v>
      </c>
    </row>
    <row r="109" spans="1:15" x14ac:dyDescent="0.25">
      <c r="A109" s="26">
        <v>13</v>
      </c>
      <c r="B109" s="66" t="s">
        <v>149</v>
      </c>
      <c r="C109" s="90"/>
      <c r="D109" s="90"/>
      <c r="E109" s="90"/>
      <c r="F109" s="91">
        <f t="shared" si="40"/>
        <v>0</v>
      </c>
      <c r="G109" s="91">
        <f t="shared" si="41"/>
        <v>0</v>
      </c>
      <c r="H109" s="91">
        <f t="shared" si="42"/>
        <v>0</v>
      </c>
      <c r="I109" s="90"/>
      <c r="J109" s="91">
        <f t="shared" si="43"/>
        <v>0</v>
      </c>
      <c r="K109" s="91">
        <f t="shared" si="43"/>
        <v>0</v>
      </c>
      <c r="L109" s="91">
        <f t="shared" si="44"/>
        <v>0</v>
      </c>
      <c r="M109" s="91">
        <f t="shared" si="45"/>
        <v>0</v>
      </c>
      <c r="N109" s="30">
        <f t="shared" si="39"/>
        <v>0</v>
      </c>
      <c r="O109" s="30">
        <f t="shared" si="46"/>
        <v>0</v>
      </c>
    </row>
    <row r="110" spans="1:15" x14ac:dyDescent="0.25">
      <c r="A110" s="26">
        <v>14</v>
      </c>
      <c r="B110" s="66" t="s">
        <v>150</v>
      </c>
      <c r="C110" s="90"/>
      <c r="D110" s="90"/>
      <c r="E110" s="90"/>
      <c r="F110" s="91">
        <f t="shared" si="40"/>
        <v>0</v>
      </c>
      <c r="G110" s="91">
        <f t="shared" si="41"/>
        <v>0</v>
      </c>
      <c r="H110" s="91">
        <f t="shared" si="42"/>
        <v>0</v>
      </c>
      <c r="I110" s="90"/>
      <c r="J110" s="91">
        <f t="shared" si="43"/>
        <v>0</v>
      </c>
      <c r="K110" s="91">
        <f t="shared" si="43"/>
        <v>0</v>
      </c>
      <c r="L110" s="91">
        <f t="shared" si="44"/>
        <v>0</v>
      </c>
      <c r="M110" s="91">
        <f t="shared" si="45"/>
        <v>0</v>
      </c>
      <c r="N110" s="30">
        <f t="shared" si="39"/>
        <v>0</v>
      </c>
      <c r="O110" s="30">
        <f t="shared" si="46"/>
        <v>0</v>
      </c>
    </row>
    <row r="111" spans="1:15" x14ac:dyDescent="0.25">
      <c r="A111" s="26">
        <v>15</v>
      </c>
      <c r="B111" s="66" t="s">
        <v>151</v>
      </c>
      <c r="C111" s="90"/>
      <c r="D111" s="90"/>
      <c r="E111" s="90"/>
      <c r="F111" s="91">
        <f t="shared" si="40"/>
        <v>0</v>
      </c>
      <c r="G111" s="91">
        <f t="shared" si="41"/>
        <v>0</v>
      </c>
      <c r="H111" s="91">
        <f t="shared" si="42"/>
        <v>0</v>
      </c>
      <c r="I111" s="90"/>
      <c r="J111" s="91">
        <f t="shared" si="43"/>
        <v>0</v>
      </c>
      <c r="K111" s="91">
        <f t="shared" si="43"/>
        <v>0</v>
      </c>
      <c r="L111" s="91">
        <f t="shared" si="44"/>
        <v>0</v>
      </c>
      <c r="M111" s="91">
        <f t="shared" si="45"/>
        <v>0</v>
      </c>
      <c r="N111" s="30">
        <f t="shared" si="39"/>
        <v>0</v>
      </c>
      <c r="O111" s="30">
        <f t="shared" si="46"/>
        <v>0</v>
      </c>
    </row>
    <row r="112" spans="1:15" x14ac:dyDescent="0.25">
      <c r="G112" s="68"/>
      <c r="H112" s="68"/>
      <c r="I112" s="68"/>
      <c r="J112" s="68"/>
      <c r="K112" s="68"/>
      <c r="L112" s="68"/>
      <c r="M112" s="68"/>
    </row>
  </sheetData>
  <mergeCells count="10">
    <mergeCell ref="J93:J96"/>
    <mergeCell ref="M93:M96"/>
    <mergeCell ref="R1:W7"/>
    <mergeCell ref="C2:M6"/>
    <mergeCell ref="C7:M7"/>
    <mergeCell ref="C93:C96"/>
    <mergeCell ref="D93:D96"/>
    <mergeCell ref="E93:E96"/>
    <mergeCell ref="F93:F96"/>
    <mergeCell ref="I93:I96"/>
  </mergeCells>
  <phoneticPr fontId="10" type="noConversion"/>
  <conditionalFormatting sqref="I97:I111 C97:E111">
    <cfRule type="cellIs" dxfId="5" priority="4" operator="lessThanOrEqual">
      <formula>0</formula>
    </cfRule>
  </conditionalFormatting>
  <conditionalFormatting sqref="C49">
    <cfRule type="cellIs" dxfId="4" priority="3" operator="lessThanOrEqual">
      <formula>0</formula>
    </cfRule>
  </conditionalFormatting>
  <conditionalFormatting sqref="E49:M49">
    <cfRule type="cellIs" dxfId="3" priority="2" operator="lessThanOrEqual">
      <formula>0</formula>
    </cfRule>
  </conditionalFormatting>
  <conditionalFormatting sqref="C43">
    <cfRule type="cellIs" dxfId="2" priority="1" operator="lessThanOrEqual">
      <formula>0</formula>
    </cfRule>
  </conditionalFormatting>
  <hyperlinks>
    <hyperlink ref="C7:M7" r:id="rId1" display="REPORTAR UMA MELHORIA!" xr:uid="{B03B738D-90EF-45F0-8822-F9136E5F0DCF}"/>
  </hyperlinks>
  <pageMargins left="0.511811024" right="0.511811024" top="0.78740157499999996" bottom="0.78740157499999996" header="0.31496062000000002" footer="0.31496062000000002"/>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D019E-D9C3-4B63-A5BE-2500E127E0B3}">
  <sheetPr codeName="Planilha4">
    <tabColor theme="6" tint="0.79998168889431442"/>
  </sheetPr>
  <dimension ref="A1:P94"/>
  <sheetViews>
    <sheetView zoomScale="90" zoomScaleNormal="90" workbookViewId="0">
      <pane xSplit="2" ySplit="14" topLeftCell="C15" activePane="bottomRight" state="frozen"/>
      <selection activeCell="E68" sqref="E68"/>
      <selection pane="topRight" activeCell="E68" sqref="E68"/>
      <selection pane="bottomLeft" activeCell="E68" sqref="E68"/>
      <selection pane="bottomRight" activeCell="D51" sqref="D51"/>
    </sheetView>
  </sheetViews>
  <sheetFormatPr defaultColWidth="8.88671875" defaultRowHeight="13.2" outlineLevelRow="1" x14ac:dyDescent="0.25"/>
  <cols>
    <col min="1" max="1" width="5" style="26" customWidth="1"/>
    <col min="2" max="2" width="35.6640625" style="27" customWidth="1"/>
    <col min="3" max="3" width="10.6640625" style="28" customWidth="1"/>
    <col min="4" max="4" width="10.6640625" style="68" customWidth="1"/>
    <col min="5" max="13" width="10.6640625" style="28" customWidth="1"/>
    <col min="14" max="15" width="20.6640625" style="30" customWidth="1"/>
    <col min="16" max="16" width="20.6640625" style="27" customWidth="1"/>
    <col min="17" max="16384" width="8.88671875" style="27"/>
  </cols>
  <sheetData>
    <row r="1" spans="1:16" ht="13.8" thickBot="1" x14ac:dyDescent="0.3">
      <c r="A1" s="45"/>
      <c r="B1" s="39"/>
      <c r="C1" s="46" t="s">
        <v>107</v>
      </c>
      <c r="D1" s="80"/>
      <c r="E1" s="47"/>
      <c r="F1" s="47"/>
      <c r="G1" s="47"/>
      <c r="H1" s="47"/>
      <c r="I1" s="47"/>
      <c r="J1" s="47"/>
      <c r="K1" s="47"/>
      <c r="L1" s="47"/>
      <c r="M1" s="47"/>
      <c r="N1" s="29" t="s">
        <v>108</v>
      </c>
      <c r="O1" s="29" t="s">
        <v>109</v>
      </c>
      <c r="P1" s="165" t="s">
        <v>265</v>
      </c>
    </row>
    <row r="2" spans="1:16" ht="14.4" customHeight="1" thickBot="1" x14ac:dyDescent="0.3">
      <c r="A2" s="45"/>
      <c r="B2" s="39"/>
      <c r="C2" s="662" t="s">
        <v>143</v>
      </c>
      <c r="D2" s="662"/>
      <c r="E2" s="662"/>
      <c r="F2" s="662"/>
      <c r="G2" s="662"/>
      <c r="H2" s="662"/>
      <c r="I2" s="662"/>
      <c r="J2" s="662"/>
      <c r="K2" s="662"/>
      <c r="L2" s="662"/>
      <c r="M2" s="663"/>
      <c r="N2" s="48"/>
      <c r="O2" s="49"/>
      <c r="P2" s="166" t="s">
        <v>266</v>
      </c>
    </row>
    <row r="3" spans="1:16" ht="14.4" customHeight="1" x14ac:dyDescent="0.25">
      <c r="A3" s="45"/>
      <c r="B3" s="39"/>
      <c r="C3" s="662"/>
      <c r="D3" s="662"/>
      <c r="E3" s="662"/>
      <c r="F3" s="662"/>
      <c r="G3" s="662"/>
      <c r="H3" s="662"/>
      <c r="I3" s="662"/>
      <c r="J3" s="662"/>
      <c r="K3" s="662"/>
      <c r="L3" s="662"/>
      <c r="M3" s="663"/>
      <c r="N3" s="50"/>
      <c r="O3" s="51"/>
      <c r="P3" s="167">
        <f>O4+O74</f>
        <v>0</v>
      </c>
    </row>
    <row r="4" spans="1:16" ht="14.4" customHeight="1" thickBot="1" x14ac:dyDescent="0.3">
      <c r="A4" s="45"/>
      <c r="B4" s="39"/>
      <c r="C4" s="662"/>
      <c r="D4" s="662"/>
      <c r="E4" s="662"/>
      <c r="F4" s="662"/>
      <c r="G4" s="662"/>
      <c r="H4" s="662"/>
      <c r="I4" s="662"/>
      <c r="J4" s="662"/>
      <c r="K4" s="662"/>
      <c r="L4" s="662"/>
      <c r="M4" s="663"/>
      <c r="N4" s="52">
        <f>SUBTOTAL(9,N17:N71)</f>
        <v>0</v>
      </c>
      <c r="O4" s="53">
        <f>SUBTOTAL(9,O17:O71)</f>
        <v>0</v>
      </c>
      <c r="P4" s="168"/>
    </row>
    <row r="5" spans="1:16" ht="14.4" customHeight="1" thickBot="1" x14ac:dyDescent="0.3">
      <c r="A5" s="45"/>
      <c r="B5" s="39"/>
      <c r="C5" s="662"/>
      <c r="D5" s="662"/>
      <c r="E5" s="662"/>
      <c r="F5" s="662"/>
      <c r="G5" s="662"/>
      <c r="H5" s="662"/>
      <c r="I5" s="662"/>
      <c r="J5" s="662"/>
      <c r="K5" s="662"/>
      <c r="L5" s="662"/>
      <c r="M5" s="663"/>
      <c r="N5" s="54"/>
      <c r="O5" s="55"/>
      <c r="P5" s="166" t="s">
        <v>267</v>
      </c>
    </row>
    <row r="6" spans="1:16" ht="15" customHeight="1" thickBot="1" x14ac:dyDescent="0.3">
      <c r="A6" s="45"/>
      <c r="B6" s="39"/>
      <c r="C6" s="662"/>
      <c r="D6" s="662"/>
      <c r="E6" s="662"/>
      <c r="F6" s="662"/>
      <c r="G6" s="662"/>
      <c r="H6" s="662"/>
      <c r="I6" s="662"/>
      <c r="J6" s="662"/>
      <c r="K6" s="662"/>
      <c r="L6" s="662"/>
      <c r="M6" s="663"/>
      <c r="N6" s="56"/>
      <c r="O6" s="57"/>
      <c r="P6" s="167">
        <f>O4+N74</f>
        <v>0</v>
      </c>
    </row>
    <row r="7" spans="1:16" s="32" customFormat="1" ht="15.6" customHeight="1" thickBot="1" x14ac:dyDescent="0.3">
      <c r="A7" s="58"/>
      <c r="B7" s="59"/>
      <c r="C7" s="664" t="s">
        <v>144</v>
      </c>
      <c r="D7" s="664"/>
      <c r="E7" s="664"/>
      <c r="F7" s="664"/>
      <c r="G7" s="664"/>
      <c r="H7" s="664"/>
      <c r="I7" s="664"/>
      <c r="J7" s="664"/>
      <c r="K7" s="664"/>
      <c r="L7" s="664"/>
      <c r="M7" s="665"/>
      <c r="N7" s="60" t="s">
        <v>110</v>
      </c>
      <c r="O7" s="61">
        <v>0.45</v>
      </c>
      <c r="P7" s="168"/>
    </row>
    <row r="8" spans="1:16" outlineLevel="1" x14ac:dyDescent="0.25">
      <c r="A8" s="26" t="s">
        <v>30</v>
      </c>
      <c r="C8" s="29"/>
      <c r="E8" s="29" t="s">
        <v>27</v>
      </c>
      <c r="F8" s="29" t="s">
        <v>42</v>
      </c>
      <c r="G8" s="29" t="s">
        <v>84</v>
      </c>
      <c r="H8" s="29" t="s">
        <v>78</v>
      </c>
      <c r="I8" s="29" t="s">
        <v>79</v>
      </c>
      <c r="J8" s="29" t="s">
        <v>80</v>
      </c>
      <c r="K8" s="29" t="s">
        <v>81</v>
      </c>
      <c r="L8" s="29" t="s">
        <v>82</v>
      </c>
      <c r="M8" s="29" t="s">
        <v>83</v>
      </c>
      <c r="N8" s="27"/>
      <c r="O8" s="27"/>
    </row>
    <row r="9" spans="1:16" s="35" customFormat="1" ht="15" customHeight="1" outlineLevel="1" thickBot="1" x14ac:dyDescent="0.3">
      <c r="A9" s="26"/>
      <c r="B9" s="35" t="s">
        <v>111</v>
      </c>
      <c r="C9" s="62"/>
      <c r="D9" s="81"/>
      <c r="E9" s="63">
        <f>E10/(1-$C$11-$C$12)</f>
        <v>174.21428571428572</v>
      </c>
      <c r="F9" s="63">
        <f t="shared" ref="F9:M9" si="0">F10/(1-$C$11-$C$12)</f>
        <v>225.04761904761904</v>
      </c>
      <c r="G9" s="63">
        <f t="shared" si="0"/>
        <v>65.11904761904762</v>
      </c>
      <c r="H9" s="63">
        <f t="shared" si="0"/>
        <v>134.1904761904762</v>
      </c>
      <c r="I9" s="63">
        <f t="shared" si="0"/>
        <v>182.38095238095238</v>
      </c>
      <c r="J9" s="63">
        <f t="shared" si="0"/>
        <v>240.50000000000003</v>
      </c>
      <c r="K9" s="63">
        <f t="shared" si="0"/>
        <v>302.02380952380952</v>
      </c>
      <c r="L9" s="63">
        <f t="shared" si="0"/>
        <v>370.02380952380952</v>
      </c>
      <c r="M9" s="63">
        <f t="shared" si="0"/>
        <v>454.26190476190476</v>
      </c>
    </row>
    <row r="10" spans="1:16" outlineLevel="1" x14ac:dyDescent="0.25">
      <c r="B10" s="27" t="s">
        <v>112</v>
      </c>
      <c r="E10" s="64">
        <f>'OT Automacao'!E10</f>
        <v>73.17</v>
      </c>
      <c r="F10" s="64">
        <f>'OT Automacao'!F10</f>
        <v>94.52</v>
      </c>
      <c r="G10" s="64">
        <f>'OT Automacao'!G10</f>
        <v>27.35</v>
      </c>
      <c r="H10" s="64">
        <f>'OT Automacao'!H10</f>
        <v>56.36</v>
      </c>
      <c r="I10" s="64">
        <f>'OT Automacao'!I10</f>
        <v>76.599999999999994</v>
      </c>
      <c r="J10" s="64">
        <f>'OT Automacao'!J10</f>
        <v>101.01</v>
      </c>
      <c r="K10" s="64">
        <f>'OT Automacao'!K10</f>
        <v>126.85</v>
      </c>
      <c r="L10" s="64">
        <f>'OT Automacao'!L10</f>
        <v>155.41</v>
      </c>
      <c r="M10" s="64">
        <f>'OT Automacao'!M10</f>
        <v>190.79</v>
      </c>
      <c r="N10" s="27"/>
      <c r="O10" s="484" t="s">
        <v>994</v>
      </c>
      <c r="P10" s="485">
        <f>SUM(D17,D20,D33)</f>
        <v>0</v>
      </c>
    </row>
    <row r="11" spans="1:16" outlineLevel="1" x14ac:dyDescent="0.25">
      <c r="B11" s="27" t="s">
        <v>302</v>
      </c>
      <c r="C11" s="65">
        <f>'DRE Generica'!H13/100</f>
        <v>0.13</v>
      </c>
      <c r="D11" s="65"/>
      <c r="E11" s="170">
        <f>$C$11</f>
        <v>0.13</v>
      </c>
      <c r="F11" s="170">
        <f t="shared" ref="F11:M11" si="1">$C$11</f>
        <v>0.13</v>
      </c>
      <c r="G11" s="170">
        <f t="shared" si="1"/>
        <v>0.13</v>
      </c>
      <c r="H11" s="170">
        <f t="shared" si="1"/>
        <v>0.13</v>
      </c>
      <c r="I11" s="170">
        <f t="shared" si="1"/>
        <v>0.13</v>
      </c>
      <c r="J11" s="170">
        <f t="shared" si="1"/>
        <v>0.13</v>
      </c>
      <c r="K11" s="170">
        <f t="shared" si="1"/>
        <v>0.13</v>
      </c>
      <c r="L11" s="170">
        <f t="shared" si="1"/>
        <v>0.13</v>
      </c>
      <c r="M11" s="170">
        <f t="shared" si="1"/>
        <v>0.13</v>
      </c>
      <c r="N11" s="27"/>
      <c r="O11" s="488" t="s">
        <v>995</v>
      </c>
      <c r="P11" s="486">
        <f>D25+D50</f>
        <v>0</v>
      </c>
    </row>
    <row r="12" spans="1:16" outlineLevel="1" x14ac:dyDescent="0.25">
      <c r="B12" s="27" t="s">
        <v>301</v>
      </c>
      <c r="C12" s="65">
        <f>O7</f>
        <v>0.45</v>
      </c>
      <c r="D12" s="65"/>
      <c r="E12" s="170">
        <f>$C$12</f>
        <v>0.45</v>
      </c>
      <c r="F12" s="170">
        <f t="shared" ref="F12:M12" si="2">$C$12</f>
        <v>0.45</v>
      </c>
      <c r="G12" s="170">
        <f t="shared" si="2"/>
        <v>0.45</v>
      </c>
      <c r="H12" s="170">
        <f t="shared" si="2"/>
        <v>0.45</v>
      </c>
      <c r="I12" s="170">
        <f t="shared" si="2"/>
        <v>0.45</v>
      </c>
      <c r="J12" s="170">
        <f t="shared" si="2"/>
        <v>0.45</v>
      </c>
      <c r="K12" s="170">
        <f t="shared" si="2"/>
        <v>0.45</v>
      </c>
      <c r="L12" s="170">
        <f t="shared" si="2"/>
        <v>0.45</v>
      </c>
      <c r="M12" s="170">
        <f t="shared" si="2"/>
        <v>0.45</v>
      </c>
      <c r="N12" s="27"/>
      <c r="O12" s="488" t="s">
        <v>996</v>
      </c>
      <c r="P12" s="487">
        <f>SUM(N17,N20,N33)</f>
        <v>0</v>
      </c>
    </row>
    <row r="13" spans="1:16" ht="14.4" customHeight="1" outlineLevel="1" thickBot="1" x14ac:dyDescent="0.3">
      <c r="B13" s="27" t="s">
        <v>934</v>
      </c>
      <c r="C13" s="65">
        <v>0.2</v>
      </c>
      <c r="E13" s="64">
        <f t="shared" ref="E13" si="3">E10*$C$13</f>
        <v>14.634</v>
      </c>
      <c r="F13" s="64">
        <f>F10*$C$13</f>
        <v>18.904</v>
      </c>
      <c r="G13" s="64">
        <f t="shared" ref="G13:M13" si="4">G10*$C$13</f>
        <v>5.4700000000000006</v>
      </c>
      <c r="H13" s="64">
        <f t="shared" si="4"/>
        <v>11.272</v>
      </c>
      <c r="I13" s="64">
        <f t="shared" si="4"/>
        <v>15.32</v>
      </c>
      <c r="J13" s="64">
        <f t="shared" si="4"/>
        <v>20.202000000000002</v>
      </c>
      <c r="K13" s="64">
        <f t="shared" si="4"/>
        <v>25.37</v>
      </c>
      <c r="L13" s="64">
        <f t="shared" si="4"/>
        <v>31.082000000000001</v>
      </c>
      <c r="M13" s="64">
        <f t="shared" si="4"/>
        <v>38.158000000000001</v>
      </c>
      <c r="N13" s="27"/>
      <c r="O13" s="489" t="s">
        <v>997</v>
      </c>
      <c r="P13" s="491">
        <f>N25+N50</f>
        <v>0</v>
      </c>
    </row>
    <row r="14" spans="1:16" s="32" customFormat="1" ht="13.8" outlineLevel="1" thickBot="1" x14ac:dyDescent="0.3">
      <c r="A14" s="31"/>
      <c r="C14" s="33"/>
      <c r="D14" s="82"/>
      <c r="E14" s="33"/>
      <c r="F14" s="33"/>
      <c r="G14" s="33"/>
      <c r="H14" s="33"/>
      <c r="I14" s="33"/>
      <c r="J14" s="33"/>
      <c r="K14" s="33"/>
      <c r="L14" s="33"/>
      <c r="M14" s="33"/>
    </row>
    <row r="15" spans="1:16" s="35" customFormat="1" x14ac:dyDescent="0.25">
      <c r="A15" s="26"/>
      <c r="C15" s="29" t="s">
        <v>91</v>
      </c>
      <c r="D15" s="69" t="s">
        <v>89</v>
      </c>
      <c r="E15" s="29" t="s">
        <v>27</v>
      </c>
      <c r="F15" s="29" t="s">
        <v>42</v>
      </c>
      <c r="G15" s="29" t="str">
        <f t="shared" ref="G15:M15" si="5">G8</f>
        <v>Estagiário</v>
      </c>
      <c r="H15" s="29" t="str">
        <f t="shared" si="5"/>
        <v>Analista C</v>
      </c>
      <c r="I15" s="29" t="str">
        <f t="shared" si="5"/>
        <v>Analista B</v>
      </c>
      <c r="J15" s="29" t="str">
        <f t="shared" si="5"/>
        <v>Analista A</v>
      </c>
      <c r="K15" s="29" t="str">
        <f t="shared" si="5"/>
        <v>Consultor C</v>
      </c>
      <c r="L15" s="29" t="str">
        <f t="shared" si="5"/>
        <v>Consultor B</v>
      </c>
      <c r="M15" s="29" t="str">
        <f t="shared" si="5"/>
        <v>Consultor A</v>
      </c>
      <c r="N15" s="36" t="s">
        <v>108</v>
      </c>
      <c r="O15" s="36" t="s">
        <v>109</v>
      </c>
    </row>
    <row r="16" spans="1:16" s="35" customFormat="1" x14ac:dyDescent="0.25">
      <c r="A16" s="26"/>
      <c r="B16" s="27"/>
      <c r="C16" s="27"/>
      <c r="D16" s="83"/>
      <c r="E16" s="27"/>
      <c r="F16" s="27"/>
      <c r="G16" s="27"/>
      <c r="H16" s="27"/>
      <c r="I16" s="27"/>
      <c r="J16" s="27"/>
      <c r="K16" s="27"/>
      <c r="L16" s="27"/>
      <c r="M16" s="27"/>
      <c r="N16" s="27"/>
      <c r="O16" s="27"/>
    </row>
    <row r="17" spans="1:15" s="35" customFormat="1" x14ac:dyDescent="0.25">
      <c r="A17" s="26" t="str">
        <f>'Matriz Escopo'!A29</f>
        <v>INTERNAÇÃO</v>
      </c>
      <c r="C17" s="29"/>
      <c r="D17" s="87">
        <f>SUBTOTAL(9,D18)</f>
        <v>0</v>
      </c>
      <c r="E17" s="69"/>
      <c r="F17" s="69"/>
      <c r="G17" s="29"/>
      <c r="H17" s="29"/>
      <c r="I17" s="29"/>
      <c r="J17" s="29"/>
      <c r="K17" s="29"/>
      <c r="L17" s="29"/>
      <c r="M17" s="29"/>
      <c r="N17" s="85">
        <f>SUBTOTAL(9,N18)</f>
        <v>0</v>
      </c>
      <c r="O17" s="85">
        <f>SUBTOTAL(9,O18)</f>
        <v>0</v>
      </c>
    </row>
    <row r="18" spans="1:15" x14ac:dyDescent="0.25">
      <c r="A18" s="26">
        <f>'Matriz Escopo'!A32</f>
        <v>1</v>
      </c>
      <c r="B18" s="27" t="str">
        <f>'Matriz Escopo'!B32</f>
        <v>Kick-off</v>
      </c>
      <c r="C18" s="90">
        <f>'Matriz Escopo'!H32</f>
        <v>0</v>
      </c>
      <c r="D18" s="68">
        <f>C18*SUM(E18:M18)*8</f>
        <v>0</v>
      </c>
      <c r="E18" s="89">
        <f>'Matriz Escopo'!I32</f>
        <v>0</v>
      </c>
      <c r="F18" s="89"/>
      <c r="G18" s="67"/>
      <c r="H18" s="67"/>
      <c r="I18" s="67"/>
      <c r="J18" s="67"/>
      <c r="K18" s="67"/>
      <c r="L18" s="67"/>
      <c r="M18" s="67"/>
      <c r="N18" s="30">
        <f>SUMPRODUCT($E18:$M18,$E$10:$M$10)*$C18*8</f>
        <v>0</v>
      </c>
      <c r="O18" s="30">
        <f>SUMPRODUCT(E18:M18,$E$9:$M$9)*$C18*8</f>
        <v>0</v>
      </c>
    </row>
    <row r="19" spans="1:15" x14ac:dyDescent="0.25">
      <c r="C19" s="68"/>
      <c r="E19" s="68"/>
      <c r="F19" s="68"/>
    </row>
    <row r="20" spans="1:15" x14ac:dyDescent="0.25">
      <c r="A20" s="26" t="str">
        <f>'Matriz Escopo'!A34</f>
        <v>ANÁLISE</v>
      </c>
      <c r="C20" s="68"/>
      <c r="D20" s="88">
        <f>SUBTOTAL(9,D21:D23)</f>
        <v>0</v>
      </c>
      <c r="E20" s="68"/>
      <c r="F20" s="68"/>
      <c r="N20" s="85">
        <f>SUBTOTAL(9,N21:N23)</f>
        <v>0</v>
      </c>
      <c r="O20" s="85">
        <f>SUBTOTAL(9,O21:O23)</f>
        <v>0</v>
      </c>
    </row>
    <row r="21" spans="1:15" x14ac:dyDescent="0.25">
      <c r="A21" s="26">
        <f>'Matriz Escopo'!A37</f>
        <v>1</v>
      </c>
      <c r="B21" s="27" t="str">
        <f>'Matriz Escopo'!B37</f>
        <v>Levantamento de Campo</v>
      </c>
      <c r="C21" s="90">
        <f>'Matriz Escopo'!H37</f>
        <v>0</v>
      </c>
      <c r="D21" s="68">
        <f t="shared" ref="D21:D23" si="6">C21*SUM(E21:M21)*8</f>
        <v>0</v>
      </c>
      <c r="E21" s="89">
        <f>'Matriz Escopo'!I37</f>
        <v>0</v>
      </c>
      <c r="F21" s="89"/>
      <c r="G21" s="67"/>
      <c r="H21" s="67"/>
      <c r="I21" s="67"/>
      <c r="J21" s="67"/>
      <c r="K21" s="67"/>
      <c r="L21" s="67"/>
      <c r="M21" s="67"/>
      <c r="N21" s="30">
        <f>SUMPRODUCT($E21:$M21,$E$10:$M$10)*$C21*8</f>
        <v>0</v>
      </c>
      <c r="O21" s="30">
        <f>SUMPRODUCT(E21:M21,$E$9:$M$9)*$C21*8</f>
        <v>0</v>
      </c>
    </row>
    <row r="22" spans="1:15" x14ac:dyDescent="0.25">
      <c r="A22" s="26">
        <f>'Matriz Escopo'!A38</f>
        <v>2</v>
      </c>
      <c r="B22" s="27" t="str">
        <f>'Matriz Escopo'!B38</f>
        <v>Levantamento de Dados</v>
      </c>
      <c r="C22" s="90">
        <f>'Matriz Escopo'!H38</f>
        <v>0</v>
      </c>
      <c r="D22" s="68">
        <f t="shared" si="6"/>
        <v>0</v>
      </c>
      <c r="E22" s="89">
        <f>'Matriz Escopo'!I38</f>
        <v>0</v>
      </c>
      <c r="F22" s="89"/>
      <c r="G22" s="67"/>
      <c r="H22" s="67"/>
      <c r="I22" s="67"/>
      <c r="J22" s="67"/>
      <c r="K22" s="67"/>
      <c r="L22" s="67"/>
      <c r="M22" s="67"/>
      <c r="N22" s="30">
        <f>SUMPRODUCT($E22:$M22,$E$10:$M$10)*$C22*8</f>
        <v>0</v>
      </c>
      <c r="O22" s="30">
        <f>SUMPRODUCT(E22:M22,$E$9:$M$9)*$C22*8</f>
        <v>0</v>
      </c>
    </row>
    <row r="23" spans="1:15" x14ac:dyDescent="0.25">
      <c r="A23" s="26">
        <f>'Matriz Escopo'!A39</f>
        <v>3</v>
      </c>
      <c r="B23" s="27" t="str">
        <f>'Matriz Escopo'!B39</f>
        <v>Documentação gerada na etapa</v>
      </c>
      <c r="C23" s="90">
        <f>'Matriz Escopo'!H39</f>
        <v>0</v>
      </c>
      <c r="D23" s="68">
        <f t="shared" si="6"/>
        <v>0</v>
      </c>
      <c r="E23" s="89">
        <f>'Matriz Escopo'!I39</f>
        <v>0</v>
      </c>
      <c r="F23" s="89"/>
      <c r="G23" s="67"/>
      <c r="H23" s="67"/>
      <c r="I23" s="67"/>
      <c r="J23" s="67"/>
      <c r="K23" s="67"/>
      <c r="L23" s="67"/>
      <c r="M23" s="67"/>
      <c r="N23" s="30">
        <f>SUMPRODUCT($E23:$M23,$E$10:$M$10)*$C23*8</f>
        <v>0</v>
      </c>
      <c r="O23" s="30">
        <f>SUMPRODUCT(E23:M23,$E$9:$M$9)*$C23*8</f>
        <v>0</v>
      </c>
    </row>
    <row r="24" spans="1:15" x14ac:dyDescent="0.25">
      <c r="C24" s="68"/>
      <c r="E24" s="68"/>
      <c r="F24" s="68"/>
    </row>
    <row r="25" spans="1:15" x14ac:dyDescent="0.25">
      <c r="A25" s="26" t="s">
        <v>61</v>
      </c>
      <c r="C25" s="29" t="s">
        <v>91</v>
      </c>
      <c r="D25" s="87">
        <f>SUBTOTAL(9,D26:D31)</f>
        <v>0</v>
      </c>
      <c r="N25" s="85">
        <f>SUBTOTAL(9,N26:N31)</f>
        <v>0</v>
      </c>
      <c r="O25" s="85">
        <f>SUBTOTAL(9,O26:O31)</f>
        <v>0</v>
      </c>
    </row>
    <row r="26" spans="1:15" x14ac:dyDescent="0.25">
      <c r="A26" s="26">
        <v>1</v>
      </c>
      <c r="B26" s="27" t="str">
        <f>'Matriz Escopo'!B60</f>
        <v>Elaboração de Documentos de SSMA</v>
      </c>
      <c r="C26" s="67"/>
      <c r="D26" s="68">
        <f>C26*SUM(E26:M26)*8</f>
        <v>0</v>
      </c>
      <c r="E26" s="67"/>
      <c r="F26" s="67"/>
      <c r="G26" s="67"/>
      <c r="H26" s="67"/>
      <c r="I26" s="67"/>
      <c r="J26" s="67"/>
      <c r="K26" s="67"/>
      <c r="L26" s="67"/>
      <c r="M26" s="67"/>
      <c r="N26" s="30">
        <f t="shared" ref="N26" si="7">SUMPRODUCT(E26:M26,$E$10:$M$10)*C26*8</f>
        <v>0</v>
      </c>
      <c r="O26" s="30">
        <f t="shared" ref="O26" si="8">SUMPRODUCT(E26:M26,$E$9:$M$9)*C26*8</f>
        <v>0</v>
      </c>
    </row>
    <row r="27" spans="1:15" x14ac:dyDescent="0.25">
      <c r="A27" s="26">
        <v>2</v>
      </c>
      <c r="B27" s="27" t="str">
        <f>'Matriz Escopo'!B61</f>
        <v>Exames</v>
      </c>
      <c r="C27" s="90"/>
      <c r="D27" s="68">
        <f t="shared" ref="D27:D30" si="9">C27*SUM(E27:M27)*8</f>
        <v>0</v>
      </c>
      <c r="E27" s="67"/>
      <c r="F27" s="67"/>
      <c r="G27" s="67"/>
      <c r="H27" s="67"/>
      <c r="I27" s="67"/>
      <c r="J27" s="67"/>
      <c r="K27" s="67"/>
      <c r="L27" s="67"/>
      <c r="M27" s="67"/>
      <c r="N27" s="30">
        <f t="shared" ref="N27:N30" si="10">SUMPRODUCT($E27:$M27,$E$10:$M$10)*$C27*8</f>
        <v>0</v>
      </c>
      <c r="O27" s="30">
        <f t="shared" ref="O27:O30" si="11">SUMPRODUCT(E27:M27,$E$9:$M$9)*$C27*8</f>
        <v>0</v>
      </c>
    </row>
    <row r="28" spans="1:15" x14ac:dyDescent="0.25">
      <c r="A28" s="26">
        <v>3</v>
      </c>
      <c r="B28" s="27" t="str">
        <f>'Matriz Escopo'!B62</f>
        <v>Treinamentos Específicos</v>
      </c>
      <c r="C28" s="90"/>
      <c r="D28" s="68">
        <f t="shared" si="9"/>
        <v>0</v>
      </c>
      <c r="E28" s="67"/>
      <c r="F28" s="67"/>
      <c r="G28" s="67"/>
      <c r="H28" s="67"/>
      <c r="I28" s="67"/>
      <c r="J28" s="67"/>
      <c r="K28" s="67"/>
      <c r="L28" s="67"/>
      <c r="M28" s="67"/>
      <c r="N28" s="30">
        <f t="shared" si="10"/>
        <v>0</v>
      </c>
      <c r="O28" s="30">
        <f t="shared" si="11"/>
        <v>0</v>
      </c>
    </row>
    <row r="29" spans="1:15" x14ac:dyDescent="0.25">
      <c r="A29" s="26">
        <v>4</v>
      </c>
      <c r="B29" s="27" t="str">
        <f>'Matriz Escopo'!B63</f>
        <v>Treinamento de Integração</v>
      </c>
      <c r="C29" s="90"/>
      <c r="D29" s="68">
        <f t="shared" si="9"/>
        <v>0</v>
      </c>
      <c r="E29" s="67"/>
      <c r="F29" s="67"/>
      <c r="G29" s="67"/>
      <c r="H29" s="67"/>
      <c r="I29" s="67"/>
      <c r="J29" s="67"/>
      <c r="K29" s="67"/>
      <c r="L29" s="67"/>
      <c r="M29" s="67"/>
      <c r="N29" s="30">
        <f t="shared" si="10"/>
        <v>0</v>
      </c>
      <c r="O29" s="30">
        <f t="shared" si="11"/>
        <v>0</v>
      </c>
    </row>
    <row r="30" spans="1:15" x14ac:dyDescent="0.25">
      <c r="A30" s="26">
        <v>5</v>
      </c>
      <c r="B30" s="27" t="str">
        <f>'Matriz Escopo'!B64</f>
        <v>Envio de documentos de habilitação</v>
      </c>
      <c r="C30" s="90"/>
      <c r="D30" s="68">
        <f t="shared" si="9"/>
        <v>0</v>
      </c>
      <c r="E30" s="67"/>
      <c r="F30" s="67"/>
      <c r="G30" s="67"/>
      <c r="H30" s="67"/>
      <c r="I30" s="67"/>
      <c r="J30" s="67"/>
      <c r="K30" s="67"/>
      <c r="L30" s="67"/>
      <c r="M30" s="67"/>
      <c r="N30" s="30">
        <f t="shared" si="10"/>
        <v>0</v>
      </c>
      <c r="O30" s="30">
        <f t="shared" si="11"/>
        <v>0</v>
      </c>
    </row>
    <row r="31" spans="1:15" x14ac:dyDescent="0.25">
      <c r="A31" s="26">
        <v>6</v>
      </c>
      <c r="B31" s="27" t="s">
        <v>182</v>
      </c>
      <c r="C31" s="90"/>
      <c r="E31" s="89"/>
      <c r="F31" s="89"/>
      <c r="G31" s="89"/>
      <c r="H31" s="89"/>
      <c r="I31" s="89"/>
      <c r="J31" s="89"/>
      <c r="K31" s="89"/>
      <c r="L31" s="89"/>
      <c r="M31" s="89"/>
      <c r="N31" s="30">
        <f>C31*'Comece aqui! ; )'!$C$36</f>
        <v>0</v>
      </c>
      <c r="O31" s="30">
        <f>N31/(1-C11-C12)</f>
        <v>0</v>
      </c>
    </row>
    <row r="32" spans="1:15" x14ac:dyDescent="0.25">
      <c r="C32" s="68"/>
      <c r="E32" s="68"/>
      <c r="F32" s="68"/>
    </row>
    <row r="33" spans="1:15" s="30" customFormat="1" x14ac:dyDescent="0.25">
      <c r="A33" s="26" t="s">
        <v>130</v>
      </c>
      <c r="B33" s="27"/>
      <c r="C33" s="29" t="s">
        <v>91</v>
      </c>
      <c r="D33" s="87">
        <f>SUBTOTAL(9,D34:D48)</f>
        <v>0</v>
      </c>
      <c r="E33" s="28"/>
      <c r="F33" s="28"/>
      <c r="G33" s="28"/>
      <c r="H33" s="28"/>
      <c r="I33" s="28"/>
      <c r="J33" s="28"/>
      <c r="K33" s="28"/>
      <c r="L33" s="28"/>
      <c r="M33" s="28"/>
      <c r="N33" s="85">
        <f>SUBTOTAL(9,N34:N48)</f>
        <v>0</v>
      </c>
      <c r="O33" s="85">
        <f>SUBTOTAL(9,O34:O48)</f>
        <v>0</v>
      </c>
    </row>
    <row r="34" spans="1:15" s="30" customFormat="1" x14ac:dyDescent="0.25">
      <c r="A34" s="26">
        <v>1</v>
      </c>
      <c r="B34" s="66" t="s">
        <v>87</v>
      </c>
      <c r="C34" s="67"/>
      <c r="D34" s="68">
        <f>C34*SUM(E34:M34)*8</f>
        <v>0</v>
      </c>
      <c r="E34" s="67"/>
      <c r="F34" s="67"/>
      <c r="G34" s="67"/>
      <c r="H34" s="67"/>
      <c r="I34" s="67"/>
      <c r="J34" s="67"/>
      <c r="K34" s="67"/>
      <c r="L34" s="67"/>
      <c r="M34" s="67"/>
      <c r="N34" s="30">
        <f t="shared" ref="N34:N39" si="12">SUMPRODUCT(E34:M34,$E$10:$M$10)*C34*8</f>
        <v>0</v>
      </c>
      <c r="O34" s="30">
        <f t="shared" ref="O34:O39" si="13">SUMPRODUCT(E34:M34,$E$9:$M$9)*C34*8</f>
        <v>0</v>
      </c>
    </row>
    <row r="35" spans="1:15" s="30" customFormat="1" x14ac:dyDescent="0.25">
      <c r="A35" s="26">
        <v>2</v>
      </c>
      <c r="B35" s="66" t="s">
        <v>88</v>
      </c>
      <c r="C35" s="67"/>
      <c r="D35" s="68">
        <f t="shared" ref="D35:D39" si="14">C35*SUM(E35:M35)*8</f>
        <v>0</v>
      </c>
      <c r="E35" s="67"/>
      <c r="F35" s="67"/>
      <c r="G35" s="67"/>
      <c r="H35" s="67"/>
      <c r="I35" s="67"/>
      <c r="J35" s="67"/>
      <c r="K35" s="67"/>
      <c r="L35" s="67"/>
      <c r="M35" s="67"/>
      <c r="N35" s="30">
        <f t="shared" si="12"/>
        <v>0</v>
      </c>
      <c r="O35" s="30">
        <f t="shared" si="13"/>
        <v>0</v>
      </c>
    </row>
    <row r="36" spans="1:15" s="30" customFormat="1" x14ac:dyDescent="0.25">
      <c r="A36" s="26">
        <v>3</v>
      </c>
      <c r="B36" s="66" t="s">
        <v>113</v>
      </c>
      <c r="C36" s="67"/>
      <c r="D36" s="68">
        <f t="shared" si="14"/>
        <v>0</v>
      </c>
      <c r="E36" s="67"/>
      <c r="F36" s="67"/>
      <c r="G36" s="67"/>
      <c r="H36" s="67"/>
      <c r="I36" s="67"/>
      <c r="J36" s="67"/>
      <c r="K36" s="67"/>
      <c r="L36" s="67"/>
      <c r="M36" s="67"/>
      <c r="N36" s="30">
        <f t="shared" si="12"/>
        <v>0</v>
      </c>
      <c r="O36" s="30">
        <f t="shared" si="13"/>
        <v>0</v>
      </c>
    </row>
    <row r="37" spans="1:15" s="30" customFormat="1" x14ac:dyDescent="0.25">
      <c r="A37" s="26">
        <v>4</v>
      </c>
      <c r="B37" s="66" t="s">
        <v>114</v>
      </c>
      <c r="C37" s="67"/>
      <c r="D37" s="68">
        <f t="shared" si="14"/>
        <v>0</v>
      </c>
      <c r="E37" s="67"/>
      <c r="F37" s="67"/>
      <c r="G37" s="67"/>
      <c r="H37" s="67"/>
      <c r="I37" s="67"/>
      <c r="J37" s="67"/>
      <c r="K37" s="67"/>
      <c r="L37" s="67"/>
      <c r="M37" s="67"/>
      <c r="N37" s="30">
        <f t="shared" si="12"/>
        <v>0</v>
      </c>
      <c r="O37" s="30">
        <f t="shared" si="13"/>
        <v>0</v>
      </c>
    </row>
    <row r="38" spans="1:15" s="30" customFormat="1" x14ac:dyDescent="0.25">
      <c r="A38" s="26">
        <v>5</v>
      </c>
      <c r="B38" s="66" t="s">
        <v>115</v>
      </c>
      <c r="C38" s="67"/>
      <c r="D38" s="68">
        <f t="shared" si="14"/>
        <v>0</v>
      </c>
      <c r="E38" s="67"/>
      <c r="F38" s="67"/>
      <c r="G38" s="67"/>
      <c r="H38" s="67"/>
      <c r="I38" s="67"/>
      <c r="J38" s="67"/>
      <c r="K38" s="67"/>
      <c r="L38" s="67"/>
      <c r="M38" s="67"/>
      <c r="N38" s="30">
        <f t="shared" si="12"/>
        <v>0</v>
      </c>
      <c r="O38" s="30">
        <f t="shared" si="13"/>
        <v>0</v>
      </c>
    </row>
    <row r="39" spans="1:15" x14ac:dyDescent="0.25">
      <c r="A39" s="26">
        <v>6</v>
      </c>
      <c r="B39" s="66" t="s">
        <v>116</v>
      </c>
      <c r="C39" s="67"/>
      <c r="D39" s="68">
        <f t="shared" si="14"/>
        <v>0</v>
      </c>
      <c r="E39" s="67"/>
      <c r="F39" s="67"/>
      <c r="G39" s="67"/>
      <c r="H39" s="67"/>
      <c r="I39" s="67"/>
      <c r="J39" s="67"/>
      <c r="K39" s="67"/>
      <c r="L39" s="67"/>
      <c r="M39" s="67"/>
      <c r="N39" s="30">
        <f t="shared" si="12"/>
        <v>0</v>
      </c>
      <c r="O39" s="30">
        <f t="shared" si="13"/>
        <v>0</v>
      </c>
    </row>
    <row r="40" spans="1:15" x14ac:dyDescent="0.25">
      <c r="A40" s="26">
        <v>7</v>
      </c>
      <c r="B40" s="66" t="s">
        <v>117</v>
      </c>
      <c r="C40" s="67"/>
      <c r="D40" s="68">
        <f t="shared" ref="D40:D46" si="15">C40*SUM(E40:M40)*8</f>
        <v>0</v>
      </c>
      <c r="E40" s="67"/>
      <c r="F40" s="67"/>
      <c r="G40" s="67"/>
      <c r="H40" s="67"/>
      <c r="I40" s="67"/>
      <c r="J40" s="67"/>
      <c r="K40" s="67"/>
      <c r="L40" s="67"/>
      <c r="M40" s="67"/>
      <c r="N40" s="30">
        <f t="shared" ref="N40:N46" si="16">SUMPRODUCT(E40:M40,$E$10:$M$10)*C40*8</f>
        <v>0</v>
      </c>
      <c r="O40" s="30">
        <f t="shared" ref="O40:O46" si="17">SUMPRODUCT(E40:M40,$E$9:$M$9)*C40*8</f>
        <v>0</v>
      </c>
    </row>
    <row r="41" spans="1:15" x14ac:dyDescent="0.25">
      <c r="A41" s="26">
        <v>8</v>
      </c>
      <c r="B41" s="66" t="s">
        <v>118</v>
      </c>
      <c r="C41" s="67"/>
      <c r="D41" s="68">
        <f t="shared" si="15"/>
        <v>0</v>
      </c>
      <c r="E41" s="67"/>
      <c r="F41" s="67"/>
      <c r="G41" s="67"/>
      <c r="H41" s="67"/>
      <c r="I41" s="67"/>
      <c r="J41" s="67"/>
      <c r="K41" s="67"/>
      <c r="L41" s="67"/>
      <c r="M41" s="67"/>
      <c r="N41" s="30">
        <f t="shared" si="16"/>
        <v>0</v>
      </c>
      <c r="O41" s="30">
        <f t="shared" si="17"/>
        <v>0</v>
      </c>
    </row>
    <row r="42" spans="1:15" x14ac:dyDescent="0.25">
      <c r="A42" s="26">
        <v>9</v>
      </c>
      <c r="B42" s="66" t="s">
        <v>119</v>
      </c>
      <c r="C42" s="67"/>
      <c r="D42" s="68">
        <f t="shared" si="15"/>
        <v>0</v>
      </c>
      <c r="E42" s="67"/>
      <c r="F42" s="67"/>
      <c r="G42" s="67"/>
      <c r="H42" s="67"/>
      <c r="I42" s="67"/>
      <c r="J42" s="67"/>
      <c r="K42" s="67"/>
      <c r="L42" s="67"/>
      <c r="M42" s="67"/>
      <c r="N42" s="30">
        <f t="shared" si="16"/>
        <v>0</v>
      </c>
      <c r="O42" s="30">
        <f t="shared" si="17"/>
        <v>0</v>
      </c>
    </row>
    <row r="43" spans="1:15" x14ac:dyDescent="0.25">
      <c r="A43" s="26">
        <v>10</v>
      </c>
      <c r="B43" s="66" t="s">
        <v>146</v>
      </c>
      <c r="C43" s="67"/>
      <c r="D43" s="68">
        <f t="shared" si="15"/>
        <v>0</v>
      </c>
      <c r="E43" s="67"/>
      <c r="F43" s="67"/>
      <c r="G43" s="67"/>
      <c r="H43" s="67"/>
      <c r="I43" s="67"/>
      <c r="J43" s="67"/>
      <c r="K43" s="67"/>
      <c r="L43" s="67"/>
      <c r="M43" s="67"/>
      <c r="N43" s="30">
        <f t="shared" si="16"/>
        <v>0</v>
      </c>
      <c r="O43" s="30">
        <f t="shared" si="17"/>
        <v>0</v>
      </c>
    </row>
    <row r="44" spans="1:15" x14ac:dyDescent="0.25">
      <c r="A44" s="26">
        <v>11</v>
      </c>
      <c r="B44" s="66" t="s">
        <v>147</v>
      </c>
      <c r="C44" s="67"/>
      <c r="D44" s="68">
        <f t="shared" si="15"/>
        <v>0</v>
      </c>
      <c r="E44" s="67"/>
      <c r="F44" s="67"/>
      <c r="G44" s="67"/>
      <c r="H44" s="67"/>
      <c r="I44" s="67"/>
      <c r="J44" s="67"/>
      <c r="K44" s="67"/>
      <c r="L44" s="67"/>
      <c r="M44" s="67"/>
      <c r="N44" s="30">
        <f t="shared" si="16"/>
        <v>0</v>
      </c>
      <c r="O44" s="30">
        <f t="shared" si="17"/>
        <v>0</v>
      </c>
    </row>
    <row r="45" spans="1:15" x14ac:dyDescent="0.25">
      <c r="A45" s="26">
        <v>12</v>
      </c>
      <c r="B45" s="66" t="s">
        <v>148</v>
      </c>
      <c r="C45" s="67"/>
      <c r="D45" s="68">
        <f t="shared" si="15"/>
        <v>0</v>
      </c>
      <c r="E45" s="67"/>
      <c r="F45" s="67"/>
      <c r="G45" s="67"/>
      <c r="H45" s="67"/>
      <c r="I45" s="67"/>
      <c r="J45" s="67"/>
      <c r="K45" s="67"/>
      <c r="L45" s="67"/>
      <c r="M45" s="67"/>
      <c r="N45" s="30">
        <f t="shared" si="16"/>
        <v>0</v>
      </c>
      <c r="O45" s="30">
        <f t="shared" si="17"/>
        <v>0</v>
      </c>
    </row>
    <row r="46" spans="1:15" x14ac:dyDescent="0.25">
      <c r="A46" s="26">
        <v>13</v>
      </c>
      <c r="B46" s="66" t="s">
        <v>149</v>
      </c>
      <c r="C46" s="67"/>
      <c r="D46" s="68">
        <f t="shared" si="15"/>
        <v>0</v>
      </c>
      <c r="E46" s="67"/>
      <c r="F46" s="67"/>
      <c r="G46" s="67"/>
      <c r="H46" s="67"/>
      <c r="I46" s="67"/>
      <c r="J46" s="67"/>
      <c r="K46" s="67"/>
      <c r="L46" s="67"/>
      <c r="M46" s="67"/>
      <c r="N46" s="30">
        <f t="shared" si="16"/>
        <v>0</v>
      </c>
      <c r="O46" s="30">
        <f t="shared" si="17"/>
        <v>0</v>
      </c>
    </row>
    <row r="47" spans="1:15" x14ac:dyDescent="0.25">
      <c r="A47" s="26">
        <v>14</v>
      </c>
      <c r="B47" s="66" t="s">
        <v>150</v>
      </c>
      <c r="C47" s="67"/>
      <c r="D47" s="68">
        <f t="shared" ref="D47:D48" si="18">C47*SUM(E47:M47)*8</f>
        <v>0</v>
      </c>
      <c r="E47" s="67"/>
      <c r="F47" s="67"/>
      <c r="G47" s="67"/>
      <c r="H47" s="67"/>
      <c r="I47" s="67"/>
      <c r="J47" s="67"/>
      <c r="K47" s="67"/>
      <c r="L47" s="67"/>
      <c r="M47" s="67"/>
      <c r="N47" s="30">
        <f t="shared" ref="N47:N48" si="19">SUMPRODUCT(E47:M47,$E$10:$M$10)*C47*8</f>
        <v>0</v>
      </c>
      <c r="O47" s="30">
        <f t="shared" ref="O47:O48" si="20">SUMPRODUCT(E47:M47,$E$9:$M$9)*C47*8</f>
        <v>0</v>
      </c>
    </row>
    <row r="48" spans="1:15" x14ac:dyDescent="0.25">
      <c r="A48" s="26">
        <v>15</v>
      </c>
      <c r="B48" s="66" t="s">
        <v>151</v>
      </c>
      <c r="C48" s="67"/>
      <c r="D48" s="68">
        <f t="shared" si="18"/>
        <v>0</v>
      </c>
      <c r="E48" s="67"/>
      <c r="F48" s="67"/>
      <c r="G48" s="67"/>
      <c r="H48" s="67"/>
      <c r="I48" s="67"/>
      <c r="J48" s="67"/>
      <c r="K48" s="67"/>
      <c r="L48" s="67"/>
      <c r="M48" s="67"/>
      <c r="N48" s="30">
        <f t="shared" si="19"/>
        <v>0</v>
      </c>
      <c r="O48" s="30">
        <f t="shared" si="20"/>
        <v>0</v>
      </c>
    </row>
    <row r="49" spans="1:15" s="35" customFormat="1" x14ac:dyDescent="0.25">
      <c r="A49" s="26"/>
      <c r="B49" s="27"/>
      <c r="C49" s="27"/>
      <c r="D49" s="83"/>
      <c r="E49" s="27"/>
      <c r="F49" s="27"/>
      <c r="G49" s="27"/>
      <c r="H49" s="27"/>
      <c r="I49" s="27"/>
      <c r="J49" s="27"/>
      <c r="K49" s="27"/>
      <c r="L49" s="27"/>
      <c r="M49" s="27"/>
      <c r="N49" s="27"/>
      <c r="O49" s="27"/>
    </row>
    <row r="50" spans="1:15" x14ac:dyDescent="0.25">
      <c r="A50" s="26" t="s">
        <v>131</v>
      </c>
      <c r="C50" s="29" t="s">
        <v>91</v>
      </c>
      <c r="D50" s="87">
        <f>SUBTOTAL(9,D51:D65)</f>
        <v>0</v>
      </c>
      <c r="N50" s="85">
        <f>SUBTOTAL(9,N51:N65)</f>
        <v>0</v>
      </c>
      <c r="O50" s="85">
        <f>SUBTOTAL(9,O51:O65)</f>
        <v>0</v>
      </c>
    </row>
    <row r="51" spans="1:15" x14ac:dyDescent="0.25">
      <c r="A51" s="26">
        <v>1</v>
      </c>
      <c r="B51" s="66" t="s">
        <v>87</v>
      </c>
      <c r="C51" s="67"/>
      <c r="D51" s="68">
        <f>C51*SUM(E51:M51)*8.8</f>
        <v>0</v>
      </c>
      <c r="E51" s="67"/>
      <c r="F51" s="67"/>
      <c r="G51" s="67"/>
      <c r="H51" s="67"/>
      <c r="I51" s="67"/>
      <c r="J51" s="67"/>
      <c r="K51" s="67"/>
      <c r="L51" s="67"/>
      <c r="M51" s="67"/>
      <c r="N51" s="30">
        <f>SUMPRODUCT(E51:M51,$E$10:$M$10)*C51*8.8</f>
        <v>0</v>
      </c>
      <c r="O51" s="30">
        <f>SUMPRODUCT(E51:M51,$E$9:$M$9)*C51*8.8</f>
        <v>0</v>
      </c>
    </row>
    <row r="52" spans="1:15" x14ac:dyDescent="0.25">
      <c r="A52" s="26">
        <v>2</v>
      </c>
      <c r="B52" s="66" t="s">
        <v>88</v>
      </c>
      <c r="C52" s="67"/>
      <c r="D52" s="68">
        <f t="shared" ref="D52:D65" si="21">C52*SUM(E52:M52)*8.8</f>
        <v>0</v>
      </c>
      <c r="E52" s="67"/>
      <c r="F52" s="67"/>
      <c r="G52" s="67"/>
      <c r="H52" s="67"/>
      <c r="I52" s="67"/>
      <c r="J52" s="67"/>
      <c r="K52" s="67"/>
      <c r="L52" s="67"/>
      <c r="M52" s="67"/>
      <c r="N52" s="30">
        <f t="shared" ref="N52:N64" si="22">SUMPRODUCT(E52:M52,$E$10:$M$10)*C52*8.8</f>
        <v>0</v>
      </c>
      <c r="O52" s="30">
        <f t="shared" ref="O52:O64" si="23">SUMPRODUCT(E52:M52,$E$9:$M$9)*C52*8.8</f>
        <v>0</v>
      </c>
    </row>
    <row r="53" spans="1:15" x14ac:dyDescent="0.25">
      <c r="A53" s="26">
        <v>3</v>
      </c>
      <c r="B53" s="66" t="s">
        <v>113</v>
      </c>
      <c r="C53" s="67"/>
      <c r="D53" s="68">
        <f t="shared" si="21"/>
        <v>0</v>
      </c>
      <c r="E53" s="67"/>
      <c r="F53" s="67"/>
      <c r="G53" s="67"/>
      <c r="H53" s="67"/>
      <c r="I53" s="67"/>
      <c r="J53" s="67"/>
      <c r="K53" s="67"/>
      <c r="L53" s="67"/>
      <c r="M53" s="67"/>
      <c r="N53" s="30">
        <f t="shared" si="22"/>
        <v>0</v>
      </c>
      <c r="O53" s="30">
        <f t="shared" si="23"/>
        <v>0</v>
      </c>
    </row>
    <row r="54" spans="1:15" x14ac:dyDescent="0.25">
      <c r="A54" s="26">
        <v>4</v>
      </c>
      <c r="B54" s="66" t="s">
        <v>114</v>
      </c>
      <c r="C54" s="67"/>
      <c r="D54" s="68">
        <f t="shared" si="21"/>
        <v>0</v>
      </c>
      <c r="E54" s="67"/>
      <c r="F54" s="67"/>
      <c r="G54" s="67"/>
      <c r="H54" s="67"/>
      <c r="I54" s="67"/>
      <c r="J54" s="67"/>
      <c r="K54" s="67"/>
      <c r="L54" s="67"/>
      <c r="M54" s="67"/>
      <c r="N54" s="30">
        <f t="shared" si="22"/>
        <v>0</v>
      </c>
      <c r="O54" s="30">
        <f t="shared" si="23"/>
        <v>0</v>
      </c>
    </row>
    <row r="55" spans="1:15" x14ac:dyDescent="0.25">
      <c r="A55" s="26">
        <v>5</v>
      </c>
      <c r="B55" s="66" t="s">
        <v>115</v>
      </c>
      <c r="C55" s="67"/>
      <c r="D55" s="68">
        <f t="shared" si="21"/>
        <v>0</v>
      </c>
      <c r="E55" s="67"/>
      <c r="F55" s="67"/>
      <c r="G55" s="67"/>
      <c r="H55" s="67"/>
      <c r="I55" s="67"/>
      <c r="J55" s="67"/>
      <c r="K55" s="67"/>
      <c r="L55" s="67"/>
      <c r="M55" s="67"/>
      <c r="N55" s="30">
        <f t="shared" si="22"/>
        <v>0</v>
      </c>
      <c r="O55" s="30">
        <f t="shared" si="23"/>
        <v>0</v>
      </c>
    </row>
    <row r="56" spans="1:15" x14ac:dyDescent="0.25">
      <c r="A56" s="26">
        <v>6</v>
      </c>
      <c r="B56" s="66" t="s">
        <v>116</v>
      </c>
      <c r="C56" s="67"/>
      <c r="D56" s="68">
        <f t="shared" si="21"/>
        <v>0</v>
      </c>
      <c r="E56" s="67"/>
      <c r="F56" s="67"/>
      <c r="G56" s="67"/>
      <c r="H56" s="67"/>
      <c r="I56" s="67"/>
      <c r="J56" s="67"/>
      <c r="K56" s="67"/>
      <c r="L56" s="67"/>
      <c r="M56" s="67"/>
      <c r="N56" s="30">
        <f t="shared" si="22"/>
        <v>0</v>
      </c>
      <c r="O56" s="30">
        <f t="shared" si="23"/>
        <v>0</v>
      </c>
    </row>
    <row r="57" spans="1:15" x14ac:dyDescent="0.25">
      <c r="A57" s="26">
        <v>7</v>
      </c>
      <c r="B57" s="66" t="s">
        <v>117</v>
      </c>
      <c r="C57" s="67"/>
      <c r="D57" s="68">
        <f t="shared" si="21"/>
        <v>0</v>
      </c>
      <c r="E57" s="67"/>
      <c r="F57" s="67"/>
      <c r="G57" s="67"/>
      <c r="H57" s="67"/>
      <c r="I57" s="67"/>
      <c r="J57" s="67"/>
      <c r="K57" s="67"/>
      <c r="L57" s="67"/>
      <c r="M57" s="67"/>
      <c r="N57" s="30">
        <f t="shared" si="22"/>
        <v>0</v>
      </c>
      <c r="O57" s="30">
        <f t="shared" si="23"/>
        <v>0</v>
      </c>
    </row>
    <row r="58" spans="1:15" x14ac:dyDescent="0.25">
      <c r="A58" s="26">
        <v>8</v>
      </c>
      <c r="B58" s="66" t="s">
        <v>118</v>
      </c>
      <c r="C58" s="67"/>
      <c r="D58" s="68">
        <f t="shared" si="21"/>
        <v>0</v>
      </c>
      <c r="E58" s="67"/>
      <c r="F58" s="67"/>
      <c r="G58" s="67"/>
      <c r="H58" s="67"/>
      <c r="I58" s="67"/>
      <c r="J58" s="67"/>
      <c r="K58" s="67"/>
      <c r="L58" s="67"/>
      <c r="M58" s="67"/>
      <c r="N58" s="30">
        <f t="shared" si="22"/>
        <v>0</v>
      </c>
      <c r="O58" s="30">
        <f t="shared" si="23"/>
        <v>0</v>
      </c>
    </row>
    <row r="59" spans="1:15" x14ac:dyDescent="0.25">
      <c r="A59" s="26">
        <v>9</v>
      </c>
      <c r="B59" s="66" t="s">
        <v>119</v>
      </c>
      <c r="C59" s="67"/>
      <c r="D59" s="68">
        <f t="shared" si="21"/>
        <v>0</v>
      </c>
      <c r="E59" s="67"/>
      <c r="F59" s="67"/>
      <c r="G59" s="67"/>
      <c r="H59" s="67"/>
      <c r="I59" s="67"/>
      <c r="J59" s="67"/>
      <c r="K59" s="67"/>
      <c r="L59" s="67"/>
      <c r="M59" s="67"/>
      <c r="N59" s="30">
        <f t="shared" si="22"/>
        <v>0</v>
      </c>
      <c r="O59" s="30">
        <f t="shared" si="23"/>
        <v>0</v>
      </c>
    </row>
    <row r="60" spans="1:15" x14ac:dyDescent="0.25">
      <c r="A60" s="26">
        <v>10</v>
      </c>
      <c r="B60" s="66" t="s">
        <v>146</v>
      </c>
      <c r="C60" s="67"/>
      <c r="D60" s="68">
        <f t="shared" si="21"/>
        <v>0</v>
      </c>
      <c r="E60" s="67"/>
      <c r="F60" s="67"/>
      <c r="G60" s="67"/>
      <c r="H60" s="67"/>
      <c r="I60" s="67"/>
      <c r="J60" s="67"/>
      <c r="K60" s="67"/>
      <c r="L60" s="67"/>
      <c r="M60" s="67"/>
      <c r="N60" s="30">
        <f t="shared" si="22"/>
        <v>0</v>
      </c>
      <c r="O60" s="30">
        <f t="shared" si="23"/>
        <v>0</v>
      </c>
    </row>
    <row r="61" spans="1:15" x14ac:dyDescent="0.25">
      <c r="A61" s="26">
        <v>11</v>
      </c>
      <c r="B61" s="66" t="s">
        <v>147</v>
      </c>
      <c r="C61" s="67"/>
      <c r="D61" s="68">
        <f t="shared" si="21"/>
        <v>0</v>
      </c>
      <c r="E61" s="67"/>
      <c r="F61" s="67"/>
      <c r="G61" s="67"/>
      <c r="H61" s="67"/>
      <c r="I61" s="67"/>
      <c r="J61" s="67"/>
      <c r="K61" s="67"/>
      <c r="L61" s="67"/>
      <c r="M61" s="67"/>
      <c r="N61" s="30">
        <f t="shared" si="22"/>
        <v>0</v>
      </c>
      <c r="O61" s="30">
        <f t="shared" si="23"/>
        <v>0</v>
      </c>
    </row>
    <row r="62" spans="1:15" x14ac:dyDescent="0.25">
      <c r="A62" s="26">
        <v>12</v>
      </c>
      <c r="B62" s="66" t="s">
        <v>148</v>
      </c>
      <c r="C62" s="67"/>
      <c r="D62" s="68">
        <f t="shared" si="21"/>
        <v>0</v>
      </c>
      <c r="E62" s="67"/>
      <c r="F62" s="67"/>
      <c r="G62" s="67"/>
      <c r="H62" s="67"/>
      <c r="I62" s="67"/>
      <c r="J62" s="67"/>
      <c r="K62" s="67"/>
      <c r="L62" s="67"/>
      <c r="M62" s="67"/>
      <c r="N62" s="30">
        <f t="shared" si="22"/>
        <v>0</v>
      </c>
      <c r="O62" s="30">
        <f t="shared" si="23"/>
        <v>0</v>
      </c>
    </row>
    <row r="63" spans="1:15" x14ac:dyDescent="0.25">
      <c r="A63" s="26">
        <v>13</v>
      </c>
      <c r="B63" s="66" t="s">
        <v>149</v>
      </c>
      <c r="C63" s="67"/>
      <c r="D63" s="68">
        <f t="shared" si="21"/>
        <v>0</v>
      </c>
      <c r="E63" s="67"/>
      <c r="F63" s="67"/>
      <c r="G63" s="67"/>
      <c r="H63" s="67"/>
      <c r="I63" s="67"/>
      <c r="J63" s="67"/>
      <c r="K63" s="67"/>
      <c r="L63" s="67"/>
      <c r="M63" s="67"/>
      <c r="N63" s="30">
        <f t="shared" si="22"/>
        <v>0</v>
      </c>
      <c r="O63" s="30">
        <f t="shared" si="23"/>
        <v>0</v>
      </c>
    </row>
    <row r="64" spans="1:15" x14ac:dyDescent="0.25">
      <c r="A64" s="26">
        <v>14</v>
      </c>
      <c r="B64" s="66" t="s">
        <v>150</v>
      </c>
      <c r="C64" s="67"/>
      <c r="D64" s="68">
        <f t="shared" si="21"/>
        <v>0</v>
      </c>
      <c r="E64" s="67"/>
      <c r="F64" s="67"/>
      <c r="G64" s="67"/>
      <c r="H64" s="67"/>
      <c r="I64" s="67"/>
      <c r="J64" s="67"/>
      <c r="K64" s="67"/>
      <c r="L64" s="67"/>
      <c r="M64" s="67"/>
      <c r="N64" s="30">
        <f t="shared" si="22"/>
        <v>0</v>
      </c>
      <c r="O64" s="30">
        <f t="shared" si="23"/>
        <v>0</v>
      </c>
    </row>
    <row r="65" spans="1:15" x14ac:dyDescent="0.25">
      <c r="A65" s="26">
        <v>15</v>
      </c>
      <c r="B65" s="66" t="s">
        <v>151</v>
      </c>
      <c r="C65" s="67"/>
      <c r="D65" s="68">
        <f t="shared" si="21"/>
        <v>0</v>
      </c>
      <c r="E65" s="67"/>
      <c r="F65" s="67"/>
      <c r="G65" s="67"/>
      <c r="H65" s="67"/>
      <c r="I65" s="67"/>
      <c r="J65" s="67"/>
      <c r="K65" s="67"/>
      <c r="L65" s="67"/>
      <c r="M65" s="67"/>
      <c r="N65" s="30">
        <f>SUMPRODUCT(E65:M65,$E$10:$M$10)*C65*8.8</f>
        <v>0</v>
      </c>
      <c r="O65" s="30">
        <f>SUMPRODUCT(E65:M65,$E$9:$M$9)*C65*8.8</f>
        <v>0</v>
      </c>
    </row>
    <row r="66" spans="1:15" x14ac:dyDescent="0.25">
      <c r="C66" s="68"/>
      <c r="E66" s="68"/>
      <c r="F66" s="68"/>
    </row>
    <row r="67" spans="1:15" x14ac:dyDescent="0.25">
      <c r="A67" s="494" t="s">
        <v>998</v>
      </c>
      <c r="B67" s="443"/>
      <c r="C67" s="495"/>
      <c r="D67" s="495"/>
      <c r="E67" s="495"/>
      <c r="F67" s="495"/>
      <c r="G67" s="496"/>
      <c r="H67" s="496"/>
      <c r="I67" s="496"/>
      <c r="J67" s="496"/>
      <c r="K67" s="496"/>
      <c r="L67" s="496"/>
      <c r="M67" s="496"/>
      <c r="N67" s="85">
        <f>SUBTOTAL(9,N68:N70)</f>
        <v>0</v>
      </c>
      <c r="O67" s="85">
        <f>SUBTOTAL(9,O68:O70)</f>
        <v>0</v>
      </c>
    </row>
    <row r="68" spans="1:15" x14ac:dyDescent="0.25">
      <c r="A68" s="26">
        <v>1</v>
      </c>
      <c r="B68" s="27" t="str">
        <f>B60</f>
        <v>Atividade 10</v>
      </c>
      <c r="C68" s="90"/>
      <c r="E68" s="89"/>
      <c r="F68" s="89"/>
      <c r="G68" s="67"/>
      <c r="H68" s="67"/>
      <c r="I68" s="67"/>
      <c r="J68" s="67"/>
      <c r="K68" s="67"/>
      <c r="L68" s="67"/>
      <c r="M68" s="67"/>
      <c r="N68" s="30">
        <f t="shared" ref="N68:N70" si="24">SUMPRODUCT($E68:$M68,$E$10:$M$10)*$C68*8.8</f>
        <v>0</v>
      </c>
      <c r="O68" s="30">
        <f t="shared" ref="O68:O70" si="25">SUMPRODUCT(E68:M68,$E$9:$M$9)*$C68*8.8</f>
        <v>0</v>
      </c>
    </row>
    <row r="69" spans="1:15" x14ac:dyDescent="0.25">
      <c r="A69" s="26">
        <v>2</v>
      </c>
      <c r="B69" s="27" t="str">
        <f t="shared" ref="B69:B70" si="26">B61</f>
        <v>Atividade 11</v>
      </c>
      <c r="C69" s="90"/>
      <c r="E69" s="89"/>
      <c r="F69" s="89"/>
      <c r="G69" s="67"/>
      <c r="H69" s="67"/>
      <c r="I69" s="67"/>
      <c r="J69" s="67"/>
      <c r="K69" s="67"/>
      <c r="L69" s="67"/>
      <c r="M69" s="67"/>
      <c r="N69" s="30">
        <f t="shared" si="24"/>
        <v>0</v>
      </c>
      <c r="O69" s="30">
        <f t="shared" si="25"/>
        <v>0</v>
      </c>
    </row>
    <row r="70" spans="1:15" x14ac:dyDescent="0.25">
      <c r="A70" s="26">
        <v>3</v>
      </c>
      <c r="B70" s="27" t="str">
        <f t="shared" si="26"/>
        <v>Atividade 12</v>
      </c>
      <c r="C70" s="90"/>
      <c r="E70" s="89"/>
      <c r="F70" s="89"/>
      <c r="G70" s="67"/>
      <c r="H70" s="67"/>
      <c r="I70" s="67"/>
      <c r="J70" s="67"/>
      <c r="K70" s="67"/>
      <c r="L70" s="67"/>
      <c r="M70" s="67"/>
      <c r="N70" s="30">
        <f t="shared" si="24"/>
        <v>0</v>
      </c>
      <c r="O70" s="30">
        <f t="shared" si="25"/>
        <v>0</v>
      </c>
    </row>
    <row r="71" spans="1:15" s="32" customFormat="1" ht="13.8" thickBot="1" x14ac:dyDescent="0.3">
      <c r="A71" s="31"/>
      <c r="C71" s="33"/>
      <c r="D71" s="82"/>
      <c r="E71" s="33"/>
      <c r="F71" s="33"/>
      <c r="G71" s="33"/>
      <c r="H71" s="33"/>
      <c r="I71" s="33"/>
      <c r="J71" s="33"/>
      <c r="K71" s="33"/>
      <c r="L71" s="33"/>
      <c r="M71" s="33"/>
      <c r="N71" s="34"/>
      <c r="O71" s="34"/>
    </row>
    <row r="72" spans="1:15" ht="13.8" thickBot="1" x14ac:dyDescent="0.3">
      <c r="C72" s="69" t="s">
        <v>91</v>
      </c>
      <c r="D72" s="69" t="s">
        <v>152</v>
      </c>
      <c r="E72" s="69" t="s">
        <v>127</v>
      </c>
      <c r="F72" s="69" t="s">
        <v>120</v>
      </c>
      <c r="G72" s="69" t="s">
        <v>102</v>
      </c>
      <c r="H72" s="29" t="s">
        <v>121</v>
      </c>
      <c r="I72" s="35" t="s">
        <v>122</v>
      </c>
      <c r="J72" s="29" t="s">
        <v>123</v>
      </c>
      <c r="K72" s="29" t="s">
        <v>124</v>
      </c>
      <c r="L72" s="29" t="s">
        <v>106</v>
      </c>
      <c r="M72" s="29" t="s">
        <v>125</v>
      </c>
      <c r="N72" s="36" t="s">
        <v>108</v>
      </c>
      <c r="O72" s="36" t="s">
        <v>109</v>
      </c>
    </row>
    <row r="73" spans="1:15" x14ac:dyDescent="0.25">
      <c r="B73" s="92" t="s">
        <v>39</v>
      </c>
      <c r="C73" s="68"/>
      <c r="E73" s="68"/>
      <c r="F73" s="68">
        <f>'Comece aqui! ; )'!$C$39</f>
        <v>1200</v>
      </c>
      <c r="G73" s="68">
        <f>'Comece aqui! ; )'!$C$40</f>
        <v>240</v>
      </c>
      <c r="H73" s="68">
        <f>'Comece aqui! ; )'!$C$41</f>
        <v>130</v>
      </c>
      <c r="I73" s="68">
        <v>3000</v>
      </c>
      <c r="J73" s="68">
        <f>'Comece aqui! ; )'!$C$43</f>
        <v>40</v>
      </c>
      <c r="K73" s="68">
        <f>'Comece aqui! ; )'!$C$44</f>
        <v>80</v>
      </c>
      <c r="L73" s="68">
        <f>'Comece aqui! ; )'!$C$45</f>
        <v>120</v>
      </c>
      <c r="M73" s="68">
        <f>'Comece aqui! ; )'!$C$46</f>
        <v>7</v>
      </c>
      <c r="N73" s="48"/>
      <c r="O73" s="49"/>
    </row>
    <row r="74" spans="1:15" s="35" customFormat="1" x14ac:dyDescent="0.25">
      <c r="A74" s="26"/>
      <c r="B74" s="93" t="s">
        <v>40</v>
      </c>
      <c r="C74" s="69"/>
      <c r="D74" s="69"/>
      <c r="E74" s="69"/>
      <c r="F74" s="69">
        <f>F73/(1-$C$11-$C$13)</f>
        <v>1791.0447761194032</v>
      </c>
      <c r="G74" s="69">
        <f t="shared" ref="G74:M74" si="27">G73/(1-$C$11-$C$13)</f>
        <v>358.20895522388065</v>
      </c>
      <c r="H74" s="69">
        <f t="shared" si="27"/>
        <v>194.02985074626866</v>
      </c>
      <c r="I74" s="69">
        <f t="shared" si="27"/>
        <v>4477.6119402985078</v>
      </c>
      <c r="J74" s="69">
        <f t="shared" si="27"/>
        <v>59.701492537313442</v>
      </c>
      <c r="K74" s="69">
        <f t="shared" si="27"/>
        <v>119.40298507462688</v>
      </c>
      <c r="L74" s="69">
        <f t="shared" si="27"/>
        <v>179.10447761194033</v>
      </c>
      <c r="M74" s="69">
        <f t="shared" si="27"/>
        <v>10.447761194029852</v>
      </c>
      <c r="N74" s="52">
        <f>SUBTOTAL(9,N79:N93)</f>
        <v>0</v>
      </c>
      <c r="O74" s="53">
        <f>SUBTOTAL(9,O79:O93)</f>
        <v>0</v>
      </c>
    </row>
    <row r="75" spans="1:15" ht="15" customHeight="1" thickBot="1" x14ac:dyDescent="0.3">
      <c r="C75" s="658" t="s">
        <v>156</v>
      </c>
      <c r="D75" s="658" t="s">
        <v>155</v>
      </c>
      <c r="E75" s="658" t="s">
        <v>157</v>
      </c>
      <c r="F75" s="658"/>
      <c r="G75" s="68"/>
      <c r="I75" s="658" t="s">
        <v>153</v>
      </c>
      <c r="J75" s="658" t="s">
        <v>158</v>
      </c>
      <c r="M75" s="658" t="s">
        <v>154</v>
      </c>
      <c r="N75" s="56"/>
      <c r="O75" s="57"/>
    </row>
    <row r="76" spans="1:15" ht="13.2" customHeight="1" x14ac:dyDescent="0.25">
      <c r="C76" s="658"/>
      <c r="D76" s="658"/>
      <c r="E76" s="658"/>
      <c r="F76" s="658"/>
      <c r="G76" s="68"/>
      <c r="I76" s="658"/>
      <c r="J76" s="658"/>
      <c r="M76" s="658"/>
      <c r="N76" s="28"/>
      <c r="O76" s="28"/>
    </row>
    <row r="77" spans="1:15" x14ac:dyDescent="0.25">
      <c r="C77" s="658"/>
      <c r="D77" s="658"/>
      <c r="E77" s="658"/>
      <c r="F77" s="658"/>
      <c r="G77" s="68"/>
      <c r="I77" s="658"/>
      <c r="J77" s="658"/>
      <c r="M77" s="658"/>
      <c r="N77" s="28"/>
      <c r="O77" s="28"/>
    </row>
    <row r="78" spans="1:15" s="30" customFormat="1" x14ac:dyDescent="0.25">
      <c r="A78" s="26" t="s">
        <v>127</v>
      </c>
      <c r="B78" s="27"/>
      <c r="C78" s="659"/>
      <c r="D78" s="659"/>
      <c r="E78" s="659"/>
      <c r="F78" s="659"/>
      <c r="G78" s="68"/>
      <c r="H78" s="28"/>
      <c r="I78" s="659"/>
      <c r="J78" s="659"/>
      <c r="K78" s="28"/>
      <c r="L78" s="28"/>
      <c r="M78" s="659"/>
      <c r="N78" s="85">
        <f>SUBTOTAL(9,N79:N93)</f>
        <v>0</v>
      </c>
      <c r="O78" s="85">
        <f>SUBTOTAL(9,O79:O93)</f>
        <v>0</v>
      </c>
    </row>
    <row r="79" spans="1:15" s="30" customFormat="1" x14ac:dyDescent="0.25">
      <c r="A79" s="26">
        <v>1</v>
      </c>
      <c r="B79" s="66" t="s">
        <v>87</v>
      </c>
      <c r="C79" s="90"/>
      <c r="D79" s="90"/>
      <c r="E79" s="90"/>
      <c r="F79" s="91">
        <f>D79*E79*2</f>
        <v>0</v>
      </c>
      <c r="G79" s="91">
        <f>$C79*$D79</f>
        <v>0</v>
      </c>
      <c r="H79" s="91">
        <f>C79</f>
        <v>0</v>
      </c>
      <c r="I79" s="90"/>
      <c r="J79" s="91">
        <f>$C79*$D79</f>
        <v>0</v>
      </c>
      <c r="K79" s="91">
        <f>$C79*$D79</f>
        <v>0</v>
      </c>
      <c r="L79" s="91">
        <f>F79</f>
        <v>0</v>
      </c>
      <c r="M79" s="91">
        <f>C79*(80/10)</f>
        <v>0</v>
      </c>
      <c r="N79" s="30">
        <f>SUMPRODUCT(F79:M79,$F$73:$M$73)</f>
        <v>0</v>
      </c>
      <c r="O79" s="30">
        <f>SUMPRODUCT(F79:M79,$F$74:$M$74)</f>
        <v>0</v>
      </c>
    </row>
    <row r="80" spans="1:15" s="30" customFormat="1" x14ac:dyDescent="0.25">
      <c r="A80" s="26">
        <v>2</v>
      </c>
      <c r="B80" s="66" t="s">
        <v>88</v>
      </c>
      <c r="C80" s="90"/>
      <c r="D80" s="90"/>
      <c r="E80" s="90"/>
      <c r="F80" s="91">
        <f t="shared" ref="F80:F93" si="28">D80*E80*2</f>
        <v>0</v>
      </c>
      <c r="G80" s="91">
        <f t="shared" ref="G80:G93" si="29">$C80*$D80</f>
        <v>0</v>
      </c>
      <c r="H80" s="91">
        <f t="shared" ref="H80:H93" si="30">C80</f>
        <v>0</v>
      </c>
      <c r="I80" s="90"/>
      <c r="J80" s="91">
        <f t="shared" ref="J80:K93" si="31">$C80*$D80</f>
        <v>0</v>
      </c>
      <c r="K80" s="91">
        <f t="shared" si="31"/>
        <v>0</v>
      </c>
      <c r="L80" s="91">
        <f t="shared" ref="L80:L93" si="32">F80</f>
        <v>0</v>
      </c>
      <c r="M80" s="91">
        <f t="shared" ref="M80:M93" si="33">C80*(80/10)</f>
        <v>0</v>
      </c>
      <c r="N80" s="30">
        <f t="shared" ref="N80:N93" si="34">SUMPRODUCT(F80:M80,$F$73:$M$73)</f>
        <v>0</v>
      </c>
      <c r="O80" s="30">
        <f t="shared" ref="O80:O93" si="35">SUMPRODUCT(F80:M80,$F$74:$M$74)</f>
        <v>0</v>
      </c>
    </row>
    <row r="81" spans="1:16" s="30" customFormat="1" x14ac:dyDescent="0.25">
      <c r="A81" s="26">
        <v>3</v>
      </c>
      <c r="B81" s="66" t="s">
        <v>113</v>
      </c>
      <c r="C81" s="90"/>
      <c r="D81" s="90"/>
      <c r="E81" s="90"/>
      <c r="F81" s="91">
        <f t="shared" si="28"/>
        <v>0</v>
      </c>
      <c r="G81" s="91">
        <f t="shared" si="29"/>
        <v>0</v>
      </c>
      <c r="H81" s="91">
        <f t="shared" si="30"/>
        <v>0</v>
      </c>
      <c r="I81" s="90"/>
      <c r="J81" s="91">
        <f t="shared" si="31"/>
        <v>0</v>
      </c>
      <c r="K81" s="91">
        <f t="shared" si="31"/>
        <v>0</v>
      </c>
      <c r="L81" s="91">
        <f t="shared" si="32"/>
        <v>0</v>
      </c>
      <c r="M81" s="91">
        <f t="shared" si="33"/>
        <v>0</v>
      </c>
      <c r="N81" s="30">
        <f t="shared" si="34"/>
        <v>0</v>
      </c>
      <c r="O81" s="30">
        <f t="shared" si="35"/>
        <v>0</v>
      </c>
    </row>
    <row r="82" spans="1:16" s="30" customFormat="1" x14ac:dyDescent="0.25">
      <c r="A82" s="26">
        <v>4</v>
      </c>
      <c r="B82" s="66" t="s">
        <v>114</v>
      </c>
      <c r="C82" s="90"/>
      <c r="D82" s="90"/>
      <c r="E82" s="90"/>
      <c r="F82" s="91">
        <f t="shared" si="28"/>
        <v>0</v>
      </c>
      <c r="G82" s="91">
        <f t="shared" si="29"/>
        <v>0</v>
      </c>
      <c r="H82" s="91">
        <f t="shared" si="30"/>
        <v>0</v>
      </c>
      <c r="I82" s="90"/>
      <c r="J82" s="91">
        <f t="shared" si="31"/>
        <v>0</v>
      </c>
      <c r="K82" s="91">
        <f t="shared" si="31"/>
        <v>0</v>
      </c>
      <c r="L82" s="91">
        <f t="shared" si="32"/>
        <v>0</v>
      </c>
      <c r="M82" s="91">
        <f t="shared" si="33"/>
        <v>0</v>
      </c>
      <c r="N82" s="30">
        <f t="shared" si="34"/>
        <v>0</v>
      </c>
      <c r="O82" s="30">
        <f t="shared" si="35"/>
        <v>0</v>
      </c>
    </row>
    <row r="83" spans="1:16" s="30" customFormat="1" x14ac:dyDescent="0.25">
      <c r="A83" s="26">
        <v>5</v>
      </c>
      <c r="B83" s="66" t="s">
        <v>115</v>
      </c>
      <c r="C83" s="90"/>
      <c r="D83" s="90"/>
      <c r="E83" s="90"/>
      <c r="F83" s="91">
        <f t="shared" si="28"/>
        <v>0</v>
      </c>
      <c r="G83" s="91">
        <f t="shared" si="29"/>
        <v>0</v>
      </c>
      <c r="H83" s="91">
        <f t="shared" si="30"/>
        <v>0</v>
      </c>
      <c r="I83" s="90"/>
      <c r="J83" s="91">
        <f t="shared" si="31"/>
        <v>0</v>
      </c>
      <c r="K83" s="91">
        <f t="shared" si="31"/>
        <v>0</v>
      </c>
      <c r="L83" s="91">
        <f t="shared" si="32"/>
        <v>0</v>
      </c>
      <c r="M83" s="91">
        <f t="shared" si="33"/>
        <v>0</v>
      </c>
      <c r="N83" s="30">
        <f t="shared" si="34"/>
        <v>0</v>
      </c>
      <c r="O83" s="30">
        <f t="shared" si="35"/>
        <v>0</v>
      </c>
    </row>
    <row r="84" spans="1:16" x14ac:dyDescent="0.25">
      <c r="A84" s="26">
        <v>6</v>
      </c>
      <c r="B84" s="66" t="s">
        <v>116</v>
      </c>
      <c r="C84" s="90"/>
      <c r="D84" s="90"/>
      <c r="E84" s="90"/>
      <c r="F84" s="91">
        <f t="shared" si="28"/>
        <v>0</v>
      </c>
      <c r="G84" s="91">
        <f t="shared" si="29"/>
        <v>0</v>
      </c>
      <c r="H84" s="91">
        <f t="shared" si="30"/>
        <v>0</v>
      </c>
      <c r="I84" s="90"/>
      <c r="J84" s="91">
        <f t="shared" si="31"/>
        <v>0</v>
      </c>
      <c r="K84" s="91">
        <f t="shared" si="31"/>
        <v>0</v>
      </c>
      <c r="L84" s="91">
        <f t="shared" si="32"/>
        <v>0</v>
      </c>
      <c r="M84" s="91">
        <f t="shared" si="33"/>
        <v>0</v>
      </c>
      <c r="N84" s="30">
        <f t="shared" si="34"/>
        <v>0</v>
      </c>
      <c r="O84" s="30">
        <f t="shared" si="35"/>
        <v>0</v>
      </c>
    </row>
    <row r="85" spans="1:16" x14ac:dyDescent="0.25">
      <c r="A85" s="26">
        <v>7</v>
      </c>
      <c r="B85" s="66" t="s">
        <v>117</v>
      </c>
      <c r="C85" s="90"/>
      <c r="D85" s="90"/>
      <c r="E85" s="90"/>
      <c r="F85" s="91">
        <f t="shared" si="28"/>
        <v>0</v>
      </c>
      <c r="G85" s="91">
        <f t="shared" si="29"/>
        <v>0</v>
      </c>
      <c r="H85" s="91">
        <f t="shared" si="30"/>
        <v>0</v>
      </c>
      <c r="I85" s="90"/>
      <c r="J85" s="91">
        <f t="shared" si="31"/>
        <v>0</v>
      </c>
      <c r="K85" s="91">
        <f t="shared" si="31"/>
        <v>0</v>
      </c>
      <c r="L85" s="91">
        <f t="shared" si="32"/>
        <v>0</v>
      </c>
      <c r="M85" s="91">
        <f t="shared" si="33"/>
        <v>0</v>
      </c>
      <c r="N85" s="30">
        <f t="shared" si="34"/>
        <v>0</v>
      </c>
      <c r="O85" s="30">
        <f t="shared" si="35"/>
        <v>0</v>
      </c>
    </row>
    <row r="86" spans="1:16" x14ac:dyDescent="0.25">
      <c r="A86" s="26">
        <v>8</v>
      </c>
      <c r="B86" s="66" t="s">
        <v>118</v>
      </c>
      <c r="C86" s="90"/>
      <c r="D86" s="90"/>
      <c r="E86" s="90"/>
      <c r="F86" s="91">
        <f t="shared" si="28"/>
        <v>0</v>
      </c>
      <c r="G86" s="91">
        <f t="shared" si="29"/>
        <v>0</v>
      </c>
      <c r="H86" s="91">
        <f t="shared" si="30"/>
        <v>0</v>
      </c>
      <c r="I86" s="90"/>
      <c r="J86" s="91">
        <f t="shared" si="31"/>
        <v>0</v>
      </c>
      <c r="K86" s="91">
        <f t="shared" si="31"/>
        <v>0</v>
      </c>
      <c r="L86" s="91">
        <f t="shared" si="32"/>
        <v>0</v>
      </c>
      <c r="M86" s="91">
        <f t="shared" si="33"/>
        <v>0</v>
      </c>
      <c r="N86" s="30">
        <f t="shared" si="34"/>
        <v>0</v>
      </c>
      <c r="O86" s="30">
        <f t="shared" si="35"/>
        <v>0</v>
      </c>
    </row>
    <row r="87" spans="1:16" x14ac:dyDescent="0.25">
      <c r="A87" s="26">
        <v>9</v>
      </c>
      <c r="B87" s="66" t="s">
        <v>119</v>
      </c>
      <c r="C87" s="90"/>
      <c r="D87" s="90"/>
      <c r="E87" s="90"/>
      <c r="F87" s="91">
        <f t="shared" si="28"/>
        <v>0</v>
      </c>
      <c r="G87" s="91">
        <f t="shared" si="29"/>
        <v>0</v>
      </c>
      <c r="H87" s="91">
        <f t="shared" si="30"/>
        <v>0</v>
      </c>
      <c r="I87" s="90"/>
      <c r="J87" s="91">
        <f t="shared" si="31"/>
        <v>0</v>
      </c>
      <c r="K87" s="91">
        <f t="shared" si="31"/>
        <v>0</v>
      </c>
      <c r="L87" s="91">
        <f t="shared" si="32"/>
        <v>0</v>
      </c>
      <c r="M87" s="91">
        <f t="shared" si="33"/>
        <v>0</v>
      </c>
      <c r="N87" s="30">
        <f t="shared" si="34"/>
        <v>0</v>
      </c>
      <c r="O87" s="30">
        <f t="shared" si="35"/>
        <v>0</v>
      </c>
    </row>
    <row r="88" spans="1:16" x14ac:dyDescent="0.25">
      <c r="A88" s="26">
        <v>10</v>
      </c>
      <c r="B88" s="66" t="s">
        <v>146</v>
      </c>
      <c r="C88" s="90"/>
      <c r="D88" s="90"/>
      <c r="E88" s="90"/>
      <c r="F88" s="91">
        <f t="shared" si="28"/>
        <v>0</v>
      </c>
      <c r="G88" s="91">
        <f t="shared" si="29"/>
        <v>0</v>
      </c>
      <c r="H88" s="91">
        <f t="shared" si="30"/>
        <v>0</v>
      </c>
      <c r="I88" s="90"/>
      <c r="J88" s="91">
        <f t="shared" si="31"/>
        <v>0</v>
      </c>
      <c r="K88" s="91">
        <f t="shared" si="31"/>
        <v>0</v>
      </c>
      <c r="L88" s="91">
        <f t="shared" si="32"/>
        <v>0</v>
      </c>
      <c r="M88" s="91">
        <f t="shared" si="33"/>
        <v>0</v>
      </c>
      <c r="N88" s="30">
        <f t="shared" si="34"/>
        <v>0</v>
      </c>
      <c r="O88" s="30">
        <f t="shared" si="35"/>
        <v>0</v>
      </c>
    </row>
    <row r="89" spans="1:16" x14ac:dyDescent="0.25">
      <c r="A89" s="26">
        <v>11</v>
      </c>
      <c r="B89" s="66" t="s">
        <v>147</v>
      </c>
      <c r="C89" s="90"/>
      <c r="D89" s="90"/>
      <c r="E89" s="90"/>
      <c r="F89" s="91">
        <f t="shared" si="28"/>
        <v>0</v>
      </c>
      <c r="G89" s="91">
        <f t="shared" si="29"/>
        <v>0</v>
      </c>
      <c r="H89" s="91">
        <f t="shared" si="30"/>
        <v>0</v>
      </c>
      <c r="I89" s="90"/>
      <c r="J89" s="91">
        <f t="shared" si="31"/>
        <v>0</v>
      </c>
      <c r="K89" s="91">
        <f t="shared" si="31"/>
        <v>0</v>
      </c>
      <c r="L89" s="91">
        <f t="shared" si="32"/>
        <v>0</v>
      </c>
      <c r="M89" s="91">
        <f t="shared" si="33"/>
        <v>0</v>
      </c>
      <c r="N89" s="30">
        <f t="shared" si="34"/>
        <v>0</v>
      </c>
      <c r="O89" s="30">
        <f t="shared" si="35"/>
        <v>0</v>
      </c>
    </row>
    <row r="90" spans="1:16" x14ac:dyDescent="0.25">
      <c r="A90" s="26">
        <v>12</v>
      </c>
      <c r="B90" s="66" t="s">
        <v>148</v>
      </c>
      <c r="C90" s="90"/>
      <c r="D90" s="90"/>
      <c r="E90" s="90"/>
      <c r="F90" s="91">
        <f t="shared" si="28"/>
        <v>0</v>
      </c>
      <c r="G90" s="91">
        <f t="shared" si="29"/>
        <v>0</v>
      </c>
      <c r="H90" s="91">
        <f t="shared" si="30"/>
        <v>0</v>
      </c>
      <c r="I90" s="90"/>
      <c r="J90" s="91">
        <f t="shared" si="31"/>
        <v>0</v>
      </c>
      <c r="K90" s="91">
        <f t="shared" si="31"/>
        <v>0</v>
      </c>
      <c r="L90" s="91">
        <f t="shared" si="32"/>
        <v>0</v>
      </c>
      <c r="M90" s="91">
        <f t="shared" si="33"/>
        <v>0</v>
      </c>
      <c r="N90" s="30">
        <f t="shared" si="34"/>
        <v>0</v>
      </c>
      <c r="O90" s="30">
        <f t="shared" si="35"/>
        <v>0</v>
      </c>
    </row>
    <row r="91" spans="1:16" x14ac:dyDescent="0.25">
      <c r="A91" s="26">
        <v>13</v>
      </c>
      <c r="B91" s="66" t="s">
        <v>149</v>
      </c>
      <c r="C91" s="90"/>
      <c r="D91" s="90"/>
      <c r="E91" s="90"/>
      <c r="F91" s="91">
        <f t="shared" si="28"/>
        <v>0</v>
      </c>
      <c r="G91" s="91">
        <f t="shared" si="29"/>
        <v>0</v>
      </c>
      <c r="H91" s="91">
        <f t="shared" si="30"/>
        <v>0</v>
      </c>
      <c r="I91" s="90"/>
      <c r="J91" s="91">
        <f t="shared" si="31"/>
        <v>0</v>
      </c>
      <c r="K91" s="91">
        <f t="shared" si="31"/>
        <v>0</v>
      </c>
      <c r="L91" s="91">
        <f t="shared" si="32"/>
        <v>0</v>
      </c>
      <c r="M91" s="91">
        <f t="shared" si="33"/>
        <v>0</v>
      </c>
      <c r="N91" s="30">
        <f t="shared" si="34"/>
        <v>0</v>
      </c>
      <c r="O91" s="30">
        <f t="shared" si="35"/>
        <v>0</v>
      </c>
    </row>
    <row r="92" spans="1:16" x14ac:dyDescent="0.25">
      <c r="A92" s="26">
        <v>14</v>
      </c>
      <c r="B92" s="66" t="s">
        <v>150</v>
      </c>
      <c r="C92" s="90"/>
      <c r="D92" s="90"/>
      <c r="E92" s="90"/>
      <c r="F92" s="91">
        <f t="shared" si="28"/>
        <v>0</v>
      </c>
      <c r="G92" s="91">
        <f t="shared" si="29"/>
        <v>0</v>
      </c>
      <c r="H92" s="91">
        <f t="shared" si="30"/>
        <v>0</v>
      </c>
      <c r="I92" s="90"/>
      <c r="J92" s="91">
        <f t="shared" si="31"/>
        <v>0</v>
      </c>
      <c r="K92" s="91">
        <f t="shared" si="31"/>
        <v>0</v>
      </c>
      <c r="L92" s="91">
        <f t="shared" si="32"/>
        <v>0</v>
      </c>
      <c r="M92" s="91">
        <f t="shared" si="33"/>
        <v>0</v>
      </c>
      <c r="N92" s="30">
        <f t="shared" si="34"/>
        <v>0</v>
      </c>
      <c r="O92" s="30">
        <f t="shared" si="35"/>
        <v>0</v>
      </c>
    </row>
    <row r="93" spans="1:16" x14ac:dyDescent="0.25">
      <c r="A93" s="26">
        <v>15</v>
      </c>
      <c r="B93" s="66" t="s">
        <v>151</v>
      </c>
      <c r="C93" s="90"/>
      <c r="D93" s="90"/>
      <c r="E93" s="90"/>
      <c r="F93" s="91">
        <f t="shared" si="28"/>
        <v>0</v>
      </c>
      <c r="G93" s="91">
        <f t="shared" si="29"/>
        <v>0</v>
      </c>
      <c r="H93" s="91">
        <f t="shared" si="30"/>
        <v>0</v>
      </c>
      <c r="I93" s="90"/>
      <c r="J93" s="91">
        <f t="shared" si="31"/>
        <v>0</v>
      </c>
      <c r="K93" s="91">
        <f t="shared" si="31"/>
        <v>0</v>
      </c>
      <c r="L93" s="91">
        <f t="shared" si="32"/>
        <v>0</v>
      </c>
      <c r="M93" s="91">
        <f t="shared" si="33"/>
        <v>0</v>
      </c>
      <c r="N93" s="30">
        <f t="shared" si="34"/>
        <v>0</v>
      </c>
      <c r="O93" s="30">
        <f t="shared" si="35"/>
        <v>0</v>
      </c>
    </row>
    <row r="94" spans="1:16" x14ac:dyDescent="0.25">
      <c r="E94" s="68"/>
      <c r="F94" s="68"/>
      <c r="G94" s="68"/>
      <c r="H94" s="68"/>
      <c r="I94" s="68"/>
      <c r="J94" s="68"/>
      <c r="K94" s="68"/>
      <c r="L94" s="68"/>
      <c r="M94" s="68"/>
      <c r="N94" s="68"/>
      <c r="P94" s="30"/>
    </row>
  </sheetData>
  <mergeCells count="9">
    <mergeCell ref="C2:M6"/>
    <mergeCell ref="C7:M7"/>
    <mergeCell ref="C75:C78"/>
    <mergeCell ref="D75:D78"/>
    <mergeCell ref="E75:E78"/>
    <mergeCell ref="F75:F78"/>
    <mergeCell ref="I75:I78"/>
    <mergeCell ref="J75:J78"/>
    <mergeCell ref="M75:M78"/>
  </mergeCells>
  <phoneticPr fontId="10" type="noConversion"/>
  <conditionalFormatting sqref="C79:E93">
    <cfRule type="cellIs" dxfId="1" priority="1" operator="lessThanOrEqual">
      <formula>0</formula>
    </cfRule>
  </conditionalFormatting>
  <hyperlinks>
    <hyperlink ref="C7:M7" r:id="rId1" display="REPORTAR UMA MELHORIA!" xr:uid="{6E95BB5C-D14F-45B2-80F8-CB3AB644B0C2}"/>
  </hyperlinks>
  <pageMargins left="0.511811024" right="0.511811024" top="0.78740157499999996" bottom="0.78740157499999996" header="0.31496062000000002" footer="0.31496062000000002"/>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2EC15-B200-4DB3-808D-AF6BF9661CCD}">
  <sheetPr codeName="Planilha6">
    <tabColor theme="6" tint="0.79998168889431442"/>
  </sheetPr>
  <dimension ref="A1:O43"/>
  <sheetViews>
    <sheetView topLeftCell="B1" zoomScale="90" zoomScaleNormal="90" workbookViewId="0">
      <pane ySplit="7" topLeftCell="A8" activePane="bottomLeft" state="frozen"/>
      <selection activeCell="B1" sqref="B1"/>
      <selection pane="bottomLeft" activeCell="J33" sqref="J33"/>
    </sheetView>
  </sheetViews>
  <sheetFormatPr defaultColWidth="8.88671875" defaultRowHeight="14.4" x14ac:dyDescent="0.3"/>
  <cols>
    <col min="1" max="1" width="2.88671875" style="70" customWidth="1"/>
    <col min="2" max="2" width="12.6640625" style="70" customWidth="1"/>
    <col min="3" max="3" width="66.33203125" style="70" bestFit="1" customWidth="1"/>
    <col min="4" max="4" width="21.6640625" style="73" customWidth="1"/>
    <col min="5" max="5" width="21.6640625" style="70" customWidth="1"/>
    <col min="6" max="6" width="22" style="70" customWidth="1"/>
    <col min="7" max="8" width="12" style="70" customWidth="1"/>
    <col min="9" max="9" width="9.6640625" style="70" bestFit="1" customWidth="1"/>
    <col min="10" max="10" width="10.6640625" style="70" bestFit="1" customWidth="1"/>
    <col min="11" max="11" width="29.109375" style="70" bestFit="1" customWidth="1"/>
    <col min="12" max="12" width="22.44140625" style="70" bestFit="1" customWidth="1"/>
    <col min="13" max="16384" width="8.88671875" style="70"/>
  </cols>
  <sheetData>
    <row r="1" spans="1:15" s="27" customFormat="1" ht="15" customHeight="1" x14ac:dyDescent="0.25">
      <c r="A1" s="666"/>
      <c r="B1" s="666"/>
      <c r="C1" s="666"/>
      <c r="D1" s="46" t="s">
        <v>137</v>
      </c>
      <c r="E1" s="47"/>
      <c r="F1" s="47"/>
      <c r="G1" s="47"/>
      <c r="H1" s="47"/>
      <c r="I1" s="47"/>
      <c r="J1" s="47"/>
      <c r="K1" s="47"/>
    </row>
    <row r="2" spans="1:15" s="27" customFormat="1" ht="14.4" customHeight="1" x14ac:dyDescent="0.25">
      <c r="A2" s="666"/>
      <c r="B2" s="666"/>
      <c r="C2" s="666"/>
      <c r="D2" s="662" t="s">
        <v>138</v>
      </c>
      <c r="E2" s="662"/>
      <c r="F2" s="662"/>
      <c r="G2" s="662"/>
      <c r="H2" s="662"/>
      <c r="I2" s="662"/>
      <c r="J2" s="662"/>
      <c r="K2" s="662"/>
    </row>
    <row r="3" spans="1:15" s="27" customFormat="1" ht="14.4" customHeight="1" x14ac:dyDescent="0.25">
      <c r="A3" s="666"/>
      <c r="B3" s="666"/>
      <c r="C3" s="666"/>
      <c r="D3" s="662"/>
      <c r="E3" s="662"/>
      <c r="F3" s="662"/>
      <c r="G3" s="662"/>
      <c r="H3" s="662"/>
      <c r="I3" s="662"/>
      <c r="J3" s="662"/>
      <c r="K3" s="662"/>
    </row>
    <row r="4" spans="1:15" s="27" customFormat="1" ht="14.4" customHeight="1" x14ac:dyDescent="0.25">
      <c r="A4" s="666"/>
      <c r="B4" s="666"/>
      <c r="C4" s="666"/>
      <c r="D4" s="662"/>
      <c r="E4" s="662"/>
      <c r="F4" s="662"/>
      <c r="G4" s="662"/>
      <c r="H4" s="662"/>
      <c r="I4" s="662"/>
      <c r="J4" s="662"/>
      <c r="K4" s="662"/>
    </row>
    <row r="5" spans="1:15" s="27" customFormat="1" ht="14.4" customHeight="1" x14ac:dyDescent="0.25">
      <c r="A5" s="666"/>
      <c r="B5" s="666"/>
      <c r="C5" s="666"/>
      <c r="D5" s="662"/>
      <c r="E5" s="662"/>
      <c r="F5" s="662"/>
      <c r="G5" s="662"/>
      <c r="H5" s="662"/>
      <c r="I5" s="662"/>
      <c r="J5" s="662"/>
      <c r="K5" s="662"/>
    </row>
    <row r="6" spans="1:15" s="27" customFormat="1" ht="15" customHeight="1" x14ac:dyDescent="0.25">
      <c r="A6" s="666"/>
      <c r="B6" s="666"/>
      <c r="C6" s="666"/>
      <c r="D6" s="662"/>
      <c r="E6" s="662"/>
      <c r="F6" s="662"/>
      <c r="G6" s="662"/>
      <c r="H6" s="662"/>
      <c r="I6" s="662"/>
      <c r="J6" s="662"/>
      <c r="K6" s="662"/>
    </row>
    <row r="7" spans="1:15" s="32" customFormat="1" ht="15.6" customHeight="1" thickBot="1" x14ac:dyDescent="0.3">
      <c r="A7" s="667"/>
      <c r="B7" s="667"/>
      <c r="C7" s="667"/>
      <c r="D7" s="668"/>
      <c r="E7" s="668"/>
      <c r="F7" s="668"/>
      <c r="G7" s="668"/>
      <c r="H7" s="668"/>
      <c r="I7" s="668"/>
      <c r="J7" s="668"/>
      <c r="K7" s="668"/>
    </row>
    <row r="8" spans="1:15" s="27" customFormat="1" ht="15.6" customHeight="1" x14ac:dyDescent="0.25">
      <c r="A8" s="86"/>
      <c r="F8" s="493"/>
    </row>
    <row r="9" spans="1:15" ht="15" thickBot="1" x14ac:dyDescent="0.35">
      <c r="A9" s="1"/>
      <c r="B9" s="1"/>
      <c r="C9" s="2"/>
      <c r="D9" s="3" t="s">
        <v>35</v>
      </c>
      <c r="E9" s="2" t="s">
        <v>36</v>
      </c>
      <c r="F9" s="2" t="s">
        <v>27</v>
      </c>
      <c r="G9" s="2" t="s">
        <v>8</v>
      </c>
      <c r="H9" s="2" t="s">
        <v>3</v>
      </c>
      <c r="J9" s="175">
        <v>0.74</v>
      </c>
      <c r="K9" s="176" t="s">
        <v>128</v>
      </c>
    </row>
    <row r="10" spans="1:15" x14ac:dyDescent="0.3">
      <c r="A10" s="1"/>
      <c r="B10" s="532" t="s">
        <v>0</v>
      </c>
      <c r="C10" s="181" t="s">
        <v>1</v>
      </c>
      <c r="D10" s="182"/>
      <c r="E10" s="181"/>
      <c r="F10" s="183">
        <f>SUM(F11:F12)</f>
        <v>0</v>
      </c>
      <c r="G10" s="184"/>
      <c r="H10" s="184"/>
      <c r="I10" s="185"/>
      <c r="J10" s="185"/>
      <c r="K10" s="186"/>
    </row>
    <row r="11" spans="1:15" x14ac:dyDescent="0.3">
      <c r="A11" s="1"/>
      <c r="B11" s="533"/>
      <c r="C11" s="7" t="s">
        <v>1045</v>
      </c>
      <c r="D11" s="8"/>
      <c r="E11" s="7"/>
      <c r="F11" s="535">
        <f>'OT Automacao'!O4</f>
        <v>0</v>
      </c>
      <c r="G11" s="19"/>
      <c r="H11" s="19"/>
      <c r="K11" s="187"/>
    </row>
    <row r="12" spans="1:15" x14ac:dyDescent="0.3">
      <c r="A12" s="1"/>
      <c r="B12" s="533"/>
      <c r="C12" s="7" t="s">
        <v>1044</v>
      </c>
      <c r="D12" s="8"/>
      <c r="E12" s="7"/>
      <c r="F12" s="535">
        <f>F11*0.2</f>
        <v>0</v>
      </c>
      <c r="G12" s="19"/>
      <c r="H12" s="19"/>
      <c r="K12" s="187"/>
    </row>
    <row r="13" spans="1:15" x14ac:dyDescent="0.3">
      <c r="A13" s="1"/>
      <c r="B13" s="533"/>
      <c r="C13" s="7" t="s">
        <v>2</v>
      </c>
      <c r="D13" s="8"/>
      <c r="E13" s="7"/>
      <c r="F13" s="9">
        <f>F10*H13/100</f>
        <v>0</v>
      </c>
      <c r="G13" s="19"/>
      <c r="H13" s="23">
        <f>J22*100</f>
        <v>13</v>
      </c>
      <c r="K13" s="187"/>
    </row>
    <row r="14" spans="1:15" x14ac:dyDescent="0.3">
      <c r="A14" s="1"/>
      <c r="B14" s="533"/>
      <c r="C14" s="4" t="s">
        <v>4</v>
      </c>
      <c r="D14" s="5"/>
      <c r="E14" s="4"/>
      <c r="F14" s="6">
        <f>F10-F13</f>
        <v>0</v>
      </c>
      <c r="G14" s="20" t="e">
        <f t="shared" ref="G14" si="0">F14/$F$14*100</f>
        <v>#DIV/0!</v>
      </c>
      <c r="H14" s="20" t="e">
        <f>F14/$F$10*100</f>
        <v>#DIV/0!</v>
      </c>
      <c r="J14" s="24"/>
      <c r="K14" s="188" t="s">
        <v>28</v>
      </c>
      <c r="L14" s="72" t="s">
        <v>34</v>
      </c>
    </row>
    <row r="15" spans="1:15" x14ac:dyDescent="0.3">
      <c r="A15" s="1"/>
      <c r="B15" s="533"/>
      <c r="C15" s="7" t="s">
        <v>5</v>
      </c>
      <c r="D15" s="8"/>
      <c r="E15" s="7"/>
      <c r="F15" s="9">
        <f>SUM(F16:F19)</f>
        <v>89.81</v>
      </c>
      <c r="G15" s="670" t="e">
        <f>F15/$F$14*100</f>
        <v>#DIV/0!</v>
      </c>
      <c r="H15" s="670" t="e">
        <f>F15/$F$10*100</f>
        <v>#DIV/0!</v>
      </c>
      <c r="J15" s="22"/>
      <c r="K15" s="188" t="s">
        <v>29</v>
      </c>
      <c r="L15" s="72" t="s">
        <v>33</v>
      </c>
    </row>
    <row r="16" spans="1:15" x14ac:dyDescent="0.3">
      <c r="A16" s="1"/>
      <c r="B16" s="533"/>
      <c r="C16" s="25" t="s">
        <v>37</v>
      </c>
      <c r="D16" s="8"/>
      <c r="E16" s="7"/>
      <c r="F16" s="18">
        <v>89.81</v>
      </c>
      <c r="G16" s="670"/>
      <c r="H16" s="670"/>
      <c r="J16" s="18"/>
      <c r="K16" s="188" t="s">
        <v>30</v>
      </c>
      <c r="L16" s="72" t="s">
        <v>33</v>
      </c>
    </row>
    <row r="17" spans="1:13" x14ac:dyDescent="0.3">
      <c r="A17" s="1"/>
      <c r="B17" s="533"/>
      <c r="C17" s="25" t="s">
        <v>38</v>
      </c>
      <c r="D17" s="8"/>
      <c r="E17" s="7"/>
      <c r="F17" s="18">
        <f>SUBTOTAL(9,'OT Automacao'!N45:N50)</f>
        <v>0</v>
      </c>
      <c r="G17" s="670"/>
      <c r="H17" s="670"/>
      <c r="J17" s="21"/>
      <c r="K17" s="188" t="s">
        <v>31</v>
      </c>
      <c r="L17" s="72" t="s">
        <v>32</v>
      </c>
    </row>
    <row r="18" spans="1:13" x14ac:dyDescent="0.3">
      <c r="A18" s="1"/>
      <c r="B18" s="533"/>
      <c r="C18" s="25" t="s">
        <v>41</v>
      </c>
      <c r="D18" s="8"/>
      <c r="E18" s="7"/>
      <c r="F18" s="18">
        <v>0</v>
      </c>
      <c r="G18" s="670"/>
      <c r="H18" s="670"/>
      <c r="J18" s="171"/>
      <c r="K18" s="188" t="s">
        <v>49</v>
      </c>
    </row>
    <row r="19" spans="1:13" x14ac:dyDescent="0.3">
      <c r="A19" s="1"/>
      <c r="B19" s="533"/>
      <c r="C19" s="25" t="s">
        <v>6</v>
      </c>
      <c r="D19" s="8"/>
      <c r="E19" s="7"/>
      <c r="F19" s="18">
        <f>'OT Automacao'!N92</f>
        <v>0</v>
      </c>
      <c r="G19" s="670"/>
      <c r="H19" s="670"/>
      <c r="K19" s="189"/>
    </row>
    <row r="20" spans="1:13" ht="16.2" thickBot="1" x14ac:dyDescent="0.35">
      <c r="A20" s="1"/>
      <c r="B20" s="534"/>
      <c r="C20" s="190" t="s">
        <v>7</v>
      </c>
      <c r="D20" s="191"/>
      <c r="E20" s="190"/>
      <c r="F20" s="192">
        <f>F14-F15</f>
        <v>-89.81</v>
      </c>
      <c r="G20" s="180" t="e">
        <f>F20/$F$14*100</f>
        <v>#DIV/0!</v>
      </c>
      <c r="H20" s="193" t="e">
        <f>F20/$F$10*100</f>
        <v>#DIV/0!</v>
      </c>
      <c r="I20" s="194" t="s">
        <v>303</v>
      </c>
      <c r="J20" s="195"/>
      <c r="K20" s="196"/>
    </row>
    <row r="21" spans="1:13" x14ac:dyDescent="0.3">
      <c r="A21" s="1"/>
      <c r="B21" s="671" t="s">
        <v>9</v>
      </c>
      <c r="C21" s="177" t="s">
        <v>10</v>
      </c>
      <c r="D21" s="178"/>
      <c r="E21" s="177"/>
      <c r="F21" s="179">
        <f>SUM(F16:F17)*J9</f>
        <v>66.459400000000002</v>
      </c>
      <c r="G21" s="180" t="e">
        <f t="shared" ref="G21" si="1">F21/$F$14*100</f>
        <v>#DIV/0!</v>
      </c>
      <c r="H21" s="180" t="e">
        <f t="shared" ref="H21" si="2">F21/$F$10*100</f>
        <v>#DIV/0!</v>
      </c>
      <c r="M21" s="71"/>
    </row>
    <row r="22" spans="1:13" x14ac:dyDescent="0.3">
      <c r="A22" s="1"/>
      <c r="B22" s="669"/>
      <c r="C22" s="13" t="s">
        <v>11</v>
      </c>
      <c r="D22" s="14"/>
      <c r="E22" s="13"/>
      <c r="F22" s="9"/>
      <c r="G22" s="672"/>
      <c r="H22" s="672"/>
      <c r="I22" s="529"/>
      <c r="J22" s="22">
        <f>SUM(J23:J25)</f>
        <v>0.13</v>
      </c>
      <c r="K22" s="531" t="s">
        <v>1036</v>
      </c>
    </row>
    <row r="23" spans="1:13" x14ac:dyDescent="0.3">
      <c r="A23" s="1"/>
      <c r="B23" s="669"/>
      <c r="C23" s="13" t="s">
        <v>12</v>
      </c>
      <c r="D23" s="14"/>
      <c r="E23" s="13"/>
      <c r="F23" s="9"/>
      <c r="G23" s="672"/>
      <c r="H23" s="672"/>
      <c r="J23" s="529">
        <v>1.6500000000000001E-2</v>
      </c>
      <c r="K23" s="72" t="s">
        <v>1037</v>
      </c>
    </row>
    <row r="24" spans="1:13" x14ac:dyDescent="0.3">
      <c r="A24" s="1"/>
      <c r="B24" s="669"/>
      <c r="C24" s="13" t="s">
        <v>13</v>
      </c>
      <c r="D24" s="14"/>
      <c r="E24" s="13"/>
      <c r="F24" s="9"/>
      <c r="G24" s="672"/>
      <c r="H24" s="672"/>
      <c r="J24" s="529">
        <v>7.5999999999999998E-2</v>
      </c>
      <c r="K24" s="72" t="s">
        <v>1038</v>
      </c>
    </row>
    <row r="25" spans="1:13" x14ac:dyDescent="0.3">
      <c r="A25" s="1"/>
      <c r="B25" s="669"/>
      <c r="C25" s="13" t="s">
        <v>14</v>
      </c>
      <c r="D25" s="14"/>
      <c r="E25" s="13"/>
      <c r="F25" s="9"/>
      <c r="G25" s="672"/>
      <c r="H25" s="672"/>
      <c r="J25" s="530">
        <v>3.7499999999999999E-2</v>
      </c>
      <c r="K25" s="72" t="s">
        <v>1039</v>
      </c>
    </row>
    <row r="26" spans="1:13" x14ac:dyDescent="0.3">
      <c r="A26" s="1"/>
      <c r="B26" s="669"/>
      <c r="C26" s="13" t="s">
        <v>15</v>
      </c>
      <c r="D26" s="14"/>
      <c r="E26" s="13"/>
      <c r="F26" s="9"/>
      <c r="G26" s="672"/>
      <c r="H26" s="672"/>
      <c r="J26" s="529"/>
    </row>
    <row r="27" spans="1:13" x14ac:dyDescent="0.3">
      <c r="A27" s="1"/>
      <c r="B27" s="669" t="s">
        <v>16</v>
      </c>
      <c r="C27" s="10" t="s">
        <v>17</v>
      </c>
      <c r="D27" s="11"/>
      <c r="E27" s="10"/>
      <c r="F27" s="12">
        <f>F20-F21</f>
        <v>-156.26940000000002</v>
      </c>
      <c r="G27" s="20" t="e">
        <f t="shared" ref="G27:G35" si="3">F27/$F$14*100</f>
        <v>#DIV/0!</v>
      </c>
      <c r="H27" s="20" t="e">
        <f t="shared" ref="H27:H33" si="4">F27/$F$10*100</f>
        <v>#DIV/0!</v>
      </c>
      <c r="J27" s="22">
        <f>SUM(J28:J32)</f>
        <v>5.6499999999999995E-2</v>
      </c>
      <c r="K27" s="531" t="s">
        <v>1040</v>
      </c>
    </row>
    <row r="28" spans="1:13" x14ac:dyDescent="0.3">
      <c r="A28" s="1"/>
      <c r="B28" s="669"/>
      <c r="C28" s="7" t="s">
        <v>18</v>
      </c>
      <c r="D28" s="8"/>
      <c r="E28" s="7"/>
      <c r="F28" s="9">
        <v>0</v>
      </c>
      <c r="G28" s="20" t="e">
        <f t="shared" si="3"/>
        <v>#DIV/0!</v>
      </c>
      <c r="H28" s="20" t="e">
        <f t="shared" si="4"/>
        <v>#DIV/0!</v>
      </c>
      <c r="J28" s="529">
        <v>0.01</v>
      </c>
      <c r="K28" s="72" t="s">
        <v>1041</v>
      </c>
    </row>
    <row r="29" spans="1:13" x14ac:dyDescent="0.3">
      <c r="A29" s="1"/>
      <c r="B29" s="669"/>
      <c r="C29" s="10" t="s">
        <v>19</v>
      </c>
      <c r="D29" s="11"/>
      <c r="E29" s="10"/>
      <c r="F29" s="12">
        <f>F27-F28</f>
        <v>-156.26940000000002</v>
      </c>
      <c r="G29" s="21" t="e">
        <f>F29/$F$14*100</f>
        <v>#DIV/0!</v>
      </c>
      <c r="H29" s="20" t="e">
        <f t="shared" si="4"/>
        <v>#DIV/0!</v>
      </c>
      <c r="J29" s="529">
        <v>0.01</v>
      </c>
      <c r="K29" s="72" t="s">
        <v>1042</v>
      </c>
    </row>
    <row r="30" spans="1:13" x14ac:dyDescent="0.3">
      <c r="A30" s="1"/>
      <c r="B30" s="669"/>
      <c r="C30" s="7" t="s">
        <v>20</v>
      </c>
      <c r="D30" s="8"/>
      <c r="E30" s="7"/>
      <c r="F30" s="9">
        <v>0</v>
      </c>
      <c r="G30" s="20" t="e">
        <f t="shared" si="3"/>
        <v>#DIV/0!</v>
      </c>
      <c r="H30" s="20" t="e">
        <f t="shared" si="4"/>
        <v>#DIV/0!</v>
      </c>
      <c r="J30" s="529">
        <v>6.4999999999999997E-3</v>
      </c>
      <c r="K30" s="72" t="s">
        <v>1037</v>
      </c>
    </row>
    <row r="31" spans="1:13" x14ac:dyDescent="0.3">
      <c r="A31" s="1"/>
      <c r="B31" s="669"/>
      <c r="C31" s="7" t="s">
        <v>21</v>
      </c>
      <c r="D31" s="8"/>
      <c r="E31" s="7"/>
      <c r="F31" s="9">
        <v>0</v>
      </c>
      <c r="G31" s="20" t="e">
        <f t="shared" si="3"/>
        <v>#DIV/0!</v>
      </c>
      <c r="H31" s="20" t="e">
        <f t="shared" si="4"/>
        <v>#DIV/0!</v>
      </c>
      <c r="J31" s="529">
        <v>0.03</v>
      </c>
      <c r="K31" s="72" t="s">
        <v>1038</v>
      </c>
    </row>
    <row r="32" spans="1:13" x14ac:dyDescent="0.3">
      <c r="A32" s="1"/>
      <c r="B32" s="669"/>
      <c r="C32" s="10" t="s">
        <v>22</v>
      </c>
      <c r="D32" s="11"/>
      <c r="E32" s="10"/>
      <c r="F32" s="12">
        <f>F29-F30-F31</f>
        <v>-156.26940000000002</v>
      </c>
      <c r="G32" s="20" t="e">
        <f t="shared" si="3"/>
        <v>#DIV/0!</v>
      </c>
      <c r="H32" s="20" t="e">
        <f t="shared" si="4"/>
        <v>#DIV/0!</v>
      </c>
      <c r="J32" s="528"/>
      <c r="K32" s="72" t="s">
        <v>1043</v>
      </c>
    </row>
    <row r="33" spans="1:11" x14ac:dyDescent="0.3">
      <c r="A33" s="1"/>
      <c r="B33" s="669"/>
      <c r="C33" s="15" t="s">
        <v>23</v>
      </c>
      <c r="D33" s="16"/>
      <c r="E33" s="15"/>
      <c r="F33" s="17">
        <v>0</v>
      </c>
      <c r="G33" s="20" t="e">
        <f t="shared" si="3"/>
        <v>#DIV/0!</v>
      </c>
      <c r="H33" s="20" t="e">
        <f t="shared" si="4"/>
        <v>#DIV/0!</v>
      </c>
      <c r="J33" s="528"/>
    </row>
    <row r="34" spans="1:11" x14ac:dyDescent="0.3">
      <c r="A34" s="1"/>
      <c r="B34" s="669"/>
      <c r="C34" s="10" t="s">
        <v>24</v>
      </c>
      <c r="D34" s="11"/>
      <c r="E34" s="10"/>
      <c r="F34" s="12">
        <f>F32-F33</f>
        <v>-156.26940000000002</v>
      </c>
      <c r="G34" s="20" t="e">
        <f t="shared" si="3"/>
        <v>#DIV/0!</v>
      </c>
      <c r="H34" s="20" t="e">
        <f>F34/$F$10*100</f>
        <v>#DIV/0!</v>
      </c>
    </row>
    <row r="35" spans="1:11" x14ac:dyDescent="0.3">
      <c r="A35" s="1"/>
      <c r="B35" s="669"/>
      <c r="C35" s="7" t="s">
        <v>25</v>
      </c>
      <c r="D35" s="8"/>
      <c r="E35" s="7"/>
      <c r="F35" s="9">
        <f>H35*F10/100</f>
        <v>0</v>
      </c>
      <c r="G35" s="20" t="e">
        <f t="shared" si="3"/>
        <v>#DIV/0!</v>
      </c>
      <c r="H35" s="23">
        <f>19-H13</f>
        <v>6</v>
      </c>
      <c r="K35" s="71"/>
    </row>
    <row r="36" spans="1:11" ht="15.6" x14ac:dyDescent="0.3">
      <c r="A36" s="1"/>
      <c r="B36" s="669"/>
      <c r="C36" s="10" t="s">
        <v>26</v>
      </c>
      <c r="D36" s="11"/>
      <c r="E36" s="10"/>
      <c r="F36" s="12">
        <f>F34-F35</f>
        <v>-156.26940000000002</v>
      </c>
      <c r="G36" s="20" t="e">
        <f>F36/$F$14*100</f>
        <v>#DIV/0!</v>
      </c>
      <c r="H36" s="172" t="e">
        <f>F36/$F$10*100</f>
        <v>#DIV/0!</v>
      </c>
      <c r="K36" s="173"/>
    </row>
    <row r="41" spans="1:11" x14ac:dyDescent="0.3">
      <c r="E41" s="74"/>
    </row>
    <row r="42" spans="1:11" x14ac:dyDescent="0.3">
      <c r="E42" s="74"/>
    </row>
    <row r="43" spans="1:11" x14ac:dyDescent="0.3">
      <c r="D43" s="75"/>
    </row>
  </sheetData>
  <mergeCells count="8">
    <mergeCell ref="A1:C7"/>
    <mergeCell ref="D2:K7"/>
    <mergeCell ref="B27:B36"/>
    <mergeCell ref="G15:G19"/>
    <mergeCell ref="H15:H19"/>
    <mergeCell ref="B21:B26"/>
    <mergeCell ref="G22:G26"/>
    <mergeCell ref="H22:H26"/>
  </mergeCells>
  <pageMargins left="0.511811024" right="0.511811024" top="0.78740157499999996" bottom="0.78740157499999996" header="0.31496062000000002" footer="0.31496062000000002"/>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849B-D5D6-44A0-AD34-807B8B49780B}">
  <sheetPr codeName="Planilha5">
    <tabColor theme="6" tint="0.79998168889431442"/>
  </sheetPr>
  <dimension ref="A1:P104"/>
  <sheetViews>
    <sheetView topLeftCell="A15" zoomScale="85" zoomScaleNormal="85" workbookViewId="0">
      <selection activeCell="P26" sqref="P26:P31"/>
    </sheetView>
  </sheetViews>
  <sheetFormatPr defaultColWidth="8.88671875" defaultRowHeight="13.2" x14ac:dyDescent="0.25"/>
  <cols>
    <col min="1" max="1" width="59.77734375" style="27" bestFit="1" customWidth="1"/>
    <col min="2" max="3" width="15.6640625" style="27" customWidth="1"/>
    <col min="4" max="4" width="11.88671875" style="27" customWidth="1"/>
    <col min="5" max="5" width="11.6640625" style="27" bestFit="1" customWidth="1"/>
    <col min="6" max="9" width="11.33203125" style="27" bestFit="1" customWidth="1"/>
    <col min="10" max="15" width="10.6640625" style="27" customWidth="1"/>
    <col min="16" max="16" width="12.88671875" style="27" customWidth="1"/>
    <col min="17" max="16384" width="8.88671875" style="27"/>
  </cols>
  <sheetData>
    <row r="1" spans="1:13" x14ac:dyDescent="0.25">
      <c r="A1" s="544"/>
      <c r="B1" s="545"/>
      <c r="C1" s="94" t="s">
        <v>159</v>
      </c>
      <c r="D1" s="95"/>
      <c r="E1" s="96"/>
      <c r="F1" s="96"/>
      <c r="G1" s="96"/>
      <c r="H1" s="96"/>
      <c r="I1" s="96"/>
      <c r="J1" s="96"/>
      <c r="K1" s="96"/>
      <c r="L1" s="96"/>
      <c r="M1" s="97"/>
    </row>
    <row r="2" spans="1:13" x14ac:dyDescent="0.25">
      <c r="A2" s="546"/>
      <c r="B2" s="39"/>
      <c r="C2" s="677" t="s">
        <v>178</v>
      </c>
      <c r="D2" s="662"/>
      <c r="E2" s="662"/>
      <c r="F2" s="662"/>
      <c r="G2" s="662"/>
      <c r="H2" s="662"/>
      <c r="I2" s="662"/>
      <c r="J2" s="662"/>
      <c r="K2" s="662"/>
      <c r="L2" s="662"/>
      <c r="M2" s="663"/>
    </row>
    <row r="3" spans="1:13" x14ac:dyDescent="0.25">
      <c r="A3" s="546"/>
      <c r="B3" s="39"/>
      <c r="C3" s="677"/>
      <c r="D3" s="662"/>
      <c r="E3" s="662"/>
      <c r="F3" s="662"/>
      <c r="G3" s="662"/>
      <c r="H3" s="662"/>
      <c r="I3" s="662"/>
      <c r="J3" s="662"/>
      <c r="K3" s="662"/>
      <c r="L3" s="662"/>
      <c r="M3" s="663"/>
    </row>
    <row r="4" spans="1:13" x14ac:dyDescent="0.25">
      <c r="A4" s="546"/>
      <c r="B4" s="39"/>
      <c r="C4" s="677"/>
      <c r="D4" s="662"/>
      <c r="E4" s="662"/>
      <c r="F4" s="662"/>
      <c r="G4" s="662"/>
      <c r="H4" s="662"/>
      <c r="I4" s="662"/>
      <c r="J4" s="662"/>
      <c r="K4" s="662"/>
      <c r="L4" s="662"/>
      <c r="M4" s="663"/>
    </row>
    <row r="5" spans="1:13" x14ac:dyDescent="0.25">
      <c r="A5" s="546"/>
      <c r="B5" s="39"/>
      <c r="C5" s="677"/>
      <c r="D5" s="662"/>
      <c r="E5" s="662"/>
      <c r="F5" s="662"/>
      <c r="G5" s="662"/>
      <c r="H5" s="662"/>
      <c r="I5" s="662"/>
      <c r="J5" s="662"/>
      <c r="K5" s="662"/>
      <c r="L5" s="662"/>
      <c r="M5" s="663"/>
    </row>
    <row r="6" spans="1:13" ht="13.8" thickBot="1" x14ac:dyDescent="0.3">
      <c r="A6" s="546"/>
      <c r="B6" s="39"/>
      <c r="C6" s="678"/>
      <c r="D6" s="668"/>
      <c r="E6" s="668"/>
      <c r="F6" s="668"/>
      <c r="G6" s="668"/>
      <c r="H6" s="668"/>
      <c r="I6" s="668"/>
      <c r="J6" s="668"/>
      <c r="K6" s="668"/>
      <c r="L6" s="668"/>
      <c r="M6" s="679"/>
    </row>
    <row r="7" spans="1:13" ht="13.8" thickBot="1" x14ac:dyDescent="0.3">
      <c r="A7" s="547"/>
      <c r="B7" s="59"/>
      <c r="C7" s="680" t="s">
        <v>144</v>
      </c>
      <c r="D7" s="681"/>
      <c r="E7" s="681"/>
      <c r="F7" s="681"/>
      <c r="G7" s="681"/>
      <c r="H7" s="681"/>
      <c r="I7" s="681"/>
      <c r="J7" s="681"/>
      <c r="K7" s="681"/>
      <c r="L7" s="681"/>
      <c r="M7" s="682"/>
    </row>
    <row r="9" spans="1:13" x14ac:dyDescent="0.25">
      <c r="A9" s="575" t="s">
        <v>1074</v>
      </c>
      <c r="B9" s="39"/>
    </row>
    <row r="10" spans="1:13" s="549" customFormat="1" ht="40.049999999999997" customHeight="1" x14ac:dyDescent="0.3">
      <c r="A10" s="197" t="s">
        <v>1055</v>
      </c>
      <c r="B10" s="550" t="s">
        <v>1066</v>
      </c>
    </row>
    <row r="11" spans="1:13" ht="40.049999999999997" customHeight="1" x14ac:dyDescent="0.25">
      <c r="A11" s="434" t="s">
        <v>1056</v>
      </c>
      <c r="B11" s="434"/>
    </row>
    <row r="13" spans="1:13" x14ac:dyDescent="0.25">
      <c r="A13" s="575" t="s">
        <v>1075</v>
      </c>
      <c r="B13" s="39"/>
    </row>
    <row r="14" spans="1:13" ht="40.049999999999997" customHeight="1" x14ac:dyDescent="0.25">
      <c r="A14" s="197" t="s">
        <v>1055</v>
      </c>
      <c r="B14" s="550" t="s">
        <v>1067</v>
      </c>
    </row>
    <row r="15" spans="1:13" ht="40.049999999999997" customHeight="1" x14ac:dyDescent="0.25">
      <c r="A15" s="434" t="s">
        <v>1081</v>
      </c>
      <c r="B15" s="434"/>
    </row>
    <row r="16" spans="1:13" ht="40.049999999999997" customHeight="1" x14ac:dyDescent="0.25">
      <c r="A16" s="434" t="s">
        <v>1082</v>
      </c>
      <c r="B16" s="434"/>
    </row>
    <row r="17" spans="1:16" ht="40.049999999999997" customHeight="1" x14ac:dyDescent="0.25">
      <c r="A17" s="434" t="s">
        <v>1083</v>
      </c>
      <c r="B17" s="434"/>
    </row>
    <row r="18" spans="1:16" ht="40.049999999999997" customHeight="1" x14ac:dyDescent="0.25">
      <c r="A18" s="434" t="s">
        <v>1084</v>
      </c>
      <c r="B18" s="434"/>
    </row>
    <row r="19" spans="1:16" ht="39.6" customHeight="1" x14ac:dyDescent="0.25">
      <c r="A19" s="434" t="s">
        <v>1085</v>
      </c>
      <c r="B19" s="434"/>
    </row>
    <row r="21" spans="1:16" x14ac:dyDescent="0.25">
      <c r="A21" s="575" t="s">
        <v>1076</v>
      </c>
      <c r="B21" s="39"/>
    </row>
    <row r="22" spans="1:16" x14ac:dyDescent="0.25">
      <c r="A22" s="548" t="s">
        <v>392</v>
      </c>
      <c r="B22" s="551">
        <v>0</v>
      </c>
      <c r="C22" s="574" t="s">
        <v>162</v>
      </c>
    </row>
    <row r="23" spans="1:16" x14ac:dyDescent="0.25">
      <c r="A23" s="718" t="s">
        <v>186</v>
      </c>
    </row>
    <row r="24" spans="1:16" ht="14.4" customHeight="1" x14ac:dyDescent="0.25">
      <c r="A24" s="683" t="s">
        <v>161</v>
      </c>
      <c r="B24" s="683" t="s">
        <v>160</v>
      </c>
      <c r="C24" s="685" t="s">
        <v>1067</v>
      </c>
      <c r="D24" s="688" t="s">
        <v>164</v>
      </c>
      <c r="E24" s="689"/>
      <c r="F24" s="689"/>
      <c r="G24" s="689"/>
      <c r="H24" s="689"/>
      <c r="I24" s="689"/>
      <c r="J24" s="689"/>
      <c r="K24" s="689"/>
      <c r="L24" s="689"/>
      <c r="M24" s="689"/>
      <c r="N24" s="689"/>
      <c r="O24" s="690"/>
    </row>
    <row r="25" spans="1:16" ht="13.8" thickBot="1" x14ac:dyDescent="0.3">
      <c r="A25" s="684"/>
      <c r="B25" s="684"/>
      <c r="C25" s="686"/>
      <c r="D25" s="197" t="s">
        <v>165</v>
      </c>
      <c r="E25" s="197" t="s">
        <v>166</v>
      </c>
      <c r="F25" s="197" t="s">
        <v>167</v>
      </c>
      <c r="G25" s="197" t="s">
        <v>168</v>
      </c>
      <c r="H25" s="197" t="s">
        <v>169</v>
      </c>
      <c r="I25" s="197" t="s">
        <v>170</v>
      </c>
      <c r="J25" s="197" t="s">
        <v>171</v>
      </c>
      <c r="K25" s="197" t="s">
        <v>172</v>
      </c>
      <c r="L25" s="197" t="s">
        <v>173</v>
      </c>
      <c r="M25" s="197" t="s">
        <v>174</v>
      </c>
      <c r="N25" s="197" t="s">
        <v>175</v>
      </c>
      <c r="O25" s="197" t="s">
        <v>176</v>
      </c>
    </row>
    <row r="26" spans="1:16" s="548" customFormat="1" ht="15" customHeight="1" x14ac:dyDescent="0.3">
      <c r="A26" s="559" t="s">
        <v>1007</v>
      </c>
      <c r="B26" s="560">
        <v>0.15</v>
      </c>
      <c r="C26" s="561">
        <f t="shared" ref="C26:C38" si="0">$B$22*B26</f>
        <v>0</v>
      </c>
      <c r="D26" s="562"/>
      <c r="E26" s="562"/>
      <c r="F26" s="562"/>
      <c r="G26" s="562"/>
      <c r="H26" s="562"/>
      <c r="I26" s="562"/>
      <c r="J26" s="562"/>
      <c r="K26" s="562"/>
      <c r="L26" s="562"/>
      <c r="M26" s="562"/>
      <c r="N26" s="562"/>
      <c r="O26" s="719"/>
      <c r="P26" s="720" t="s">
        <v>1100</v>
      </c>
    </row>
    <row r="27" spans="1:16" s="548" customFormat="1" ht="15" customHeight="1" x14ac:dyDescent="0.3">
      <c r="A27" s="559" t="s">
        <v>1008</v>
      </c>
      <c r="B27" s="560">
        <v>0.05</v>
      </c>
      <c r="C27" s="561">
        <f t="shared" si="0"/>
        <v>0</v>
      </c>
      <c r="D27" s="562"/>
      <c r="E27" s="562"/>
      <c r="F27" s="562"/>
      <c r="G27" s="562"/>
      <c r="H27" s="562"/>
      <c r="I27" s="562"/>
      <c r="J27" s="562"/>
      <c r="K27" s="562"/>
      <c r="L27" s="562"/>
      <c r="M27" s="562"/>
      <c r="N27" s="562"/>
      <c r="O27" s="719"/>
      <c r="P27" s="721"/>
    </row>
    <row r="28" spans="1:16" s="548" customFormat="1" ht="15" customHeight="1" x14ac:dyDescent="0.3">
      <c r="A28" s="559" t="s">
        <v>1087</v>
      </c>
      <c r="B28" s="560">
        <v>0.05</v>
      </c>
      <c r="C28" s="561">
        <f t="shared" si="0"/>
        <v>0</v>
      </c>
      <c r="D28" s="562"/>
      <c r="E28" s="562"/>
      <c r="F28" s="562"/>
      <c r="G28" s="562"/>
      <c r="H28" s="562"/>
      <c r="I28" s="562"/>
      <c r="J28" s="562"/>
      <c r="K28" s="562"/>
      <c r="L28" s="562"/>
      <c r="M28" s="562"/>
      <c r="N28" s="562"/>
      <c r="O28" s="719"/>
      <c r="P28" s="721"/>
    </row>
    <row r="29" spans="1:16" s="548" customFormat="1" ht="15" customHeight="1" x14ac:dyDescent="0.3">
      <c r="A29" s="559" t="s">
        <v>1099</v>
      </c>
      <c r="B29" s="560">
        <v>0.1</v>
      </c>
      <c r="C29" s="561">
        <f t="shared" ref="C29:C30" si="1">$B$22*B29</f>
        <v>0</v>
      </c>
      <c r="D29" s="562"/>
      <c r="E29" s="562"/>
      <c r="F29" s="562"/>
      <c r="G29" s="562"/>
      <c r="H29" s="562"/>
      <c r="I29" s="562"/>
      <c r="J29" s="562"/>
      <c r="K29" s="562"/>
      <c r="L29" s="562"/>
      <c r="M29" s="562"/>
      <c r="N29" s="562"/>
      <c r="O29" s="719"/>
      <c r="P29" s="721"/>
    </row>
    <row r="30" spans="1:16" s="548" customFormat="1" ht="15" customHeight="1" x14ac:dyDescent="0.3">
      <c r="A30" s="559" t="s">
        <v>1054</v>
      </c>
      <c r="B30" s="560">
        <v>0.15</v>
      </c>
      <c r="C30" s="561">
        <f t="shared" si="1"/>
        <v>0</v>
      </c>
      <c r="D30" s="562"/>
      <c r="E30" s="562"/>
      <c r="F30" s="562"/>
      <c r="G30" s="562"/>
      <c r="H30" s="562"/>
      <c r="I30" s="562"/>
      <c r="J30" s="562"/>
      <c r="K30" s="562"/>
      <c r="L30" s="562"/>
      <c r="M30" s="562"/>
      <c r="N30" s="562"/>
      <c r="O30" s="719"/>
      <c r="P30" s="721"/>
    </row>
    <row r="31" spans="1:16" s="548" customFormat="1" ht="15" customHeight="1" thickBot="1" x14ac:dyDescent="0.35">
      <c r="A31" s="559" t="s">
        <v>1012</v>
      </c>
      <c r="B31" s="560">
        <v>0.1</v>
      </c>
      <c r="C31" s="561">
        <f t="shared" si="0"/>
        <v>0</v>
      </c>
      <c r="D31" s="562"/>
      <c r="E31" s="562"/>
      <c r="F31" s="562"/>
      <c r="G31" s="562"/>
      <c r="H31" s="562"/>
      <c r="I31" s="562"/>
      <c r="J31" s="562"/>
      <c r="K31" s="562"/>
      <c r="L31" s="562"/>
      <c r="M31" s="562"/>
      <c r="N31" s="562"/>
      <c r="O31" s="719"/>
      <c r="P31" s="722"/>
    </row>
    <row r="32" spans="1:16" s="548" customFormat="1" ht="15" customHeight="1" x14ac:dyDescent="0.3">
      <c r="A32" s="559" t="s">
        <v>1013</v>
      </c>
      <c r="B32" s="560">
        <v>0.1</v>
      </c>
      <c r="C32" s="561">
        <f t="shared" si="0"/>
        <v>0</v>
      </c>
      <c r="D32" s="562"/>
      <c r="E32" s="562"/>
      <c r="F32" s="562"/>
      <c r="G32" s="562"/>
      <c r="H32" s="562"/>
      <c r="I32" s="562"/>
      <c r="J32" s="562"/>
      <c r="K32" s="562"/>
      <c r="L32" s="562"/>
      <c r="M32" s="562"/>
      <c r="N32" s="562"/>
      <c r="O32" s="562"/>
    </row>
    <row r="33" spans="1:15" s="548" customFormat="1" ht="15" customHeight="1" x14ac:dyDescent="0.3">
      <c r="A33" s="559" t="s">
        <v>1088</v>
      </c>
      <c r="B33" s="560">
        <v>0.05</v>
      </c>
      <c r="C33" s="561">
        <f t="shared" si="0"/>
        <v>0</v>
      </c>
      <c r="D33" s="562"/>
      <c r="E33" s="562"/>
      <c r="F33" s="562"/>
      <c r="G33" s="562"/>
      <c r="H33" s="562"/>
      <c r="I33" s="562"/>
      <c r="J33" s="562"/>
      <c r="K33" s="562"/>
      <c r="L33" s="562"/>
      <c r="M33" s="562"/>
      <c r="N33" s="562"/>
      <c r="O33" s="562"/>
    </row>
    <row r="34" spans="1:15" s="548" customFormat="1" ht="15" customHeight="1" x14ac:dyDescent="0.3">
      <c r="A34" s="559" t="s">
        <v>1009</v>
      </c>
      <c r="B34" s="560">
        <v>0.1</v>
      </c>
      <c r="C34" s="561">
        <f t="shared" si="0"/>
        <v>0</v>
      </c>
      <c r="D34" s="562"/>
      <c r="E34" s="562"/>
      <c r="F34" s="562"/>
      <c r="G34" s="562"/>
      <c r="H34" s="562"/>
      <c r="I34" s="562"/>
      <c r="J34" s="562"/>
      <c r="K34" s="562"/>
      <c r="L34" s="562"/>
      <c r="M34" s="562"/>
      <c r="N34" s="562"/>
      <c r="O34" s="562"/>
    </row>
    <row r="35" spans="1:15" s="548" customFormat="1" ht="15" customHeight="1" x14ac:dyDescent="0.3">
      <c r="A35" s="559" t="s">
        <v>1014</v>
      </c>
      <c r="B35" s="560">
        <v>0.1</v>
      </c>
      <c r="C35" s="561">
        <f t="shared" si="0"/>
        <v>0</v>
      </c>
      <c r="D35" s="562"/>
      <c r="E35" s="562"/>
      <c r="F35" s="562"/>
      <c r="G35" s="562"/>
      <c r="H35" s="562"/>
      <c r="I35" s="562"/>
      <c r="J35" s="562"/>
      <c r="K35" s="562"/>
      <c r="L35" s="562"/>
      <c r="M35" s="562"/>
      <c r="N35" s="562"/>
      <c r="O35" s="562"/>
    </row>
    <row r="36" spans="1:15" s="548" customFormat="1" ht="15" customHeight="1" x14ac:dyDescent="0.3">
      <c r="A36" s="559" t="s">
        <v>1010</v>
      </c>
      <c r="B36" s="560">
        <v>0.03</v>
      </c>
      <c r="C36" s="561">
        <f t="shared" si="0"/>
        <v>0</v>
      </c>
      <c r="D36" s="562"/>
      <c r="E36" s="562"/>
      <c r="F36" s="562"/>
      <c r="G36" s="562"/>
      <c r="H36" s="562"/>
      <c r="I36" s="562"/>
      <c r="J36" s="562"/>
      <c r="K36" s="562"/>
      <c r="L36" s="562"/>
      <c r="M36" s="562"/>
      <c r="N36" s="562"/>
      <c r="O36" s="562"/>
    </row>
    <row r="37" spans="1:15" s="548" customFormat="1" ht="15" customHeight="1" x14ac:dyDescent="0.3">
      <c r="A37" s="559" t="s">
        <v>1011</v>
      </c>
      <c r="B37" s="560">
        <v>0.02</v>
      </c>
      <c r="C37" s="561">
        <f t="shared" si="0"/>
        <v>0</v>
      </c>
      <c r="D37" s="562"/>
      <c r="E37" s="562"/>
      <c r="F37" s="562"/>
      <c r="G37" s="562"/>
      <c r="H37" s="562"/>
      <c r="I37" s="562"/>
      <c r="J37" s="562"/>
      <c r="K37" s="562"/>
      <c r="L37" s="562"/>
      <c r="M37" s="562"/>
      <c r="N37" s="562"/>
      <c r="O37" s="562"/>
    </row>
    <row r="38" spans="1:15" s="548" customFormat="1" ht="15" customHeight="1" x14ac:dyDescent="0.3">
      <c r="A38" s="559" t="str">
        <f>'Matriz Escopo'!A113</f>
        <v>OUTRAS ATIVIDADES</v>
      </c>
      <c r="B38" s="560">
        <v>0</v>
      </c>
      <c r="C38" s="561">
        <f t="shared" si="0"/>
        <v>0</v>
      </c>
      <c r="D38" s="562"/>
      <c r="E38" s="562"/>
      <c r="F38" s="562"/>
      <c r="G38" s="562"/>
      <c r="H38" s="562"/>
      <c r="I38" s="562"/>
      <c r="J38" s="562"/>
      <c r="K38" s="562"/>
      <c r="L38" s="562"/>
      <c r="M38" s="562"/>
      <c r="N38" s="562"/>
      <c r="O38" s="562"/>
    </row>
    <row r="39" spans="1:15" s="548" customFormat="1" ht="15" customHeight="1" x14ac:dyDescent="0.3">
      <c r="A39" s="563" t="s">
        <v>90</v>
      </c>
      <c r="B39" s="564">
        <f>SUM(B26:B38)</f>
        <v>1</v>
      </c>
      <c r="C39" s="565">
        <f>SUM(C26:C38)</f>
        <v>0</v>
      </c>
      <c r="D39" s="562"/>
      <c r="E39" s="562"/>
      <c r="F39" s="562"/>
      <c r="G39" s="562"/>
      <c r="H39" s="562"/>
      <c r="I39" s="562"/>
      <c r="J39" s="562"/>
      <c r="K39" s="562"/>
      <c r="L39" s="562"/>
      <c r="M39" s="562"/>
      <c r="N39" s="562"/>
      <c r="O39" s="562"/>
    </row>
    <row r="40" spans="1:15" x14ac:dyDescent="0.25">
      <c r="B40" s="99"/>
    </row>
    <row r="41" spans="1:15" x14ac:dyDescent="0.25">
      <c r="A41" s="575" t="s">
        <v>179</v>
      </c>
      <c r="B41" s="39"/>
      <c r="C41" s="39"/>
    </row>
    <row r="42" spans="1:15" x14ac:dyDescent="0.25">
      <c r="A42" s="685" t="s">
        <v>181</v>
      </c>
      <c r="B42" s="683" t="s">
        <v>160</v>
      </c>
      <c r="C42" s="683" t="s">
        <v>163</v>
      </c>
    </row>
    <row r="43" spans="1:15" x14ac:dyDescent="0.25">
      <c r="A43" s="684"/>
      <c r="B43" s="684"/>
      <c r="C43" s="684"/>
    </row>
    <row r="44" spans="1:15" x14ac:dyDescent="0.25">
      <c r="A44" s="100" t="s">
        <v>179</v>
      </c>
      <c r="B44" s="101">
        <v>1</v>
      </c>
      <c r="C44" s="102">
        <v>0</v>
      </c>
      <c r="D44" s="574" t="s">
        <v>180</v>
      </c>
    </row>
    <row r="45" spans="1:15" x14ac:dyDescent="0.25">
      <c r="B45" s="99"/>
    </row>
    <row r="46" spans="1:15" x14ac:dyDescent="0.25">
      <c r="A46" s="575" t="s">
        <v>1077</v>
      </c>
      <c r="B46" s="39"/>
      <c r="C46" s="39"/>
    </row>
    <row r="47" spans="1:15" ht="14.4" customHeight="1" x14ac:dyDescent="0.25">
      <c r="A47" s="687" t="s">
        <v>177</v>
      </c>
      <c r="B47" s="687"/>
      <c r="C47" s="687"/>
      <c r="D47" s="688" t="s">
        <v>185</v>
      </c>
      <c r="E47" s="689"/>
      <c r="F47" s="689"/>
      <c r="G47" s="689"/>
      <c r="H47" s="689"/>
      <c r="I47" s="689"/>
      <c r="J47" s="689"/>
      <c r="K47" s="689"/>
      <c r="L47" s="689"/>
      <c r="M47" s="689"/>
      <c r="N47" s="689"/>
      <c r="O47" s="690"/>
    </row>
    <row r="48" spans="1:15" x14ac:dyDescent="0.25">
      <c r="A48" s="687"/>
      <c r="B48" s="687"/>
      <c r="C48" s="687"/>
      <c r="D48" s="98" t="s">
        <v>165</v>
      </c>
      <c r="E48" s="98" t="s">
        <v>166</v>
      </c>
      <c r="F48" s="98" t="s">
        <v>167</v>
      </c>
      <c r="G48" s="98" t="s">
        <v>168</v>
      </c>
      <c r="H48" s="98" t="s">
        <v>169</v>
      </c>
      <c r="I48" s="98" t="s">
        <v>170</v>
      </c>
      <c r="J48" s="98" t="s">
        <v>171</v>
      </c>
      <c r="K48" s="98" t="s">
        <v>172</v>
      </c>
      <c r="L48" s="98" t="s">
        <v>173</v>
      </c>
      <c r="M48" s="98" t="s">
        <v>174</v>
      </c>
      <c r="N48" s="98" t="s">
        <v>175</v>
      </c>
      <c r="O48" s="98" t="s">
        <v>176</v>
      </c>
    </row>
    <row r="49" spans="1:15" s="548" customFormat="1" ht="15" customHeight="1" x14ac:dyDescent="0.3">
      <c r="A49" s="559" t="str">
        <f>A26</f>
        <v>REALIZAÇÃO DA REUNIÃO DE KICK-OFF</v>
      </c>
      <c r="B49" s="560">
        <f>B26</f>
        <v>0.15</v>
      </c>
      <c r="C49" s="561">
        <f>C26</f>
        <v>0</v>
      </c>
      <c r="D49" s="566" t="str">
        <f t="shared" ref="D49:O49" si="2">IF(D26&lt;&gt;"",$C49*D26,"")</f>
        <v/>
      </c>
      <c r="E49" s="566" t="str">
        <f t="shared" si="2"/>
        <v/>
      </c>
      <c r="F49" s="566" t="str">
        <f t="shared" si="2"/>
        <v/>
      </c>
      <c r="G49" s="566" t="str">
        <f t="shared" si="2"/>
        <v/>
      </c>
      <c r="H49" s="566" t="str">
        <f t="shared" si="2"/>
        <v/>
      </c>
      <c r="I49" s="566" t="str">
        <f t="shared" si="2"/>
        <v/>
      </c>
      <c r="J49" s="566" t="str">
        <f t="shared" si="2"/>
        <v/>
      </c>
      <c r="K49" s="566" t="str">
        <f t="shared" si="2"/>
        <v/>
      </c>
      <c r="L49" s="566" t="str">
        <f t="shared" si="2"/>
        <v/>
      </c>
      <c r="M49" s="566" t="str">
        <f t="shared" si="2"/>
        <v/>
      </c>
      <c r="N49" s="566" t="str">
        <f t="shared" si="2"/>
        <v/>
      </c>
      <c r="O49" s="566" t="str">
        <f t="shared" si="2"/>
        <v/>
      </c>
    </row>
    <row r="50" spans="1:15" s="548" customFormat="1" ht="15" customHeight="1" x14ac:dyDescent="0.3">
      <c r="A50" s="559" t="str">
        <f t="shared" ref="A50:C50" si="3">A27</f>
        <v>EMISSÃO DA DOCUMENTAÇÃO DE PLANEJAMENTO (TAKEOFF)</v>
      </c>
      <c r="B50" s="560">
        <f t="shared" si="3"/>
        <v>0.05</v>
      </c>
      <c r="C50" s="561">
        <f t="shared" si="3"/>
        <v>0</v>
      </c>
      <c r="D50" s="566" t="str">
        <f t="shared" ref="D50:O50" si="4">IF(D27&lt;&gt;"",$C50*D27,"")</f>
        <v/>
      </c>
      <c r="E50" s="566" t="str">
        <f t="shared" si="4"/>
        <v/>
      </c>
      <c r="F50" s="566" t="str">
        <f t="shared" si="4"/>
        <v/>
      </c>
      <c r="G50" s="566" t="str">
        <f t="shared" si="4"/>
        <v/>
      </c>
      <c r="H50" s="566" t="str">
        <f t="shared" si="4"/>
        <v/>
      </c>
      <c r="I50" s="566" t="str">
        <f t="shared" si="4"/>
        <v/>
      </c>
      <c r="J50" s="566" t="str">
        <f t="shared" si="4"/>
        <v/>
      </c>
      <c r="K50" s="566" t="str">
        <f t="shared" si="4"/>
        <v/>
      </c>
      <c r="L50" s="566" t="str">
        <f t="shared" si="4"/>
        <v/>
      </c>
      <c r="M50" s="566" t="str">
        <f t="shared" si="4"/>
        <v/>
      </c>
      <c r="N50" s="566" t="str">
        <f t="shared" si="4"/>
        <v/>
      </c>
      <c r="O50" s="566" t="str">
        <f t="shared" si="4"/>
        <v/>
      </c>
    </row>
    <row r="51" spans="1:15" s="548" customFormat="1" ht="15" customHeight="1" x14ac:dyDescent="0.3">
      <c r="A51" s="559" t="str">
        <f t="shared" ref="A51:C51" si="5">A28</f>
        <v>EMISSÃO DA ATA DE LEVANTAMENTO DE DADOS E CAMPO</v>
      </c>
      <c r="B51" s="560">
        <f t="shared" si="5"/>
        <v>0.05</v>
      </c>
      <c r="C51" s="561">
        <f t="shared" si="5"/>
        <v>0</v>
      </c>
      <c r="D51" s="566" t="str">
        <f t="shared" ref="D51:O51" si="6">IF(D28&lt;&gt;"",$C51*D28,"")</f>
        <v/>
      </c>
      <c r="E51" s="566" t="str">
        <f t="shared" si="6"/>
        <v/>
      </c>
      <c r="F51" s="566" t="str">
        <f t="shared" si="6"/>
        <v/>
      </c>
      <c r="G51" s="566" t="str">
        <f t="shared" si="6"/>
        <v/>
      </c>
      <c r="H51" s="566" t="str">
        <f t="shared" si="6"/>
        <v/>
      </c>
      <c r="I51" s="566" t="str">
        <f t="shared" si="6"/>
        <v/>
      </c>
      <c r="J51" s="566" t="str">
        <f t="shared" si="6"/>
        <v/>
      </c>
      <c r="K51" s="566" t="str">
        <f t="shared" si="6"/>
        <v/>
      </c>
      <c r="L51" s="566" t="str">
        <f t="shared" si="6"/>
        <v/>
      </c>
      <c r="M51" s="566" t="str">
        <f t="shared" si="6"/>
        <v/>
      </c>
      <c r="N51" s="566" t="str">
        <f t="shared" si="6"/>
        <v/>
      </c>
      <c r="O51" s="566" t="str">
        <f t="shared" si="6"/>
        <v/>
      </c>
    </row>
    <row r="52" spans="1:15" s="548" customFormat="1" ht="15" customHeight="1" x14ac:dyDescent="0.3">
      <c r="A52" s="559" t="str">
        <f t="shared" ref="A52:C52" si="7">A29</f>
        <v>EMISSÃO DA ESPECIFICAÇÃO FUNCIONAL OU DOC SIMILAR</v>
      </c>
      <c r="B52" s="560">
        <f t="shared" si="7"/>
        <v>0.1</v>
      </c>
      <c r="C52" s="561">
        <f t="shared" si="7"/>
        <v>0</v>
      </c>
      <c r="D52" s="566" t="str">
        <f t="shared" ref="D52:O52" si="8">IF(D29&lt;&gt;"",$C52*D29,"")</f>
        <v/>
      </c>
      <c r="E52" s="566" t="str">
        <f t="shared" si="8"/>
        <v/>
      </c>
      <c r="F52" s="566" t="str">
        <f t="shared" si="8"/>
        <v/>
      </c>
      <c r="G52" s="566" t="str">
        <f t="shared" si="8"/>
        <v/>
      </c>
      <c r="H52" s="566" t="str">
        <f t="shared" si="8"/>
        <v/>
      </c>
      <c r="I52" s="566" t="str">
        <f t="shared" si="8"/>
        <v/>
      </c>
      <c r="J52" s="566" t="str">
        <f t="shared" si="8"/>
        <v/>
      </c>
      <c r="K52" s="566" t="str">
        <f t="shared" si="8"/>
        <v/>
      </c>
      <c r="L52" s="566" t="str">
        <f t="shared" si="8"/>
        <v/>
      </c>
      <c r="M52" s="566" t="str">
        <f t="shared" si="8"/>
        <v/>
      </c>
      <c r="N52" s="566" t="str">
        <f t="shared" si="8"/>
        <v/>
      </c>
      <c r="O52" s="566" t="str">
        <f t="shared" si="8"/>
        <v/>
      </c>
    </row>
    <row r="53" spans="1:15" s="548" customFormat="1" ht="15" customHeight="1" x14ac:dyDescent="0.3">
      <c r="A53" s="559" t="str">
        <f t="shared" ref="A53:C55" si="9">A30</f>
        <v>EMISSÃOS DOS ORÇAMENTOS PARA COMPRA (DILIGICENCIAMENTO)</v>
      </c>
      <c r="B53" s="560">
        <f t="shared" si="9"/>
        <v>0.15</v>
      </c>
      <c r="C53" s="561">
        <f t="shared" si="9"/>
        <v>0</v>
      </c>
      <c r="D53" s="566"/>
      <c r="E53" s="566"/>
      <c r="F53" s="566"/>
      <c r="G53" s="566"/>
      <c r="H53" s="566"/>
      <c r="I53" s="566"/>
      <c r="J53" s="566"/>
      <c r="K53" s="566"/>
      <c r="L53" s="566"/>
      <c r="M53" s="566"/>
      <c r="N53" s="566"/>
      <c r="O53" s="566"/>
    </row>
    <row r="54" spans="1:15" s="548" customFormat="1" ht="15" customHeight="1" x14ac:dyDescent="0.3">
      <c r="A54" s="559" t="str">
        <f t="shared" si="9"/>
        <v>ENVIO PRIMEIRA VERSÃO DO SISTEMA DE CONTROLE</v>
      </c>
      <c r="B54" s="560">
        <f t="shared" si="9"/>
        <v>0.1</v>
      </c>
      <c r="C54" s="561">
        <f t="shared" si="9"/>
        <v>0</v>
      </c>
      <c r="D54" s="566"/>
      <c r="E54" s="566"/>
      <c r="F54" s="566"/>
      <c r="G54" s="566"/>
      <c r="H54" s="566"/>
      <c r="I54" s="566"/>
      <c r="J54" s="566"/>
      <c r="K54" s="566"/>
      <c r="L54" s="566"/>
      <c r="M54" s="566"/>
      <c r="N54" s="566"/>
      <c r="O54" s="566"/>
    </row>
    <row r="55" spans="1:15" s="548" customFormat="1" ht="15" customHeight="1" x14ac:dyDescent="0.3">
      <c r="A55" s="559" t="str">
        <f t="shared" si="9"/>
        <v>ENVIO PRIMEIRA VERSÃO DO SISTEMA DE SUPERVISÃO</v>
      </c>
      <c r="B55" s="560">
        <f t="shared" si="9"/>
        <v>0.1</v>
      </c>
      <c r="C55" s="561">
        <f t="shared" si="9"/>
        <v>0</v>
      </c>
      <c r="D55" s="566" t="str">
        <f t="shared" ref="D55:O55" si="10">IF(D31&lt;&gt;"",$C55*D31,"")</f>
        <v/>
      </c>
      <c r="E55" s="566" t="str">
        <f t="shared" si="10"/>
        <v/>
      </c>
      <c r="F55" s="566" t="str">
        <f t="shared" si="10"/>
        <v/>
      </c>
      <c r="G55" s="566" t="str">
        <f t="shared" si="10"/>
        <v/>
      </c>
      <c r="H55" s="566" t="str">
        <f t="shared" si="10"/>
        <v/>
      </c>
      <c r="I55" s="566" t="str">
        <f t="shared" si="10"/>
        <v/>
      </c>
      <c r="J55" s="566" t="str">
        <f t="shared" si="10"/>
        <v/>
      </c>
      <c r="K55" s="566" t="str">
        <f t="shared" si="10"/>
        <v/>
      </c>
      <c r="L55" s="566" t="str">
        <f t="shared" si="10"/>
        <v/>
      </c>
      <c r="M55" s="566" t="str">
        <f t="shared" si="10"/>
        <v/>
      </c>
      <c r="N55" s="566" t="str">
        <f t="shared" si="10"/>
        <v/>
      </c>
      <c r="O55" s="566" t="str">
        <f t="shared" si="10"/>
        <v/>
      </c>
    </row>
    <row r="56" spans="1:15" s="548" customFormat="1" ht="15" customHeight="1" x14ac:dyDescent="0.3">
      <c r="A56" s="559" t="str">
        <f t="shared" ref="A56:B61" si="11">A33</f>
        <v>ASSINATURA RELATÓRIO DE TESTES DE PLATAFORMA / TAF</v>
      </c>
      <c r="B56" s="560">
        <f t="shared" si="11"/>
        <v>0.05</v>
      </c>
      <c r="C56" s="561">
        <f>C33</f>
        <v>0</v>
      </c>
      <c r="D56" s="566" t="str">
        <f t="shared" ref="D56:O56" si="12">IF(D32&lt;&gt;"",$C56*D32,"")</f>
        <v/>
      </c>
      <c r="E56" s="566" t="str">
        <f t="shared" si="12"/>
        <v/>
      </c>
      <c r="F56" s="566" t="str">
        <f t="shared" si="12"/>
        <v/>
      </c>
      <c r="G56" s="566" t="str">
        <f t="shared" si="12"/>
        <v/>
      </c>
      <c r="H56" s="566" t="str">
        <f t="shared" si="12"/>
        <v/>
      </c>
      <c r="I56" s="566" t="str">
        <f t="shared" si="12"/>
        <v/>
      </c>
      <c r="J56" s="566" t="str">
        <f t="shared" si="12"/>
        <v/>
      </c>
      <c r="K56" s="566" t="str">
        <f t="shared" si="12"/>
        <v/>
      </c>
      <c r="L56" s="566" t="str">
        <f t="shared" si="12"/>
        <v/>
      </c>
      <c r="M56" s="566" t="str">
        <f t="shared" si="12"/>
        <v/>
      </c>
      <c r="N56" s="566" t="str">
        <f t="shared" si="12"/>
        <v/>
      </c>
      <c r="O56" s="566" t="str">
        <f t="shared" si="12"/>
        <v/>
      </c>
    </row>
    <row r="57" spans="1:15" s="548" customFormat="1" ht="15" customHeight="1" x14ac:dyDescent="0.3">
      <c r="A57" s="559" t="str">
        <f t="shared" si="11"/>
        <v>ASSINATURA TESTE ACEITAÇÃO EM CAMPO TAC</v>
      </c>
      <c r="B57" s="560">
        <f t="shared" si="11"/>
        <v>0.1</v>
      </c>
      <c r="C57" s="561">
        <f>C34</f>
        <v>0</v>
      </c>
      <c r="D57" s="566" t="str">
        <f t="shared" ref="D57:O57" si="13">IF(D33&lt;&gt;"",$C57*D33,"")</f>
        <v/>
      </c>
      <c r="E57" s="566" t="str">
        <f t="shared" si="13"/>
        <v/>
      </c>
      <c r="F57" s="566" t="str">
        <f t="shared" si="13"/>
        <v/>
      </c>
      <c r="G57" s="566" t="str">
        <f t="shared" si="13"/>
        <v/>
      </c>
      <c r="H57" s="566" t="str">
        <f t="shared" si="13"/>
        <v/>
      </c>
      <c r="I57" s="566" t="str">
        <f t="shared" si="13"/>
        <v/>
      </c>
      <c r="J57" s="566" t="str">
        <f t="shared" si="13"/>
        <v/>
      </c>
      <c r="K57" s="566" t="str">
        <f t="shared" si="13"/>
        <v/>
      </c>
      <c r="L57" s="566" t="str">
        <f t="shared" si="13"/>
        <v/>
      </c>
      <c r="M57" s="566" t="str">
        <f t="shared" si="13"/>
        <v/>
      </c>
      <c r="N57" s="566" t="str">
        <f t="shared" si="13"/>
        <v/>
      </c>
      <c r="O57" s="566" t="str">
        <f t="shared" si="13"/>
        <v/>
      </c>
    </row>
    <row r="58" spans="1:15" s="548" customFormat="1" ht="15" customHeight="1" x14ac:dyDescent="0.3">
      <c r="A58" s="559" t="str">
        <f t="shared" si="11"/>
        <v>ASSINATURA TESTE ACEITAÇÃO COMISSIONAMENTO E STARTUP</v>
      </c>
      <c r="B58" s="560">
        <f t="shared" si="11"/>
        <v>0.1</v>
      </c>
      <c r="C58" s="561">
        <f>C35</f>
        <v>0</v>
      </c>
      <c r="D58" s="566" t="str">
        <f t="shared" ref="D58:O58" si="14">IF(D34&lt;&gt;"",$C58*D34,"")</f>
        <v/>
      </c>
      <c r="E58" s="566" t="str">
        <f t="shared" si="14"/>
        <v/>
      </c>
      <c r="F58" s="566" t="str">
        <f t="shared" si="14"/>
        <v/>
      </c>
      <c r="G58" s="566" t="str">
        <f t="shared" si="14"/>
        <v/>
      </c>
      <c r="H58" s="566" t="str">
        <f t="shared" si="14"/>
        <v/>
      </c>
      <c r="I58" s="566" t="str">
        <f t="shared" si="14"/>
        <v/>
      </c>
      <c r="J58" s="566" t="str">
        <f t="shared" si="14"/>
        <v/>
      </c>
      <c r="K58" s="566" t="str">
        <f t="shared" si="14"/>
        <v/>
      </c>
      <c r="L58" s="566" t="str">
        <f t="shared" si="14"/>
        <v/>
      </c>
      <c r="M58" s="566" t="str">
        <f t="shared" si="14"/>
        <v/>
      </c>
      <c r="N58" s="566" t="str">
        <f t="shared" si="14"/>
        <v/>
      </c>
      <c r="O58" s="566" t="str">
        <f t="shared" si="14"/>
        <v/>
      </c>
    </row>
    <row r="59" spans="1:15" s="548" customFormat="1" ht="15" customHeight="1" x14ac:dyDescent="0.3">
      <c r="A59" s="559" t="str">
        <f t="shared" si="11"/>
        <v>ASSINATURA RELATÓRIO OPERAÇÃO ASSISTIDA</v>
      </c>
      <c r="B59" s="560">
        <f t="shared" si="11"/>
        <v>0.03</v>
      </c>
      <c r="C59" s="561">
        <f>C36</f>
        <v>0</v>
      </c>
      <c r="D59" s="566" t="str">
        <f t="shared" ref="D59:O59" si="15">IF(D36&lt;&gt;"",$C59*D36,"")</f>
        <v/>
      </c>
      <c r="E59" s="566" t="str">
        <f t="shared" si="15"/>
        <v/>
      </c>
      <c r="F59" s="566" t="str">
        <f t="shared" si="15"/>
        <v/>
      </c>
      <c r="G59" s="566" t="str">
        <f t="shared" si="15"/>
        <v/>
      </c>
      <c r="H59" s="566" t="str">
        <f t="shared" si="15"/>
        <v/>
      </c>
      <c r="I59" s="566" t="str">
        <f t="shared" si="15"/>
        <v/>
      </c>
      <c r="J59" s="566" t="str">
        <f t="shared" si="15"/>
        <v/>
      </c>
      <c r="K59" s="566" t="str">
        <f t="shared" si="15"/>
        <v/>
      </c>
      <c r="L59" s="566" t="str">
        <f t="shared" si="15"/>
        <v/>
      </c>
      <c r="M59" s="566" t="str">
        <f t="shared" si="15"/>
        <v/>
      </c>
      <c r="N59" s="566" t="str">
        <f t="shared" si="15"/>
        <v/>
      </c>
      <c r="O59" s="566" t="str">
        <f t="shared" si="15"/>
        <v/>
      </c>
    </row>
    <row r="60" spans="1:15" s="548" customFormat="1" ht="15" customHeight="1" x14ac:dyDescent="0.3">
      <c r="A60" s="559" t="str">
        <f t="shared" si="11"/>
        <v>CONCLUSÃO TREINAMENTOS</v>
      </c>
      <c r="B60" s="560">
        <f t="shared" si="11"/>
        <v>0.02</v>
      </c>
      <c r="C60" s="561">
        <f>C37</f>
        <v>0</v>
      </c>
      <c r="D60" s="566" t="str">
        <f t="shared" ref="D60:O60" si="16">IF(D37&lt;&gt;"",$C60*D37,"")</f>
        <v/>
      </c>
      <c r="E60" s="566" t="str">
        <f t="shared" si="16"/>
        <v/>
      </c>
      <c r="F60" s="566" t="str">
        <f t="shared" si="16"/>
        <v/>
      </c>
      <c r="G60" s="566" t="str">
        <f t="shared" si="16"/>
        <v/>
      </c>
      <c r="H60" s="566" t="str">
        <f t="shared" si="16"/>
        <v/>
      </c>
      <c r="I60" s="566" t="str">
        <f t="shared" si="16"/>
        <v/>
      </c>
      <c r="J60" s="566" t="str">
        <f t="shared" si="16"/>
        <v/>
      </c>
      <c r="K60" s="566" t="str">
        <f t="shared" si="16"/>
        <v/>
      </c>
      <c r="L60" s="566" t="str">
        <f t="shared" si="16"/>
        <v/>
      </c>
      <c r="M60" s="566" t="str">
        <f t="shared" si="16"/>
        <v/>
      </c>
      <c r="N60" s="566" t="str">
        <f t="shared" si="16"/>
        <v/>
      </c>
      <c r="O60" s="566" t="str">
        <f t="shared" si="16"/>
        <v/>
      </c>
    </row>
    <row r="61" spans="1:15" s="548" customFormat="1" ht="15" customHeight="1" x14ac:dyDescent="0.3">
      <c r="A61" s="559" t="str">
        <f t="shared" si="11"/>
        <v>OUTRAS ATIVIDADES</v>
      </c>
      <c r="B61" s="560">
        <f t="shared" si="11"/>
        <v>0</v>
      </c>
      <c r="C61" s="561">
        <f>C38</f>
        <v>0</v>
      </c>
      <c r="D61" s="566" t="str">
        <f t="shared" ref="D61:O61" si="17">IF(D38&lt;&gt;"",$C61*D38,"")</f>
        <v/>
      </c>
      <c r="E61" s="566" t="str">
        <f t="shared" si="17"/>
        <v/>
      </c>
      <c r="F61" s="566" t="str">
        <f t="shared" si="17"/>
        <v/>
      </c>
      <c r="G61" s="566" t="str">
        <f t="shared" si="17"/>
        <v/>
      </c>
      <c r="H61" s="566" t="str">
        <f t="shared" si="17"/>
        <v/>
      </c>
      <c r="I61" s="566" t="str">
        <f t="shared" si="17"/>
        <v/>
      </c>
      <c r="J61" s="566" t="str">
        <f t="shared" si="17"/>
        <v/>
      </c>
      <c r="K61" s="566" t="str">
        <f t="shared" si="17"/>
        <v/>
      </c>
      <c r="L61" s="566" t="str">
        <f t="shared" si="17"/>
        <v/>
      </c>
      <c r="M61" s="566" t="str">
        <f t="shared" si="17"/>
        <v/>
      </c>
      <c r="N61" s="566" t="str">
        <f t="shared" si="17"/>
        <v/>
      </c>
      <c r="O61" s="566" t="str">
        <f t="shared" si="17"/>
        <v/>
      </c>
    </row>
    <row r="62" spans="1:15" s="548" customFormat="1" ht="15" customHeight="1" x14ac:dyDescent="0.3">
      <c r="D62" s="567">
        <f>SUM(D49:D61)</f>
        <v>0</v>
      </c>
      <c r="E62" s="567">
        <f t="shared" ref="E62:O62" si="18">SUM(E49:E61)</f>
        <v>0</v>
      </c>
      <c r="F62" s="567">
        <f t="shared" si="18"/>
        <v>0</v>
      </c>
      <c r="G62" s="567">
        <f t="shared" si="18"/>
        <v>0</v>
      </c>
      <c r="H62" s="567">
        <f t="shared" si="18"/>
        <v>0</v>
      </c>
      <c r="I62" s="567">
        <f t="shared" si="18"/>
        <v>0</v>
      </c>
      <c r="J62" s="567">
        <f t="shared" si="18"/>
        <v>0</v>
      </c>
      <c r="K62" s="567">
        <f t="shared" si="18"/>
        <v>0</v>
      </c>
      <c r="L62" s="567">
        <f t="shared" si="18"/>
        <v>0</v>
      </c>
      <c r="M62" s="567">
        <f t="shared" si="18"/>
        <v>0</v>
      </c>
      <c r="N62" s="567">
        <f t="shared" si="18"/>
        <v>0</v>
      </c>
      <c r="O62" s="567">
        <f t="shared" si="18"/>
        <v>0</v>
      </c>
    </row>
    <row r="63" spans="1:15" s="548" customFormat="1" ht="15" customHeight="1" x14ac:dyDescent="0.3"/>
    <row r="64" spans="1:15" x14ac:dyDescent="0.25">
      <c r="A64" s="575" t="s">
        <v>1078</v>
      </c>
      <c r="B64" s="39"/>
      <c r="C64" s="39"/>
    </row>
    <row r="65" spans="1:3" x14ac:dyDescent="0.25">
      <c r="A65" s="676" t="s">
        <v>1065</v>
      </c>
      <c r="B65" s="676"/>
      <c r="C65" s="676"/>
    </row>
    <row r="66" spans="1:3" ht="30" customHeight="1" x14ac:dyDescent="0.25">
      <c r="A66" s="552" t="s">
        <v>71</v>
      </c>
      <c r="B66" s="573" t="s">
        <v>410</v>
      </c>
      <c r="C66" s="573" t="s">
        <v>722</v>
      </c>
    </row>
    <row r="67" spans="1:3" ht="15" customHeight="1" x14ac:dyDescent="0.25">
      <c r="A67" s="553" t="str">
        <f>'Fornec. TAGNA'!C11</f>
        <v>Painel de PLC</v>
      </c>
      <c r="B67" s="554">
        <f>'Fornec. TAGNA'!L11</f>
        <v>2070.8774281486244</v>
      </c>
      <c r="C67" s="555">
        <f>'Fornec. TAGNA'!M11</f>
        <v>0</v>
      </c>
    </row>
    <row r="68" spans="1:3" ht="15" customHeight="1" x14ac:dyDescent="0.25">
      <c r="A68" s="553" t="str">
        <f>'Fornec. TAGNA'!C42</f>
        <v>Montagem elétrica</v>
      </c>
      <c r="B68" s="554">
        <f>'Fornec. TAGNA'!L42</f>
        <v>0</v>
      </c>
      <c r="C68" s="556">
        <f>'Fornec. TAGNA'!M42</f>
        <v>0</v>
      </c>
    </row>
    <row r="69" spans="1:3" ht="15" customHeight="1" x14ac:dyDescent="0.25">
      <c r="A69" s="553">
        <f>'Fornec. TAGNA'!C73</f>
        <v>0</v>
      </c>
      <c r="B69" s="554">
        <f>'Fornec. TAGNA'!L62</f>
        <v>0</v>
      </c>
      <c r="C69" s="556">
        <f>'Fornec. TAGNA'!M62</f>
        <v>0</v>
      </c>
    </row>
    <row r="70" spans="1:3" ht="15" customHeight="1" x14ac:dyDescent="0.25">
      <c r="A70" s="553">
        <f>'Fornec. TAGNA'!C104</f>
        <v>0</v>
      </c>
      <c r="B70" s="554">
        <f>'Fornec. TAGNA'!L93</f>
        <v>0</v>
      </c>
      <c r="C70" s="556">
        <f>'Fornec. TAGNA'!M93</f>
        <v>0</v>
      </c>
    </row>
    <row r="71" spans="1:3" ht="15" customHeight="1" x14ac:dyDescent="0.25">
      <c r="A71" s="553">
        <f>'Fornec. TAGNA'!C135</f>
        <v>0</v>
      </c>
      <c r="B71" s="554">
        <f>'Fornec. TAGNA'!L124</f>
        <v>0</v>
      </c>
      <c r="C71" s="555">
        <f>'Fornec. TAGNA'!M124</f>
        <v>0</v>
      </c>
    </row>
    <row r="72" spans="1:3" ht="15" customHeight="1" x14ac:dyDescent="0.25">
      <c r="A72" s="553">
        <f>'Fornec. TAGNA'!C166</f>
        <v>0</v>
      </c>
      <c r="B72" s="554">
        <f>'Fornec. TAGNA'!L155</f>
        <v>0</v>
      </c>
      <c r="C72" s="556">
        <f>'Fornec. TAGNA'!M155</f>
        <v>0</v>
      </c>
    </row>
    <row r="73" spans="1:3" ht="15" customHeight="1" x14ac:dyDescent="0.25">
      <c r="A73" s="553">
        <f>'Fornec. TAGNA'!C197</f>
        <v>0</v>
      </c>
      <c r="B73" s="554">
        <f>'Fornec. TAGNA'!L186</f>
        <v>0</v>
      </c>
      <c r="C73" s="556">
        <f>'Fornec. TAGNA'!M186</f>
        <v>0</v>
      </c>
    </row>
    <row r="74" spans="1:3" ht="15" customHeight="1" x14ac:dyDescent="0.25">
      <c r="A74" s="553">
        <f>'Fornec. TAGNA'!C228</f>
        <v>0</v>
      </c>
      <c r="B74" s="554">
        <f>'Fornec. TAGNA'!L217</f>
        <v>0</v>
      </c>
      <c r="C74" s="556">
        <f>'Fornec. TAGNA'!M217</f>
        <v>0</v>
      </c>
    </row>
    <row r="75" spans="1:3" ht="15" customHeight="1" x14ac:dyDescent="0.25">
      <c r="A75" s="553">
        <f>'Fornec. TAGNA'!C259</f>
        <v>0</v>
      </c>
      <c r="B75" s="554">
        <f>'Fornec. TAGNA'!L248</f>
        <v>0</v>
      </c>
      <c r="C75" s="555">
        <f>'Fornec. TAGNA'!M248</f>
        <v>0</v>
      </c>
    </row>
    <row r="76" spans="1:3" ht="15" customHeight="1" x14ac:dyDescent="0.25">
      <c r="A76" s="553">
        <f>'Fornec. TAGNA'!C290</f>
        <v>0</v>
      </c>
      <c r="B76" s="554">
        <f>'Fornec. TAGNA'!L279</f>
        <v>0</v>
      </c>
      <c r="C76" s="556">
        <f>'Fornec. TAGNA'!M279</f>
        <v>0</v>
      </c>
    </row>
    <row r="77" spans="1:3" ht="15" customHeight="1" x14ac:dyDescent="0.25">
      <c r="A77" s="557" t="s">
        <v>90</v>
      </c>
      <c r="B77" s="558">
        <f>SUM(B67:B76)</f>
        <v>2070.8774281486244</v>
      </c>
      <c r="C77" s="558"/>
    </row>
    <row r="78" spans="1:3" ht="15" customHeight="1" x14ac:dyDescent="0.25"/>
    <row r="79" spans="1:3" x14ac:dyDescent="0.25">
      <c r="A79" s="575" t="s">
        <v>1079</v>
      </c>
      <c r="B79" s="39"/>
      <c r="C79" s="39"/>
    </row>
    <row r="80" spans="1:3" x14ac:dyDescent="0.25">
      <c r="A80" s="673" t="s">
        <v>1070</v>
      </c>
      <c r="B80" s="674"/>
      <c r="C80" s="675"/>
    </row>
    <row r="81" spans="1:3" ht="30" customHeight="1" x14ac:dyDescent="0.25">
      <c r="A81" s="552" t="s">
        <v>71</v>
      </c>
      <c r="B81" s="573" t="s">
        <v>410</v>
      </c>
      <c r="C81" s="573" t="s">
        <v>1071</v>
      </c>
    </row>
    <row r="82" spans="1:3" ht="15" customHeight="1" x14ac:dyDescent="0.25">
      <c r="A82" s="553" t="str">
        <f>'Fornec. DIRETO'!C11</f>
        <v>Painel de PLC</v>
      </c>
      <c r="B82" s="554">
        <f>'Fornec. TAGNA'!L25</f>
        <v>0</v>
      </c>
      <c r="C82" s="555">
        <f>'Fornec. TAGNA'!M25</f>
        <v>0</v>
      </c>
    </row>
    <row r="83" spans="1:3" ht="15" customHeight="1" x14ac:dyDescent="0.25">
      <c r="A83" s="553" t="str">
        <f>'Fornec. DIRETO'!C41</f>
        <v>Painel de PLC</v>
      </c>
      <c r="B83" s="554">
        <f>'Fornec. TAGNA'!L56</f>
        <v>0</v>
      </c>
      <c r="C83" s="556">
        <f>'Fornec. TAGNA'!M56</f>
        <v>0</v>
      </c>
    </row>
    <row r="84" spans="1:3" ht="15" customHeight="1" x14ac:dyDescent="0.25">
      <c r="A84" s="553" t="str">
        <f>'Fornec. DIRETO'!C71</f>
        <v>Painel de PLC</v>
      </c>
      <c r="B84" s="554">
        <f>'Fornec. TAGNA'!L76</f>
        <v>0</v>
      </c>
      <c r="C84" s="556">
        <f>'Fornec. TAGNA'!M76</f>
        <v>0</v>
      </c>
    </row>
    <row r="85" spans="1:3" ht="15" customHeight="1" x14ac:dyDescent="0.25">
      <c r="A85" s="553" t="str">
        <f>'Fornec. DIRETO'!C101</f>
        <v>Painel de PLC</v>
      </c>
      <c r="B85" s="554">
        <f>'Fornec. TAGNA'!L107</f>
        <v>0</v>
      </c>
      <c r="C85" s="556">
        <f>'Fornec. TAGNA'!M107</f>
        <v>0</v>
      </c>
    </row>
    <row r="86" spans="1:3" ht="15" customHeight="1" x14ac:dyDescent="0.25">
      <c r="A86" s="553" t="str">
        <f>'Fornec. DIRETO'!C131</f>
        <v>Painel de PLC</v>
      </c>
      <c r="B86" s="554">
        <f>'Fornec. TAGNA'!L138</f>
        <v>0</v>
      </c>
      <c r="C86" s="555">
        <f>'Fornec. TAGNA'!M138</f>
        <v>0</v>
      </c>
    </row>
    <row r="87" spans="1:3" ht="15" customHeight="1" x14ac:dyDescent="0.25">
      <c r="A87" s="553" t="str">
        <f>'Fornec. DIRETO'!C161</f>
        <v>Painel de PLC</v>
      </c>
      <c r="B87" s="554">
        <f>'Fornec. TAGNA'!L169</f>
        <v>0</v>
      </c>
      <c r="C87" s="556">
        <f>'Fornec. TAGNA'!M169</f>
        <v>0</v>
      </c>
    </row>
    <row r="88" spans="1:3" ht="15" customHeight="1" x14ac:dyDescent="0.25">
      <c r="A88" s="553" t="str">
        <f>'Fornec. DIRETO'!C191</f>
        <v>Painel de PLC</v>
      </c>
      <c r="B88" s="554">
        <f>'Fornec. TAGNA'!L200</f>
        <v>0</v>
      </c>
      <c r="C88" s="556">
        <f>'Fornec. TAGNA'!M200</f>
        <v>0</v>
      </c>
    </row>
    <row r="89" spans="1:3" ht="15" customHeight="1" x14ac:dyDescent="0.25">
      <c r="A89" s="553" t="str">
        <f>'Fornec. DIRETO'!C221</f>
        <v>Painel de PLC</v>
      </c>
      <c r="B89" s="554">
        <f>'Fornec. TAGNA'!L231</f>
        <v>0</v>
      </c>
      <c r="C89" s="556">
        <f>'Fornec. TAGNA'!M231</f>
        <v>0</v>
      </c>
    </row>
    <row r="90" spans="1:3" ht="15" customHeight="1" x14ac:dyDescent="0.25">
      <c r="A90" s="553" t="str">
        <f>'Fornec. DIRETO'!C251</f>
        <v>Painel de PLC</v>
      </c>
      <c r="B90" s="554">
        <f>'Fornec. TAGNA'!L262</f>
        <v>0</v>
      </c>
      <c r="C90" s="555">
        <f>'Fornec. TAGNA'!M262</f>
        <v>0</v>
      </c>
    </row>
    <row r="91" spans="1:3" ht="15" customHeight="1" x14ac:dyDescent="0.25">
      <c r="A91" s="553" t="str">
        <f>'Fornec. DIRETO'!C281</f>
        <v>Painel de PLC</v>
      </c>
      <c r="B91" s="554">
        <f>'Fornec. TAGNA'!L293</f>
        <v>0</v>
      </c>
      <c r="C91" s="556">
        <f>'Fornec. TAGNA'!M293</f>
        <v>0</v>
      </c>
    </row>
    <row r="92" spans="1:3" ht="15" customHeight="1" x14ac:dyDescent="0.25">
      <c r="A92" s="557" t="s">
        <v>90</v>
      </c>
      <c r="B92" s="558">
        <f>SUM(B82:B91)</f>
        <v>0</v>
      </c>
      <c r="C92" s="558"/>
    </row>
    <row r="94" spans="1:3" s="548" customFormat="1" ht="15" customHeight="1" x14ac:dyDescent="0.25">
      <c r="A94" s="575" t="s">
        <v>1080</v>
      </c>
      <c r="B94" s="39"/>
      <c r="C94" s="576"/>
    </row>
    <row r="95" spans="1:3" x14ac:dyDescent="0.25">
      <c r="A95" s="687" t="s">
        <v>1057</v>
      </c>
      <c r="B95" s="687"/>
      <c r="C95" s="687"/>
    </row>
    <row r="96" spans="1:3" x14ac:dyDescent="0.25">
      <c r="A96" s="687"/>
      <c r="B96" s="687"/>
      <c r="C96" s="687"/>
    </row>
    <row r="97" spans="1:4" s="548" customFormat="1" ht="15" customHeight="1" x14ac:dyDescent="0.3">
      <c r="A97" s="568" t="s">
        <v>50</v>
      </c>
      <c r="B97" s="569" t="s">
        <v>1068</v>
      </c>
      <c r="C97" s="569" t="s">
        <v>1069</v>
      </c>
    </row>
    <row r="98" spans="1:4" s="548" customFormat="1" ht="15" customHeight="1" x14ac:dyDescent="0.3">
      <c r="A98" s="559" t="s">
        <v>322</v>
      </c>
      <c r="B98" s="570" t="s">
        <v>323</v>
      </c>
      <c r="C98" s="571">
        <f>'OT Tarifas Adicionais'!O36</f>
        <v>2777.7750000000005</v>
      </c>
      <c r="D98" s="572" t="s">
        <v>1058</v>
      </c>
    </row>
    <row r="99" spans="1:4" s="548" customFormat="1" ht="15" customHeight="1" x14ac:dyDescent="0.3">
      <c r="A99" s="559" t="s">
        <v>324</v>
      </c>
      <c r="B99" s="570" t="s">
        <v>323</v>
      </c>
      <c r="C99" s="571">
        <f>'OT Tarifas Adicionais'!O37</f>
        <v>4273.7750000000005</v>
      </c>
      <c r="D99" s="572" t="s">
        <v>1059</v>
      </c>
    </row>
    <row r="100" spans="1:4" s="548" customFormat="1" ht="15" customHeight="1" x14ac:dyDescent="0.3">
      <c r="A100" s="559" t="s">
        <v>325</v>
      </c>
      <c r="B100" s="570" t="s">
        <v>326</v>
      </c>
      <c r="C100" s="571">
        <f>'OT Tarifas Adicionais'!O38</f>
        <v>8129.024129032261</v>
      </c>
      <c r="D100" s="572" t="s">
        <v>1063</v>
      </c>
    </row>
    <row r="101" spans="1:4" s="548" customFormat="1" ht="15" customHeight="1" x14ac:dyDescent="0.3">
      <c r="A101" s="559" t="s">
        <v>327</v>
      </c>
      <c r="B101" s="570" t="s">
        <v>326</v>
      </c>
      <c r="C101" s="571">
        <f>'OT Tarifas Adicionais'!O39</f>
        <v>12506.995741935485</v>
      </c>
      <c r="D101" s="572" t="s">
        <v>1064</v>
      </c>
    </row>
    <row r="102" spans="1:4" s="548" customFormat="1" ht="15" customHeight="1" x14ac:dyDescent="0.3">
      <c r="A102" s="559" t="s">
        <v>328</v>
      </c>
      <c r="B102" s="570" t="s">
        <v>323</v>
      </c>
      <c r="C102" s="571">
        <f>'OT Tarifas Adicionais'!O64</f>
        <v>880.64516129032256</v>
      </c>
      <c r="D102" s="572" t="s">
        <v>1061</v>
      </c>
    </row>
    <row r="103" spans="1:4" s="548" customFormat="1" ht="15" customHeight="1" x14ac:dyDescent="0.3">
      <c r="A103" s="559" t="s">
        <v>1062</v>
      </c>
      <c r="B103" s="570" t="s">
        <v>326</v>
      </c>
      <c r="C103" s="571">
        <f>'OT Tarifas Adicionais'!O65</f>
        <v>4258.0645161290322</v>
      </c>
      <c r="D103" s="572" t="s">
        <v>330</v>
      </c>
    </row>
    <row r="104" spans="1:4" s="548" customFormat="1" ht="15" customHeight="1" x14ac:dyDescent="0.3">
      <c r="A104" s="559" t="s">
        <v>182</v>
      </c>
      <c r="B104" s="570" t="s">
        <v>326</v>
      </c>
      <c r="C104" s="571">
        <v>3599.9999999999995</v>
      </c>
      <c r="D104" s="572" t="s">
        <v>331</v>
      </c>
    </row>
  </sheetData>
  <mergeCells count="15">
    <mergeCell ref="P26:P31"/>
    <mergeCell ref="A95:C96"/>
    <mergeCell ref="D24:O24"/>
    <mergeCell ref="D47:O47"/>
    <mergeCell ref="A47:C48"/>
    <mergeCell ref="A42:A43"/>
    <mergeCell ref="A80:C80"/>
    <mergeCell ref="A65:C65"/>
    <mergeCell ref="C2:M6"/>
    <mergeCell ref="C7:M7"/>
    <mergeCell ref="B42:B43"/>
    <mergeCell ref="C42:C43"/>
    <mergeCell ref="A24:A25"/>
    <mergeCell ref="B24:B25"/>
    <mergeCell ref="C24:C25"/>
  </mergeCells>
  <phoneticPr fontId="10" type="noConversion"/>
  <conditionalFormatting sqref="D26:O39">
    <cfRule type="colorScale" priority="12">
      <colorScale>
        <cfvo type="min"/>
        <cfvo type="max"/>
        <color rgb="FFEADB2B"/>
        <color rgb="FFEADB2B"/>
      </colorScale>
    </cfRule>
  </conditionalFormatting>
  <hyperlinks>
    <hyperlink ref="C7:M7" r:id="rId1" display="REPORTAR UMA MELHORIA!" xr:uid="{A58948D1-9BF2-442E-9597-86FACD146205}"/>
  </hyperlinks>
  <pageMargins left="0.511811024" right="0.511811024" top="0.78740157499999996" bottom="0.78740157499999996" header="0.31496062000000002" footer="0.31496062000000002"/>
  <pageSetup paperSize="9" orientation="portrait" r:id="rId2"/>
  <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BDB41-58A4-43CE-A181-7363B90E9508}">
  <sheetPr>
    <tabColor theme="4" tint="0.79998168889431442"/>
  </sheetPr>
  <dimension ref="A1:AL315"/>
  <sheetViews>
    <sheetView zoomScale="80" zoomScaleNormal="80" workbookViewId="0">
      <pane xSplit="4" ySplit="10" topLeftCell="E230" activePane="bottomRight" state="frozen"/>
      <selection activeCell="H18" sqref="H18"/>
      <selection pane="topRight" activeCell="H18" sqref="H18"/>
      <selection pane="bottomLeft" activeCell="H18" sqref="H18"/>
      <selection pane="bottomRight" activeCell="H16" sqref="H16"/>
    </sheetView>
  </sheetViews>
  <sheetFormatPr defaultColWidth="9.109375" defaultRowHeight="10.199999999999999" outlineLevelCol="2" x14ac:dyDescent="0.2"/>
  <cols>
    <col min="1" max="1" width="4.5546875" style="276" bestFit="1" customWidth="1"/>
    <col min="2" max="2" width="3.5546875" style="276" bestFit="1" customWidth="1"/>
    <col min="3" max="3" width="23" style="275" customWidth="1"/>
    <col min="4" max="4" width="25.5546875" style="274" customWidth="1"/>
    <col min="5" max="5" width="9.6640625" style="274" customWidth="1" outlineLevel="1"/>
    <col min="6" max="6" width="13.33203125" style="271" bestFit="1" customWidth="1" outlineLevel="1"/>
    <col min="7" max="7" width="13.33203125" style="273" bestFit="1" customWidth="1" outlineLevel="1"/>
    <col min="8" max="8" width="4.109375" style="271" customWidth="1" outlineLevel="1"/>
    <col min="9" max="9" width="13.33203125" style="271" bestFit="1" customWidth="1" outlineLevel="1"/>
    <col min="10" max="10" width="7.109375" style="271" bestFit="1" customWidth="1" outlineLevel="1"/>
    <col min="11" max="11" width="12.6640625" style="271" customWidth="1" outlineLevel="1"/>
    <col min="12" max="12" width="14.5546875" style="271" bestFit="1" customWidth="1" outlineLevel="1"/>
    <col min="13" max="13" width="13.5546875" style="272" customWidth="1" outlineLevel="1"/>
    <col min="14" max="14" width="2.88671875" style="271" customWidth="1"/>
    <col min="15" max="16" width="12" style="271" customWidth="1" outlineLevel="1"/>
    <col min="17" max="17" width="8" style="271" bestFit="1" customWidth="1" outlineLevel="1"/>
    <col min="18" max="19" width="7.33203125" style="271" bestFit="1" customWidth="1" outlineLevel="1"/>
    <col min="20" max="20" width="6.109375" style="271" customWidth="1" outlineLevel="1"/>
    <col min="21" max="21" width="9.109375" style="271" customWidth="1" outlineLevel="1"/>
    <col min="22" max="22" width="22.109375" style="271" customWidth="1" outlineLevel="1"/>
    <col min="23" max="23" width="2.88671875" style="271" customWidth="1"/>
    <col min="24" max="24" width="13.6640625" style="271" customWidth="1" outlineLevel="1"/>
    <col min="25" max="25" width="11.6640625" style="271" customWidth="1" outlineLevel="1"/>
    <col min="26" max="26" width="8.6640625" style="271" customWidth="1" outlineLevel="1"/>
    <col min="27" max="27" width="16.88671875" style="271" customWidth="1" outlineLevel="1"/>
    <col min="28" max="28" width="20" style="271" customWidth="1" outlineLevel="1"/>
    <col min="29" max="29" width="9.109375" style="271" customWidth="1" outlineLevel="1"/>
    <col min="30" max="30" width="17.109375" style="271" customWidth="1" outlineLevel="1"/>
    <col min="31" max="31" width="10.5546875" style="271" customWidth="1" outlineLevel="1"/>
    <col min="32" max="32" width="10" style="271" bestFit="1" customWidth="1" outlineLevel="1"/>
    <col min="33" max="33" width="12.44140625" style="271" customWidth="1" outlineLevel="1"/>
    <col min="34" max="34" width="15.44140625" style="271" customWidth="1" outlineLevel="1"/>
    <col min="35" max="35" width="2.88671875" style="271" customWidth="1"/>
    <col min="36" max="38" width="15.88671875" style="271" customWidth="1" outlineLevel="2"/>
    <col min="39" max="39" width="2.88671875" style="271" customWidth="1"/>
    <col min="40" max="16384" width="9.109375" style="271"/>
  </cols>
  <sheetData>
    <row r="1" spans="1:38" ht="11.25" customHeight="1" x14ac:dyDescent="0.2">
      <c r="A1" s="660" t="s">
        <v>935</v>
      </c>
      <c r="B1" s="660"/>
      <c r="C1" s="660"/>
      <c r="D1" s="660"/>
      <c r="E1" s="660"/>
      <c r="F1" s="660"/>
    </row>
    <row r="2" spans="1:38" ht="11.25" customHeight="1" x14ac:dyDescent="0.2">
      <c r="A2" s="660"/>
      <c r="B2" s="660"/>
      <c r="C2" s="660"/>
      <c r="D2" s="660"/>
      <c r="E2" s="660"/>
      <c r="F2" s="660"/>
    </row>
    <row r="3" spans="1:38" ht="11.25" customHeight="1" x14ac:dyDescent="0.2">
      <c r="A3" s="660"/>
      <c r="B3" s="660"/>
      <c r="C3" s="660"/>
      <c r="D3" s="660"/>
      <c r="E3" s="660"/>
      <c r="F3" s="660"/>
    </row>
    <row r="4" spans="1:38" ht="11.25" customHeight="1" x14ac:dyDescent="0.2">
      <c r="A4" s="660"/>
      <c r="B4" s="660"/>
      <c r="C4" s="660"/>
      <c r="D4" s="660"/>
      <c r="E4" s="660"/>
      <c r="F4" s="660"/>
    </row>
    <row r="5" spans="1:38" ht="38.25" customHeight="1" x14ac:dyDescent="0.2">
      <c r="A5" s="660"/>
      <c r="B5" s="660"/>
      <c r="C5" s="660"/>
      <c r="D5" s="660"/>
      <c r="E5" s="660"/>
      <c r="F5" s="660"/>
    </row>
    <row r="7" spans="1:38" x14ac:dyDescent="0.2">
      <c r="B7" s="350"/>
      <c r="D7" s="380" t="s">
        <v>508</v>
      </c>
      <c r="E7" s="380"/>
      <c r="F7" s="379"/>
      <c r="G7" s="379"/>
      <c r="H7" s="379"/>
      <c r="I7" s="379"/>
      <c r="J7" s="379"/>
      <c r="K7" s="379"/>
      <c r="L7" s="379"/>
      <c r="M7" s="378"/>
      <c r="N7" s="377"/>
      <c r="O7" s="376" t="s">
        <v>511</v>
      </c>
      <c r="P7" s="375"/>
      <c r="Q7" s="375"/>
      <c r="R7" s="375"/>
      <c r="S7" s="375"/>
      <c r="T7" s="374"/>
      <c r="U7" s="375"/>
      <c r="V7" s="375"/>
      <c r="W7" s="279"/>
      <c r="X7" s="374" t="s">
        <v>510</v>
      </c>
      <c r="Y7" s="374"/>
      <c r="Z7" s="374"/>
      <c r="AA7" s="374"/>
      <c r="AB7" s="374"/>
      <c r="AC7" s="374"/>
      <c r="AD7" s="374"/>
      <c r="AE7" s="374"/>
      <c r="AF7" s="374"/>
      <c r="AG7" s="374"/>
      <c r="AH7" s="374"/>
      <c r="AI7" s="279"/>
      <c r="AJ7" s="373" t="s">
        <v>721</v>
      </c>
      <c r="AK7" s="372"/>
      <c r="AL7" s="372"/>
    </row>
    <row r="8" spans="1:38" x14ac:dyDescent="0.2">
      <c r="A8" s="704" t="s">
        <v>509</v>
      </c>
      <c r="B8" s="704"/>
      <c r="C8" s="704"/>
      <c r="D8" s="366" t="s">
        <v>508</v>
      </c>
      <c r="E8" s="366"/>
      <c r="F8" s="343"/>
      <c r="G8" s="343"/>
      <c r="H8" s="343"/>
      <c r="I8" s="343"/>
      <c r="J8" s="343"/>
      <c r="K8" s="343"/>
      <c r="L8" s="343"/>
      <c r="M8" s="365"/>
      <c r="N8" s="327"/>
      <c r="O8" s="364"/>
      <c r="P8" s="364"/>
      <c r="Q8" s="364"/>
      <c r="R8" s="364"/>
      <c r="S8" s="364"/>
      <c r="T8" s="343"/>
      <c r="U8" s="364"/>
      <c r="V8" s="364"/>
      <c r="W8" s="279"/>
      <c r="X8" s="343"/>
      <c r="Y8" s="343"/>
      <c r="Z8" s="343"/>
      <c r="AA8" s="343"/>
      <c r="AB8" s="343"/>
      <c r="AC8" s="343"/>
      <c r="AD8" s="343"/>
      <c r="AE8" s="343"/>
      <c r="AF8" s="343"/>
      <c r="AG8" s="343"/>
      <c r="AH8" s="343"/>
      <c r="AI8" s="279"/>
      <c r="AJ8" s="343" t="s">
        <v>507</v>
      </c>
      <c r="AK8" s="343" t="s">
        <v>506</v>
      </c>
      <c r="AL8" s="343" t="s">
        <v>505</v>
      </c>
    </row>
    <row r="9" spans="1:38" ht="15" customHeight="1" x14ac:dyDescent="0.2">
      <c r="A9" s="699" t="s">
        <v>321</v>
      </c>
      <c r="B9" s="699" t="s">
        <v>504</v>
      </c>
      <c r="C9" s="700" t="s">
        <v>320</v>
      </c>
      <c r="D9" s="700" t="s">
        <v>503</v>
      </c>
      <c r="E9" s="700" t="s">
        <v>502</v>
      </c>
      <c r="F9" s="701" t="s">
        <v>501</v>
      </c>
      <c r="G9" s="701" t="s">
        <v>500</v>
      </c>
      <c r="H9" s="701" t="s">
        <v>499</v>
      </c>
      <c r="I9" s="701"/>
      <c r="J9" s="701" t="s">
        <v>490</v>
      </c>
      <c r="K9" s="701"/>
      <c r="L9" s="701" t="s">
        <v>498</v>
      </c>
      <c r="M9" s="705" t="s">
        <v>497</v>
      </c>
      <c r="N9" s="327"/>
      <c r="O9" s="693" t="s">
        <v>496</v>
      </c>
      <c r="P9" s="693" t="s">
        <v>495</v>
      </c>
      <c r="Q9" s="339" t="s">
        <v>491</v>
      </c>
      <c r="R9" s="339" t="s">
        <v>490</v>
      </c>
      <c r="S9" s="339" t="s">
        <v>489</v>
      </c>
      <c r="T9" s="693" t="s">
        <v>494</v>
      </c>
      <c r="U9" s="693" t="s">
        <v>493</v>
      </c>
      <c r="V9" s="693" t="s">
        <v>492</v>
      </c>
      <c r="W9" s="279"/>
      <c r="X9" s="339" t="s">
        <v>491</v>
      </c>
      <c r="Y9" s="339" t="s">
        <v>490</v>
      </c>
      <c r="Z9" s="339" t="s">
        <v>489</v>
      </c>
      <c r="AA9" s="693" t="s">
        <v>488</v>
      </c>
      <c r="AB9" s="693" t="s">
        <v>487</v>
      </c>
      <c r="AC9" s="693" t="s">
        <v>486</v>
      </c>
      <c r="AD9" s="693" t="s">
        <v>485</v>
      </c>
      <c r="AE9" s="693" t="s">
        <v>484</v>
      </c>
      <c r="AF9" s="693" t="s">
        <v>483</v>
      </c>
      <c r="AG9" s="693" t="s">
        <v>482</v>
      </c>
      <c r="AH9" s="693" t="s">
        <v>481</v>
      </c>
      <c r="AI9" s="279"/>
      <c r="AJ9" s="693"/>
      <c r="AK9" s="693"/>
      <c r="AL9" s="693"/>
    </row>
    <row r="10" spans="1:38" ht="18" customHeight="1" x14ac:dyDescent="0.2">
      <c r="A10" s="699"/>
      <c r="B10" s="699"/>
      <c r="C10" s="700"/>
      <c r="D10" s="700"/>
      <c r="E10" s="700"/>
      <c r="F10" s="701"/>
      <c r="G10" s="701"/>
      <c r="H10" s="339" t="s">
        <v>480</v>
      </c>
      <c r="I10" s="339" t="s">
        <v>479</v>
      </c>
      <c r="J10" s="339" t="s">
        <v>480</v>
      </c>
      <c r="K10" s="339" t="s">
        <v>479</v>
      </c>
      <c r="L10" s="701"/>
      <c r="M10" s="705"/>
      <c r="N10" s="327"/>
      <c r="O10" s="693"/>
      <c r="P10" s="693"/>
      <c r="Q10" s="339" t="s">
        <v>480</v>
      </c>
      <c r="R10" s="339" t="s">
        <v>480</v>
      </c>
      <c r="S10" s="339" t="s">
        <v>480</v>
      </c>
      <c r="T10" s="693"/>
      <c r="U10" s="693"/>
      <c r="V10" s="693"/>
      <c r="W10" s="279"/>
      <c r="X10" s="339" t="s">
        <v>479</v>
      </c>
      <c r="Y10" s="339" t="s">
        <v>479</v>
      </c>
      <c r="Z10" s="339" t="s">
        <v>479</v>
      </c>
      <c r="AA10" s="693"/>
      <c r="AB10" s="693"/>
      <c r="AC10" s="693"/>
      <c r="AD10" s="693"/>
      <c r="AE10" s="693"/>
      <c r="AF10" s="693"/>
      <c r="AG10" s="693"/>
      <c r="AH10" s="693"/>
      <c r="AI10" s="279"/>
      <c r="AJ10" s="693"/>
      <c r="AK10" s="693"/>
      <c r="AL10" s="693"/>
    </row>
    <row r="11" spans="1:38" ht="26.25" customHeight="1" x14ac:dyDescent="0.2">
      <c r="A11" s="338">
        <v>1</v>
      </c>
      <c r="B11" s="338">
        <v>1</v>
      </c>
      <c r="C11" s="324" t="s">
        <v>859</v>
      </c>
      <c r="D11" s="324" t="s">
        <v>860</v>
      </c>
      <c r="E11" s="324"/>
      <c r="F11" s="337">
        <f>G36</f>
        <v>1861.4628567628085</v>
      </c>
      <c r="G11" s="337">
        <f>F11*B11</f>
        <v>1861.4628567628085</v>
      </c>
      <c r="H11" s="336">
        <f>IF(OR($A$8='4. LISTAS'!$C$35, $A$8='4. LISTAS'!$C$36),(VLOOKUP('1.DASHBOARD'!$B$8,'4. LISTAS'!$F$2:$G$11,2,FALSE)),0)</f>
        <v>0.18</v>
      </c>
      <c r="I11" s="334">
        <f t="shared" ref="I11:I35" si="0">H11*(G11+K11)</f>
        <v>372.75793706675239</v>
      </c>
      <c r="J11" s="335">
        <f>VLOOKUP($A$8,'4. LISTAS'!$C$35:$F$37,4,0)</f>
        <v>0.1125</v>
      </c>
      <c r="K11" s="334">
        <f t="shared" ref="K11:K35" si="1">J11*G11</f>
        <v>209.41457138581598</v>
      </c>
      <c r="L11" s="334">
        <f t="shared" ref="L11:L35" si="2">G11+K11</f>
        <v>2070.8774281486244</v>
      </c>
      <c r="M11" s="363"/>
      <c r="N11" s="327"/>
      <c r="O11" s="326"/>
      <c r="P11" s="326"/>
      <c r="Q11" s="331"/>
      <c r="R11" s="331"/>
      <c r="S11" s="331"/>
      <c r="T11" s="326"/>
      <c r="U11" s="326"/>
      <c r="V11" s="326"/>
      <c r="W11" s="279"/>
      <c r="X11" s="326">
        <f>SUM(X12:X35)</f>
        <v>40</v>
      </c>
      <c r="Y11" s="326">
        <f>SUM(Y12:Y35)</f>
        <v>150</v>
      </c>
      <c r="Z11" s="326">
        <f>SUM(Z12:Z35)</f>
        <v>0</v>
      </c>
      <c r="AA11" s="326">
        <f>SUM(AA12:AA35)</f>
        <v>1150</v>
      </c>
      <c r="AB11" s="326">
        <f>SUM(AB12:AB35)</f>
        <v>960</v>
      </c>
      <c r="AC11" s="326"/>
      <c r="AD11" s="326"/>
      <c r="AE11" s="326"/>
      <c r="AF11" s="326"/>
      <c r="AG11" s="329">
        <f>AG12</f>
        <v>5.9299999999999999E-2</v>
      </c>
      <c r="AH11" s="326"/>
      <c r="AI11" s="279"/>
      <c r="AJ11" s="326"/>
      <c r="AK11" s="326"/>
      <c r="AL11" s="326"/>
    </row>
    <row r="12" spans="1:38" ht="15" customHeight="1" x14ac:dyDescent="0.2">
      <c r="A12" s="323" t="s">
        <v>720</v>
      </c>
      <c r="B12" s="323">
        <v>1</v>
      </c>
      <c r="C12" s="321" t="s">
        <v>861</v>
      </c>
      <c r="D12" s="321" t="s">
        <v>503</v>
      </c>
      <c r="E12" s="321"/>
      <c r="F12" s="306">
        <f t="shared" ref="F12:F31" si="3">G12/B12</f>
        <v>1861.4628567628085</v>
      </c>
      <c r="G12" s="305">
        <f>IF($A$8='4. LISTAS'!$C$35,IF(V12="sim",AD12/(1-AG12),AD12/(1-AG12-(H12*(1+J12)))),IF($A$8='4. LISTAS'!$C$36,(AD12/(1-AG12-(H12*(1+J12)))),IF($A$8='4. LISTAS'!$C$37,(AB12/(1-AC12-AH12)),"Erro")))</f>
        <v>1861.4628567628085</v>
      </c>
      <c r="H12" s="320">
        <f>IF(AND($A$8='4. LISTAS'!$C$35,'Fornec. TAGNA'!U12="Sim"),0,IF(OR($A$8='4. LISTAS'!$C$35, $A$8='4. LISTAS'!$C$36),(VLOOKUP('1.DASHBOARD'!$B$8,'4. LISTAS'!$F$2:$G$11,2,FALSE)),0))</f>
        <v>0.18</v>
      </c>
      <c r="I12" s="305">
        <f t="shared" si="0"/>
        <v>372.75793706675239</v>
      </c>
      <c r="J12" s="319">
        <f>VLOOKUP($A$8,'4. LISTAS'!$C$35:$F$37,4,0)</f>
        <v>0.1125</v>
      </c>
      <c r="K12" s="305">
        <f t="shared" si="1"/>
        <v>209.41457138581598</v>
      </c>
      <c r="L12" s="305">
        <f t="shared" si="2"/>
        <v>2070.8774281486244</v>
      </c>
      <c r="M12" s="323"/>
      <c r="N12" s="296"/>
      <c r="O12" s="306"/>
      <c r="P12" s="306">
        <v>1000</v>
      </c>
      <c r="Q12" s="320">
        <v>0.04</v>
      </c>
      <c r="R12" s="320">
        <v>0.15</v>
      </c>
      <c r="S12" s="320">
        <v>0</v>
      </c>
      <c r="T12" s="305"/>
      <c r="U12" s="316" t="str">
        <f t="shared" ref="U12:U35" si="4">IF(T12="","Não","Sim")</f>
        <v>Não</v>
      </c>
      <c r="V12" s="316" t="s">
        <v>454</v>
      </c>
      <c r="W12" s="369"/>
      <c r="X12" s="312">
        <f t="shared" ref="X12:X35" si="5">B12*P12*Q12</f>
        <v>40</v>
      </c>
      <c r="Y12" s="312">
        <f t="shared" ref="Y12:Y35" si="6">B12*P12*R12</f>
        <v>150</v>
      </c>
      <c r="Z12" s="312">
        <f t="shared" ref="Z12:Z35" si="7">B12*P12*S12</f>
        <v>0</v>
      </c>
      <c r="AA12" s="294">
        <f>IF($A$8='4. LISTAS'!$C$35,(P12*B12+T12+Y12+Z12),IF($A$8='4. LISTAS'!$C$36,P12*B12+Y12,IF($A$8='4. LISTAS'!$C$37,P12*B12,"Erro")))</f>
        <v>1150</v>
      </c>
      <c r="AB12" s="294">
        <f>IF($A$8='4. LISTAS'!$C$35,IF(V12="sim",AA12,AA12-X12),IF($A$8='4. LISTAS'!$C$36,IF(V12="Sim",AA12-X12,AA12-X12-Y12),IF($A$8='4. LISTAS'!$C$37,AA12,"erro")))</f>
        <v>960</v>
      </c>
      <c r="AC12" s="325">
        <f>'1.DASHBOARD'!$B$14+'1.DASHBOARD'!$B$16</f>
        <v>0.30349999999999999</v>
      </c>
      <c r="AD12" s="294">
        <f t="shared" ref="AD12:AD35" si="8">AB12/(1-AC12)</f>
        <v>1378.3201722900214</v>
      </c>
      <c r="AE12" s="312">
        <f t="shared" ref="AE12:AE35" si="9">X12</f>
        <v>40</v>
      </c>
      <c r="AF12" s="312">
        <f t="shared" ref="AF12:AF35" si="10">Y12</f>
        <v>150</v>
      </c>
      <c r="AG12" s="311">
        <f>'4. LISTAS'!$M$6</f>
        <v>5.9299999999999999E-2</v>
      </c>
      <c r="AH12" s="310">
        <f>'4. LISTAS'!$M$5</f>
        <v>0.17</v>
      </c>
      <c r="AI12" s="369"/>
      <c r="AJ12" s="324"/>
      <c r="AK12" s="324"/>
      <c r="AL12" s="324"/>
    </row>
    <row r="13" spans="1:38" x14ac:dyDescent="0.2">
      <c r="A13" s="323" t="s">
        <v>719</v>
      </c>
      <c r="B13" s="323">
        <v>1</v>
      </c>
      <c r="C13" s="321"/>
      <c r="D13" s="321"/>
      <c r="E13" s="321"/>
      <c r="F13" s="306">
        <f t="shared" si="3"/>
        <v>0</v>
      </c>
      <c r="G13" s="305">
        <f>IF($A$8='4. LISTAS'!$C$35,IF(V13="sim",AD13/(1-AG13),AD13/(1-AG13-(H13*(1+J13)))),IF($A$8='4. LISTAS'!$C$36,(AD13/(1-AG13-(H13*(1+J13)))),IF($A$8='4. LISTAS'!$C$37,(AB13/(1-AC13-AH13)),"Erro")))</f>
        <v>0</v>
      </c>
      <c r="H13" s="320">
        <f>IF(AND($A$8='4. LISTAS'!$C$35,'Fornec. TAGNA'!U13="Sim"),0,IF(OR($A$8='4. LISTAS'!$C$35, $A$8='4. LISTAS'!$C$36),(VLOOKUP('1.DASHBOARD'!$B$8,'4. LISTAS'!$F$2:$G$11,2,FALSE)),0))</f>
        <v>0.18</v>
      </c>
      <c r="I13" s="305">
        <f t="shared" si="0"/>
        <v>0</v>
      </c>
      <c r="J13" s="319">
        <f>VLOOKUP($A$8,'4. LISTAS'!$C$35:$F$37,4,0)</f>
        <v>0.1125</v>
      </c>
      <c r="K13" s="305">
        <f t="shared" si="1"/>
        <v>0</v>
      </c>
      <c r="L13" s="305">
        <f t="shared" si="2"/>
        <v>0</v>
      </c>
      <c r="M13" s="323"/>
      <c r="N13" s="296"/>
      <c r="O13" s="306"/>
      <c r="P13" s="306"/>
      <c r="Q13" s="320">
        <v>0.04</v>
      </c>
      <c r="R13" s="320">
        <v>0.15</v>
      </c>
      <c r="S13" s="320">
        <v>0</v>
      </c>
      <c r="T13" s="305"/>
      <c r="U13" s="316" t="str">
        <f t="shared" si="4"/>
        <v>Não</v>
      </c>
      <c r="V13" s="316" t="s">
        <v>454</v>
      </c>
      <c r="W13" s="369"/>
      <c r="X13" s="312">
        <f t="shared" si="5"/>
        <v>0</v>
      </c>
      <c r="Y13" s="312">
        <f t="shared" si="6"/>
        <v>0</v>
      </c>
      <c r="Z13" s="312">
        <f t="shared" si="7"/>
        <v>0</v>
      </c>
      <c r="AA13" s="294">
        <f>IF($A$8='4. LISTAS'!$C$35,(P13*B13+T13+Y13+Z13),IF($A$8='4. LISTAS'!$C$36,P13*B13+Y13,IF($A$8='4. LISTAS'!$C$37,P13*B13,"Erro")))</f>
        <v>0</v>
      </c>
      <c r="AB13" s="294">
        <f>IF($A$8='4. LISTAS'!$C$35,IF(V13="sim",AA13,AA13-X13),IF($A$8='4. LISTAS'!$C$36,IF(V13="Sim",AA13-X13,AA13-X13-Y13),IF($A$8='4. LISTAS'!$C$37,AA13,"erro")))</f>
        <v>0</v>
      </c>
      <c r="AC13" s="313">
        <f t="shared" ref="AC13:AC31" si="11">AC12</f>
        <v>0.30349999999999999</v>
      </c>
      <c r="AD13" s="294">
        <f t="shared" si="8"/>
        <v>0</v>
      </c>
      <c r="AE13" s="312">
        <f t="shared" si="9"/>
        <v>0</v>
      </c>
      <c r="AF13" s="312">
        <f t="shared" si="10"/>
        <v>0</v>
      </c>
      <c r="AG13" s="311">
        <f>'4. LISTAS'!$M$6</f>
        <v>5.9299999999999999E-2</v>
      </c>
      <c r="AH13" s="310">
        <f>'4. LISTAS'!$M$5</f>
        <v>0.17</v>
      </c>
      <c r="AI13" s="369"/>
      <c r="AJ13" s="321"/>
      <c r="AK13" s="321"/>
      <c r="AL13" s="321"/>
    </row>
    <row r="14" spans="1:38" x14ac:dyDescent="0.2">
      <c r="A14" s="323" t="s">
        <v>718</v>
      </c>
      <c r="B14" s="323">
        <v>1</v>
      </c>
      <c r="C14" s="321"/>
      <c r="D14" s="321"/>
      <c r="E14" s="321"/>
      <c r="F14" s="306">
        <f t="shared" si="3"/>
        <v>0</v>
      </c>
      <c r="G14" s="305">
        <f>IF($A$8='4. LISTAS'!$C$35,IF(V14="sim",AD14/(1-AG14),AD14/(1-AG14-(H14*(1+J14)))),IF($A$8='4. LISTAS'!$C$36,(AD14/(1-AG14-(H14*(1+J14)))),IF($A$8='4. LISTAS'!$C$37,(AB14/(1-AC14-AH14)),"Erro")))</f>
        <v>0</v>
      </c>
      <c r="H14" s="320">
        <f>IF(AND($A$8='4. LISTAS'!$C$35,'Fornec. TAGNA'!U14="Sim"),0,IF(OR($A$8='4. LISTAS'!$C$35, $A$8='4. LISTAS'!$C$36),(VLOOKUP('1.DASHBOARD'!$B$8,'4. LISTAS'!$F$2:$G$11,2,FALSE)),0))</f>
        <v>0.18</v>
      </c>
      <c r="I14" s="305">
        <f t="shared" si="0"/>
        <v>0</v>
      </c>
      <c r="J14" s="319">
        <f>VLOOKUP($A$8,'4. LISTAS'!$C$35:$F$37,4,0)</f>
        <v>0.1125</v>
      </c>
      <c r="K14" s="305">
        <f t="shared" si="1"/>
        <v>0</v>
      </c>
      <c r="L14" s="305">
        <f t="shared" si="2"/>
        <v>0</v>
      </c>
      <c r="M14" s="323"/>
      <c r="N14" s="296"/>
      <c r="O14" s="306"/>
      <c r="P14" s="306"/>
      <c r="Q14" s="320">
        <v>0.04</v>
      </c>
      <c r="R14" s="320">
        <v>0.15</v>
      </c>
      <c r="S14" s="320">
        <v>0</v>
      </c>
      <c r="T14" s="305"/>
      <c r="U14" s="316" t="str">
        <f t="shared" si="4"/>
        <v>Não</v>
      </c>
      <c r="V14" s="316" t="s">
        <v>454</v>
      </c>
      <c r="W14" s="369"/>
      <c r="X14" s="312">
        <f t="shared" si="5"/>
        <v>0</v>
      </c>
      <c r="Y14" s="312">
        <f t="shared" si="6"/>
        <v>0</v>
      </c>
      <c r="Z14" s="312">
        <f t="shared" si="7"/>
        <v>0</v>
      </c>
      <c r="AA14" s="294">
        <f>IF($A$8='4. LISTAS'!$C$35,(P14*B14+T14+Y14+Z14),IF($A$8='4. LISTAS'!$C$36,P14*B14+Y14,IF($A$8='4. LISTAS'!$C$37,P14*B14,"Erro")))</f>
        <v>0</v>
      </c>
      <c r="AB14" s="294">
        <f>IF($A$8='4. LISTAS'!$C$35,IF(V14="sim",AA14,AA14-X14),IF($A$8='4. LISTAS'!$C$36,IF(V14="Sim",AA14-X14,AA14-X14-Y14),IF($A$8='4. LISTAS'!$C$37,AA14,"erro")))</f>
        <v>0</v>
      </c>
      <c r="AC14" s="313">
        <f t="shared" si="11"/>
        <v>0.30349999999999999</v>
      </c>
      <c r="AD14" s="294">
        <f t="shared" si="8"/>
        <v>0</v>
      </c>
      <c r="AE14" s="312">
        <f t="shared" si="9"/>
        <v>0</v>
      </c>
      <c r="AF14" s="312">
        <f t="shared" si="10"/>
        <v>0</v>
      </c>
      <c r="AG14" s="311">
        <f>'4. LISTAS'!$M$6</f>
        <v>5.9299999999999999E-2</v>
      </c>
      <c r="AH14" s="310">
        <f>'4. LISTAS'!$M$5</f>
        <v>0.17</v>
      </c>
      <c r="AI14" s="369"/>
      <c r="AJ14" s="321"/>
      <c r="AK14" s="321"/>
      <c r="AL14" s="321"/>
    </row>
    <row r="15" spans="1:38" x14ac:dyDescent="0.2">
      <c r="A15" s="323" t="s">
        <v>717</v>
      </c>
      <c r="B15" s="323">
        <v>1</v>
      </c>
      <c r="C15" s="321"/>
      <c r="D15" s="321"/>
      <c r="E15" s="321"/>
      <c r="F15" s="306">
        <f t="shared" si="3"/>
        <v>0</v>
      </c>
      <c r="G15" s="305">
        <f>IF($A$8='4. LISTAS'!$C$35,IF(V15="sim",AD15/(1-AG15),AD15/(1-AG15-(H15*(1+J15)))),IF($A$8='4. LISTAS'!$C$36,(AD15/(1-AG15-(H15*(1+J15)))),IF($A$8='4. LISTAS'!$C$37,(AB15/(1-AC15-AH15)),"Erro")))</f>
        <v>0</v>
      </c>
      <c r="H15" s="320">
        <f>IF(AND($A$8='4. LISTAS'!$C$35,'Fornec. TAGNA'!U15="Sim"),0,IF(OR($A$8='4. LISTAS'!$C$35, $A$8='4. LISTAS'!$C$36),(VLOOKUP('1.DASHBOARD'!$B$8,'4. LISTAS'!$F$2:$G$11,2,FALSE)),0))</f>
        <v>0.18</v>
      </c>
      <c r="I15" s="305">
        <f t="shared" si="0"/>
        <v>0</v>
      </c>
      <c r="J15" s="319">
        <f>VLOOKUP($A$8,'4. LISTAS'!$C$35:$F$37,4,0)</f>
        <v>0.1125</v>
      </c>
      <c r="K15" s="305">
        <f t="shared" si="1"/>
        <v>0</v>
      </c>
      <c r="L15" s="305">
        <f t="shared" si="2"/>
        <v>0</v>
      </c>
      <c r="M15" s="323"/>
      <c r="N15" s="296"/>
      <c r="O15" s="306"/>
      <c r="P15" s="306"/>
      <c r="Q15" s="320">
        <v>0.04</v>
      </c>
      <c r="R15" s="320">
        <v>0.15</v>
      </c>
      <c r="S15" s="320">
        <v>0</v>
      </c>
      <c r="T15" s="305"/>
      <c r="U15" s="316" t="str">
        <f t="shared" si="4"/>
        <v>Não</v>
      </c>
      <c r="V15" s="316" t="s">
        <v>454</v>
      </c>
      <c r="W15" s="369"/>
      <c r="X15" s="312">
        <f t="shared" si="5"/>
        <v>0</v>
      </c>
      <c r="Y15" s="312">
        <f t="shared" si="6"/>
        <v>0</v>
      </c>
      <c r="Z15" s="312">
        <f t="shared" si="7"/>
        <v>0</v>
      </c>
      <c r="AA15" s="294">
        <f>IF($A$8='4. LISTAS'!$C$35,(P15*B15+T15+Y15+Z15),IF($A$8='4. LISTAS'!$C$36,P15*B15+Y15,IF($A$8='4. LISTAS'!$C$37,P15*B15,"Erro")))</f>
        <v>0</v>
      </c>
      <c r="AB15" s="294">
        <f>IF($A$8='4. LISTAS'!$C$35,IF(V15="sim",AA15,AA15-X15),IF($A$8='4. LISTAS'!$C$36,IF(V15="Sim",AA15-X15,AA15-X15-Y15),IF($A$8='4. LISTAS'!$C$37,AA15,"erro")))</f>
        <v>0</v>
      </c>
      <c r="AC15" s="313">
        <f t="shared" si="11"/>
        <v>0.30349999999999999</v>
      </c>
      <c r="AD15" s="294">
        <f t="shared" si="8"/>
        <v>0</v>
      </c>
      <c r="AE15" s="312">
        <f t="shared" si="9"/>
        <v>0</v>
      </c>
      <c r="AF15" s="312">
        <f t="shared" si="10"/>
        <v>0</v>
      </c>
      <c r="AG15" s="311">
        <f>'4. LISTAS'!$M$6</f>
        <v>5.9299999999999999E-2</v>
      </c>
      <c r="AH15" s="310">
        <f>'4. LISTAS'!$M$5</f>
        <v>0.17</v>
      </c>
      <c r="AI15" s="369"/>
      <c r="AJ15" s="321"/>
      <c r="AK15" s="321"/>
      <c r="AL15" s="321"/>
    </row>
    <row r="16" spans="1:38" x14ac:dyDescent="0.2">
      <c r="A16" s="323" t="s">
        <v>716</v>
      </c>
      <c r="B16" s="323">
        <v>1</v>
      </c>
      <c r="C16" s="321"/>
      <c r="D16" s="321"/>
      <c r="E16" s="321"/>
      <c r="F16" s="306">
        <f t="shared" si="3"/>
        <v>0</v>
      </c>
      <c r="G16" s="305">
        <f>IF($A$8='4. LISTAS'!$C$35,IF(V16="sim",AD16/(1-AG16),AD16/(1-AG16-(H16*(1+J16)))),IF($A$8='4. LISTAS'!$C$36,(AD16/(1-AG16-(H16*(1+J16)))),IF($A$8='4. LISTAS'!$C$37,(AB16/(1-AC16-AH16)),"Erro")))</f>
        <v>0</v>
      </c>
      <c r="H16" s="320">
        <f>IF(AND($A$8='4. LISTAS'!$C$35,'Fornec. TAGNA'!U16="Sim"),0,IF(OR($A$8='4. LISTAS'!$C$35, $A$8='4. LISTAS'!$C$36),(VLOOKUP('1.DASHBOARD'!$B$8,'4. LISTAS'!$F$2:$G$11,2,FALSE)),0))</f>
        <v>0.18</v>
      </c>
      <c r="I16" s="305">
        <f t="shared" si="0"/>
        <v>0</v>
      </c>
      <c r="J16" s="319">
        <f>VLOOKUP($A$8,'4. LISTAS'!$C$35:$F$37,4,0)</f>
        <v>0.1125</v>
      </c>
      <c r="K16" s="305">
        <f t="shared" si="1"/>
        <v>0</v>
      </c>
      <c r="L16" s="305">
        <f t="shared" si="2"/>
        <v>0</v>
      </c>
      <c r="M16" s="323"/>
      <c r="N16" s="296"/>
      <c r="O16" s="306"/>
      <c r="P16" s="306"/>
      <c r="Q16" s="320">
        <v>0.04</v>
      </c>
      <c r="R16" s="320">
        <v>0.15</v>
      </c>
      <c r="S16" s="320">
        <v>0</v>
      </c>
      <c r="T16" s="305"/>
      <c r="U16" s="316" t="str">
        <f t="shared" si="4"/>
        <v>Não</v>
      </c>
      <c r="V16" s="316" t="s">
        <v>454</v>
      </c>
      <c r="W16" s="369"/>
      <c r="X16" s="312">
        <f t="shared" si="5"/>
        <v>0</v>
      </c>
      <c r="Y16" s="312">
        <f t="shared" si="6"/>
        <v>0</v>
      </c>
      <c r="Z16" s="312">
        <f t="shared" si="7"/>
        <v>0</v>
      </c>
      <c r="AA16" s="294">
        <f>IF($A$8='4. LISTAS'!$C$35,(P16*B16+T16+Y16+Z16),IF($A$8='4. LISTAS'!$C$36,P16*B16+Y16,IF($A$8='4. LISTAS'!$C$37,P16*B16,"Erro")))</f>
        <v>0</v>
      </c>
      <c r="AB16" s="294">
        <f>IF($A$8='4. LISTAS'!$C$35,IF(V16="sim",AA16,AA16-X16),IF($A$8='4. LISTAS'!$C$36,IF(V16="Sim",AA16-X16,AA16-X16-Y16),IF($A$8='4. LISTAS'!$C$37,AA16,"erro")))</f>
        <v>0</v>
      </c>
      <c r="AC16" s="313">
        <f t="shared" si="11"/>
        <v>0.30349999999999999</v>
      </c>
      <c r="AD16" s="294">
        <f t="shared" si="8"/>
        <v>0</v>
      </c>
      <c r="AE16" s="312">
        <f t="shared" si="9"/>
        <v>0</v>
      </c>
      <c r="AF16" s="312">
        <f t="shared" si="10"/>
        <v>0</v>
      </c>
      <c r="AG16" s="311">
        <f>'4. LISTAS'!$M$6</f>
        <v>5.9299999999999999E-2</v>
      </c>
      <c r="AH16" s="310">
        <f>'4. LISTAS'!$M$5</f>
        <v>0.17</v>
      </c>
      <c r="AI16" s="369"/>
      <c r="AJ16" s="321"/>
      <c r="AK16" s="321"/>
      <c r="AL16" s="321"/>
    </row>
    <row r="17" spans="1:38" x14ac:dyDescent="0.2">
      <c r="A17" s="323" t="s">
        <v>715</v>
      </c>
      <c r="B17" s="323">
        <v>1</v>
      </c>
      <c r="C17" s="321"/>
      <c r="D17" s="321"/>
      <c r="E17" s="321"/>
      <c r="F17" s="306">
        <f t="shared" si="3"/>
        <v>0</v>
      </c>
      <c r="G17" s="305">
        <f>IF($A$8='4. LISTAS'!$C$35,IF(V17="sim",AD17/(1-AG17),AD17/(1-AG17-(H17*(1+J17)))),IF($A$8='4. LISTAS'!$C$36,(AD17/(1-AG17-(H17*(1+J17)))),IF($A$8='4. LISTAS'!$C$37,(AB17/(1-AC17-AH17)),"Erro")))</f>
        <v>0</v>
      </c>
      <c r="H17" s="320">
        <f>IF(AND($A$8='4. LISTAS'!$C$35,'Fornec. TAGNA'!U17="Sim"),0,IF(OR($A$8='4. LISTAS'!$C$35, $A$8='4. LISTAS'!$C$36),(VLOOKUP('1.DASHBOARD'!$B$8,'4. LISTAS'!$F$2:$G$11,2,FALSE)),0))</f>
        <v>0.18</v>
      </c>
      <c r="I17" s="305">
        <f t="shared" si="0"/>
        <v>0</v>
      </c>
      <c r="J17" s="319">
        <f>VLOOKUP($A$8,'4. LISTAS'!$C$35:$F$37,4,0)</f>
        <v>0.1125</v>
      </c>
      <c r="K17" s="305">
        <f t="shared" si="1"/>
        <v>0</v>
      </c>
      <c r="L17" s="305">
        <f t="shared" si="2"/>
        <v>0</v>
      </c>
      <c r="M17" s="323"/>
      <c r="N17" s="296"/>
      <c r="O17" s="306"/>
      <c r="P17" s="306"/>
      <c r="Q17" s="320">
        <v>0.04</v>
      </c>
      <c r="R17" s="320">
        <v>0.15</v>
      </c>
      <c r="S17" s="320">
        <v>0</v>
      </c>
      <c r="T17" s="305"/>
      <c r="U17" s="316" t="str">
        <f t="shared" si="4"/>
        <v>Não</v>
      </c>
      <c r="V17" s="316" t="s">
        <v>454</v>
      </c>
      <c r="W17" s="369"/>
      <c r="X17" s="312">
        <f t="shared" si="5"/>
        <v>0</v>
      </c>
      <c r="Y17" s="312">
        <f t="shared" si="6"/>
        <v>0</v>
      </c>
      <c r="Z17" s="312">
        <f t="shared" si="7"/>
        <v>0</v>
      </c>
      <c r="AA17" s="294">
        <f>IF($A$8='4. LISTAS'!$C$35,(P17*B17+T17+Y17+Z17),IF($A$8='4. LISTAS'!$C$36,P17*B17+Y17,IF($A$8='4. LISTAS'!$C$37,P17*B17,"Erro")))</f>
        <v>0</v>
      </c>
      <c r="AB17" s="294">
        <f>IF($A$8='4. LISTAS'!$C$35,IF(V17="sim",AA17,AA17-X17),IF($A$8='4. LISTAS'!$C$36,IF(V17="Sim",AA17-X17,AA17-X17-Y17),IF($A$8='4. LISTAS'!$C$37,AA17,"erro")))</f>
        <v>0</v>
      </c>
      <c r="AC17" s="313">
        <f t="shared" si="11"/>
        <v>0.30349999999999999</v>
      </c>
      <c r="AD17" s="294">
        <f t="shared" si="8"/>
        <v>0</v>
      </c>
      <c r="AE17" s="312">
        <f t="shared" si="9"/>
        <v>0</v>
      </c>
      <c r="AF17" s="312">
        <f t="shared" si="10"/>
        <v>0</v>
      </c>
      <c r="AG17" s="311">
        <f>'4. LISTAS'!$M$6</f>
        <v>5.9299999999999999E-2</v>
      </c>
      <c r="AH17" s="310">
        <f>'4. LISTAS'!$M$5</f>
        <v>0.17</v>
      </c>
      <c r="AI17" s="369"/>
      <c r="AJ17" s="321"/>
      <c r="AK17" s="321"/>
      <c r="AL17" s="321"/>
    </row>
    <row r="18" spans="1:38" ht="12" x14ac:dyDescent="0.2">
      <c r="A18" s="323" t="s">
        <v>714</v>
      </c>
      <c r="B18" s="323">
        <v>1</v>
      </c>
      <c r="C18" s="321"/>
      <c r="D18" s="321"/>
      <c r="E18" s="321"/>
      <c r="F18" s="306">
        <f t="shared" si="3"/>
        <v>0</v>
      </c>
      <c r="G18" s="371">
        <f>IF($A$8='4. LISTAS'!$C$35,IF(V18="sim",AD18/(1-AG18),AD18/(1-AG18-(H18*(1+J18)))),IF($A$8='4. LISTAS'!$C$36,(AD18/(1-AG18-(H18*(1+J18)))),IF($A$8='4. LISTAS'!$C$37,(AB18/(1-AC18-AH18)),"Erro")))</f>
        <v>0</v>
      </c>
      <c r="H18" s="320">
        <f>IF(AND($A$8='4. LISTAS'!$C$35,'Fornec. TAGNA'!U18="Sim"),0,IF(OR($A$8='4. LISTAS'!$C$35, $A$8='4. LISTAS'!$C$36),(VLOOKUP('1.DASHBOARD'!$B$8,'4. LISTAS'!$F$2:$G$11,2,FALSE)),0))</f>
        <v>0.18</v>
      </c>
      <c r="I18" s="305">
        <f t="shared" si="0"/>
        <v>0</v>
      </c>
      <c r="J18" s="319">
        <f>VLOOKUP($A$8,'4. LISTAS'!$C$35:$F$37,4,0)</f>
        <v>0.1125</v>
      </c>
      <c r="K18" s="305">
        <f t="shared" si="1"/>
        <v>0</v>
      </c>
      <c r="L18" s="305">
        <f t="shared" si="2"/>
        <v>0</v>
      </c>
      <c r="M18" s="323"/>
      <c r="N18" s="296"/>
      <c r="O18" s="306"/>
      <c r="P18" s="306"/>
      <c r="Q18" s="320">
        <v>0.04</v>
      </c>
      <c r="R18" s="320">
        <v>0.15</v>
      </c>
      <c r="S18" s="320">
        <v>0</v>
      </c>
      <c r="T18" s="305"/>
      <c r="U18" s="316" t="str">
        <f t="shared" si="4"/>
        <v>Não</v>
      </c>
      <c r="V18" s="316" t="s">
        <v>454</v>
      </c>
      <c r="W18" s="369"/>
      <c r="X18" s="312">
        <f t="shared" si="5"/>
        <v>0</v>
      </c>
      <c r="Y18" s="312">
        <f t="shared" si="6"/>
        <v>0</v>
      </c>
      <c r="Z18" s="312">
        <f t="shared" si="7"/>
        <v>0</v>
      </c>
      <c r="AA18" s="294">
        <f>IF($A$8='4. LISTAS'!$C$35,(P18*B18+T18+Y18+Z18),IF($A$8='4. LISTAS'!$C$36,P18*B18+Y18,IF($A$8='4. LISTAS'!$C$37,P18*B18,"Erro")))</f>
        <v>0</v>
      </c>
      <c r="AB18" s="294">
        <f>IF($A$8='4. LISTAS'!$C$35,IF(V18="sim",AA18,AA18-X18),IF($A$8='4. LISTAS'!$C$36,IF(V18="Sim",AA18-X18,AA18-X18-Y18),IF($A$8='4. LISTAS'!$C$37,AA18,"erro")))</f>
        <v>0</v>
      </c>
      <c r="AC18" s="313">
        <f t="shared" si="11"/>
        <v>0.30349999999999999</v>
      </c>
      <c r="AD18" s="294">
        <f t="shared" si="8"/>
        <v>0</v>
      </c>
      <c r="AE18" s="312">
        <f t="shared" si="9"/>
        <v>0</v>
      </c>
      <c r="AF18" s="312">
        <f t="shared" si="10"/>
        <v>0</v>
      </c>
      <c r="AG18" s="311">
        <f>'4. LISTAS'!$M$6</f>
        <v>5.9299999999999999E-2</v>
      </c>
      <c r="AH18" s="310">
        <f>'4. LISTAS'!$M$5</f>
        <v>0.17</v>
      </c>
      <c r="AI18" s="369"/>
      <c r="AJ18" s="321"/>
      <c r="AK18" s="321"/>
      <c r="AL18" s="321"/>
    </row>
    <row r="19" spans="1:38" x14ac:dyDescent="0.2">
      <c r="A19" s="323" t="s">
        <v>713</v>
      </c>
      <c r="B19" s="323">
        <v>1</v>
      </c>
      <c r="C19" s="321"/>
      <c r="D19" s="321"/>
      <c r="E19" s="321"/>
      <c r="F19" s="306">
        <f t="shared" si="3"/>
        <v>0</v>
      </c>
      <c r="G19" s="305">
        <f>IF($A$8='4. LISTAS'!$C$35,IF(V19="sim",AD19/(1-AG19),AD19/(1-AG19-(H19*(1+J19)))),IF($A$8='4. LISTAS'!$C$36,(AD19/(1-AG19-(H19*(1+J19)))),IF($A$8='4. LISTAS'!$C$37,(AB19/(1-AC19-AH19)),"Erro")))</f>
        <v>0</v>
      </c>
      <c r="H19" s="320">
        <f>IF(AND($A$8='4. LISTAS'!$C$35,'Fornec. TAGNA'!U19="Sim"),0,IF(OR($A$8='4. LISTAS'!$C$35, $A$8='4. LISTAS'!$C$36),(VLOOKUP('1.DASHBOARD'!$B$8,'4. LISTAS'!$F$2:$G$11,2,FALSE)),0))</f>
        <v>0.18</v>
      </c>
      <c r="I19" s="305">
        <f t="shared" si="0"/>
        <v>0</v>
      </c>
      <c r="J19" s="319">
        <f>VLOOKUP($A$8,'4. LISTAS'!$C$35:$F$37,4,0)</f>
        <v>0.1125</v>
      </c>
      <c r="K19" s="305">
        <f t="shared" si="1"/>
        <v>0</v>
      </c>
      <c r="L19" s="305">
        <f t="shared" si="2"/>
        <v>0</v>
      </c>
      <c r="M19" s="323"/>
      <c r="N19" s="296"/>
      <c r="O19" s="306"/>
      <c r="P19" s="306"/>
      <c r="Q19" s="320">
        <v>0.04</v>
      </c>
      <c r="R19" s="320">
        <v>0.15</v>
      </c>
      <c r="S19" s="320">
        <v>0</v>
      </c>
      <c r="T19" s="305"/>
      <c r="U19" s="316" t="str">
        <f t="shared" si="4"/>
        <v>Não</v>
      </c>
      <c r="V19" s="316" t="s">
        <v>454</v>
      </c>
      <c r="W19" s="369"/>
      <c r="X19" s="312">
        <f t="shared" si="5"/>
        <v>0</v>
      </c>
      <c r="Y19" s="312">
        <f t="shared" si="6"/>
        <v>0</v>
      </c>
      <c r="Z19" s="312">
        <f t="shared" si="7"/>
        <v>0</v>
      </c>
      <c r="AA19" s="294">
        <f>IF($A$8='4. LISTAS'!$C$35,(P19*B19+T19+Y19+Z19),IF($A$8='4. LISTAS'!$C$36,P19*B19+Y19,IF($A$8='4. LISTAS'!$C$37,P19*B19,"Erro")))</f>
        <v>0</v>
      </c>
      <c r="AB19" s="294">
        <f>IF($A$8='4. LISTAS'!$C$35,IF(V19="sim",AA19,AA19-X19),IF($A$8='4. LISTAS'!$C$36,IF(V19="Sim",AA19-X19,AA19-X19-Y19),IF($A$8='4. LISTAS'!$C$37,AA19,"erro")))</f>
        <v>0</v>
      </c>
      <c r="AC19" s="313">
        <f t="shared" si="11"/>
        <v>0.30349999999999999</v>
      </c>
      <c r="AD19" s="294">
        <f t="shared" si="8"/>
        <v>0</v>
      </c>
      <c r="AE19" s="312">
        <f t="shared" si="9"/>
        <v>0</v>
      </c>
      <c r="AF19" s="312">
        <f t="shared" si="10"/>
        <v>0</v>
      </c>
      <c r="AG19" s="311">
        <f>'4. LISTAS'!$M$6</f>
        <v>5.9299999999999999E-2</v>
      </c>
      <c r="AH19" s="310">
        <f>'4. LISTAS'!$M$5</f>
        <v>0.17</v>
      </c>
      <c r="AI19" s="369"/>
      <c r="AJ19" s="321"/>
      <c r="AK19" s="321"/>
      <c r="AL19" s="321"/>
    </row>
    <row r="20" spans="1:38" x14ac:dyDescent="0.2">
      <c r="A20" s="323" t="s">
        <v>712</v>
      </c>
      <c r="B20" s="323">
        <v>1</v>
      </c>
      <c r="C20" s="321"/>
      <c r="D20" s="321"/>
      <c r="E20" s="321"/>
      <c r="F20" s="306">
        <f t="shared" si="3"/>
        <v>0</v>
      </c>
      <c r="G20" s="305">
        <f>IF($A$8='4. LISTAS'!$C$35,IF(V20="sim",AD20/(1-AG20),AD20/(1-AG20-(H20*(1+J20)))),IF($A$8='4. LISTAS'!$C$36,(AD20/(1-AG20-(H20*(1+J20)))),IF($A$8='4. LISTAS'!$C$37,(AB20/(1-AC20-AH20)),"Erro")))</f>
        <v>0</v>
      </c>
      <c r="H20" s="320">
        <f>IF(AND($A$8='4. LISTAS'!$C$35,'Fornec. TAGNA'!U20="Sim"),0,IF(OR($A$8='4. LISTAS'!$C$35, $A$8='4. LISTAS'!$C$36),(VLOOKUP('1.DASHBOARD'!$B$8,'4. LISTAS'!$F$2:$G$11,2,FALSE)),0))</f>
        <v>0.18</v>
      </c>
      <c r="I20" s="305">
        <f t="shared" si="0"/>
        <v>0</v>
      </c>
      <c r="J20" s="319">
        <f>VLOOKUP($A$8,'4. LISTAS'!$C$35:$F$37,4,0)</f>
        <v>0.1125</v>
      </c>
      <c r="K20" s="305">
        <f t="shared" si="1"/>
        <v>0</v>
      </c>
      <c r="L20" s="305">
        <f t="shared" si="2"/>
        <v>0</v>
      </c>
      <c r="M20" s="323"/>
      <c r="N20" s="296"/>
      <c r="O20" s="306"/>
      <c r="P20" s="306"/>
      <c r="Q20" s="320">
        <v>0.04</v>
      </c>
      <c r="R20" s="320">
        <v>0.15</v>
      </c>
      <c r="S20" s="320">
        <v>0</v>
      </c>
      <c r="T20" s="305"/>
      <c r="U20" s="316" t="str">
        <f t="shared" si="4"/>
        <v>Não</v>
      </c>
      <c r="V20" s="316" t="s">
        <v>454</v>
      </c>
      <c r="W20" s="369"/>
      <c r="X20" s="312">
        <f t="shared" si="5"/>
        <v>0</v>
      </c>
      <c r="Y20" s="312">
        <f t="shared" si="6"/>
        <v>0</v>
      </c>
      <c r="Z20" s="312">
        <f t="shared" si="7"/>
        <v>0</v>
      </c>
      <c r="AA20" s="294">
        <f>IF($A$8='4. LISTAS'!$C$35,(P20*B20+T20+Y20+Z20),IF($A$8='4. LISTAS'!$C$36,P20*B20+Y20,IF($A$8='4. LISTAS'!$C$37,P20*B20,"Erro")))</f>
        <v>0</v>
      </c>
      <c r="AB20" s="294">
        <f>IF($A$8='4. LISTAS'!$C$35,IF(V20="sim",AA20,AA20-X20),IF($A$8='4. LISTAS'!$C$36,IF(V20="Sim",AA20-X20,AA20-X20-Y20),IF($A$8='4. LISTAS'!$C$37,AA20,"erro")))</f>
        <v>0</v>
      </c>
      <c r="AC20" s="313">
        <f t="shared" si="11"/>
        <v>0.30349999999999999</v>
      </c>
      <c r="AD20" s="294">
        <f t="shared" si="8"/>
        <v>0</v>
      </c>
      <c r="AE20" s="312">
        <f t="shared" si="9"/>
        <v>0</v>
      </c>
      <c r="AF20" s="312">
        <f t="shared" si="10"/>
        <v>0</v>
      </c>
      <c r="AG20" s="311">
        <f>'4. LISTAS'!$M$6</f>
        <v>5.9299999999999999E-2</v>
      </c>
      <c r="AH20" s="310">
        <f>'4. LISTAS'!$M$5</f>
        <v>0.17</v>
      </c>
      <c r="AI20" s="369"/>
      <c r="AJ20" s="321"/>
      <c r="AK20" s="321"/>
      <c r="AL20" s="321"/>
    </row>
    <row r="21" spans="1:38" x14ac:dyDescent="0.2">
      <c r="A21" s="323" t="s">
        <v>711</v>
      </c>
      <c r="B21" s="323">
        <v>1</v>
      </c>
      <c r="C21" s="321"/>
      <c r="D21" s="321"/>
      <c r="E21" s="321"/>
      <c r="F21" s="306">
        <f t="shared" si="3"/>
        <v>0</v>
      </c>
      <c r="G21" s="305">
        <f>IF($A$8='4. LISTAS'!$C$35,IF(V21="sim",AD21/(1-AG21),AD21/(1-AG21-(H21*(1+J21)))),IF($A$8='4. LISTAS'!$C$36,(AD21/(1-AG21-(H21*(1+J21)))),IF($A$8='4. LISTAS'!$C$37,(AB21/(1-AC21-AH21)),"Erro")))</f>
        <v>0</v>
      </c>
      <c r="H21" s="320">
        <f>IF(AND($A$8='4. LISTAS'!$C$35,'Fornec. TAGNA'!U21="Sim"),0,IF(OR($A$8='4. LISTAS'!$C$35, $A$8='4. LISTAS'!$C$36),(VLOOKUP('1.DASHBOARD'!$B$8,'4. LISTAS'!$F$2:$G$11,2,FALSE)),0))</f>
        <v>0.18</v>
      </c>
      <c r="I21" s="305">
        <f t="shared" si="0"/>
        <v>0</v>
      </c>
      <c r="J21" s="319">
        <f>VLOOKUP($A$8,'4. LISTAS'!$C$35:$F$37,4,0)</f>
        <v>0.1125</v>
      </c>
      <c r="K21" s="305">
        <f t="shared" si="1"/>
        <v>0</v>
      </c>
      <c r="L21" s="305">
        <f t="shared" si="2"/>
        <v>0</v>
      </c>
      <c r="M21" s="323"/>
      <c r="N21" s="296"/>
      <c r="O21" s="306"/>
      <c r="P21" s="306"/>
      <c r="Q21" s="320">
        <v>0.04</v>
      </c>
      <c r="R21" s="320">
        <v>0.15</v>
      </c>
      <c r="S21" s="320">
        <v>0</v>
      </c>
      <c r="T21" s="305"/>
      <c r="U21" s="316" t="str">
        <f t="shared" si="4"/>
        <v>Não</v>
      </c>
      <c r="V21" s="316" t="s">
        <v>454</v>
      </c>
      <c r="W21" s="369"/>
      <c r="X21" s="312">
        <f t="shared" si="5"/>
        <v>0</v>
      </c>
      <c r="Y21" s="312">
        <f t="shared" si="6"/>
        <v>0</v>
      </c>
      <c r="Z21" s="312">
        <f t="shared" si="7"/>
        <v>0</v>
      </c>
      <c r="AA21" s="294">
        <f>IF($A$8='4. LISTAS'!$C$35,(P21*B21+T21+Y21+Z21),IF($A$8='4. LISTAS'!$C$36,P21*B21+Y21,IF($A$8='4. LISTAS'!$C$37,P21*B21,"Erro")))</f>
        <v>0</v>
      </c>
      <c r="AB21" s="294">
        <f>IF($A$8='4. LISTAS'!$C$35,IF(V21="sim",AA21,AA21-X21),IF($A$8='4. LISTAS'!$C$36,IF(V21="Sim",AA21-X21,AA21-X21-Y21),IF($A$8='4. LISTAS'!$C$37,AA21,"erro")))</f>
        <v>0</v>
      </c>
      <c r="AC21" s="313">
        <f t="shared" si="11"/>
        <v>0.30349999999999999</v>
      </c>
      <c r="AD21" s="294">
        <f t="shared" si="8"/>
        <v>0</v>
      </c>
      <c r="AE21" s="312">
        <f t="shared" si="9"/>
        <v>0</v>
      </c>
      <c r="AF21" s="312">
        <f t="shared" si="10"/>
        <v>0</v>
      </c>
      <c r="AG21" s="311">
        <f>'4. LISTAS'!$M$6</f>
        <v>5.9299999999999999E-2</v>
      </c>
      <c r="AH21" s="310">
        <f>'4. LISTAS'!$M$5</f>
        <v>0.17</v>
      </c>
      <c r="AI21" s="369"/>
      <c r="AJ21" s="321"/>
      <c r="AK21" s="321"/>
      <c r="AL21" s="321"/>
    </row>
    <row r="22" spans="1:38" x14ac:dyDescent="0.2">
      <c r="A22" s="323" t="s">
        <v>710</v>
      </c>
      <c r="B22" s="323">
        <v>1</v>
      </c>
      <c r="C22" s="321"/>
      <c r="D22" s="321"/>
      <c r="E22" s="321"/>
      <c r="F22" s="306">
        <f t="shared" si="3"/>
        <v>0</v>
      </c>
      <c r="G22" s="305">
        <f>IF($A$8='4. LISTAS'!$C$35,IF(V22="sim",AD22/(1-AG22),AD22/(1-AG22-(H22*(1+J22)))),IF($A$8='4. LISTAS'!$C$36,(AD22/(1-AG22-(H22*(1+J22)))),IF($A$8='4. LISTAS'!$C$37,(AB22/(1-AC22-AH22)),"Erro")))</f>
        <v>0</v>
      </c>
      <c r="H22" s="320">
        <f>IF(AND($A$8='4. LISTAS'!$C$35,'Fornec. TAGNA'!U22="Sim"),0,IF(OR($A$8='4. LISTAS'!$C$35, $A$8='4. LISTAS'!$C$36),(VLOOKUP('1.DASHBOARD'!$B$8,'4. LISTAS'!$F$2:$G$11,2,FALSE)),0))</f>
        <v>0.18</v>
      </c>
      <c r="I22" s="305">
        <f t="shared" si="0"/>
        <v>0</v>
      </c>
      <c r="J22" s="319">
        <f>VLOOKUP($A$8,'4. LISTAS'!$C$35:$F$37,4,0)</f>
        <v>0.1125</v>
      </c>
      <c r="K22" s="305">
        <f t="shared" si="1"/>
        <v>0</v>
      </c>
      <c r="L22" s="305">
        <f t="shared" si="2"/>
        <v>0</v>
      </c>
      <c r="M22" s="323"/>
      <c r="N22" s="296"/>
      <c r="O22" s="306"/>
      <c r="P22" s="306"/>
      <c r="Q22" s="320">
        <v>0.04</v>
      </c>
      <c r="R22" s="320">
        <v>0.15</v>
      </c>
      <c r="S22" s="320">
        <v>0</v>
      </c>
      <c r="T22" s="305"/>
      <c r="U22" s="316" t="str">
        <f t="shared" si="4"/>
        <v>Não</v>
      </c>
      <c r="V22" s="316" t="s">
        <v>454</v>
      </c>
      <c r="W22" s="369"/>
      <c r="X22" s="312">
        <f t="shared" si="5"/>
        <v>0</v>
      </c>
      <c r="Y22" s="312">
        <f t="shared" si="6"/>
        <v>0</v>
      </c>
      <c r="Z22" s="312">
        <f t="shared" si="7"/>
        <v>0</v>
      </c>
      <c r="AA22" s="294">
        <f>IF($A$8='4. LISTAS'!$C$35,(P22*B22+T22+Y22+Z22),IF($A$8='4. LISTAS'!$C$36,P22*B22+Y22,IF($A$8='4. LISTAS'!$C$37,P22*B22,"Erro")))</f>
        <v>0</v>
      </c>
      <c r="AB22" s="294">
        <f>IF($A$8='4. LISTAS'!$C$35,IF(V22="sim",AA22,AA22-X22),IF($A$8='4. LISTAS'!$C$36,IF(V22="Sim",AA22-X22,AA22-X22-Y22),IF($A$8='4. LISTAS'!$C$37,AA22,"erro")))</f>
        <v>0</v>
      </c>
      <c r="AC22" s="313">
        <f t="shared" si="11"/>
        <v>0.30349999999999999</v>
      </c>
      <c r="AD22" s="294">
        <f t="shared" si="8"/>
        <v>0</v>
      </c>
      <c r="AE22" s="312">
        <f t="shared" si="9"/>
        <v>0</v>
      </c>
      <c r="AF22" s="312">
        <f t="shared" si="10"/>
        <v>0</v>
      </c>
      <c r="AG22" s="311">
        <f>'4. LISTAS'!$M$6</f>
        <v>5.9299999999999999E-2</v>
      </c>
      <c r="AH22" s="310">
        <f>'4. LISTAS'!$M$5</f>
        <v>0.17</v>
      </c>
      <c r="AI22" s="369"/>
      <c r="AJ22" s="321"/>
      <c r="AK22" s="321"/>
      <c r="AL22" s="321"/>
    </row>
    <row r="23" spans="1:38" x14ac:dyDescent="0.2">
      <c r="A23" s="323" t="s">
        <v>709</v>
      </c>
      <c r="B23" s="323">
        <v>1</v>
      </c>
      <c r="C23" s="321"/>
      <c r="D23" s="321"/>
      <c r="E23" s="321"/>
      <c r="F23" s="306">
        <f t="shared" si="3"/>
        <v>0</v>
      </c>
      <c r="G23" s="305">
        <f>IF($A$8='4. LISTAS'!$C$35,IF(V23="sim",AD23/(1-AG23),AD23/(1-AG23-(H23*(1+J23)))),IF($A$8='4. LISTAS'!$C$36,(AD23/(1-AG23-(H23*(1+J23)))),IF($A$8='4. LISTAS'!$C$37,(AB23/(1-AC23-AH23)),"Erro")))</f>
        <v>0</v>
      </c>
      <c r="H23" s="320">
        <f>IF(AND($A$8='4. LISTAS'!$C$35,'Fornec. TAGNA'!U23="Sim"),0,IF(OR($A$8='4. LISTAS'!$C$35, $A$8='4. LISTAS'!$C$36),(VLOOKUP('1.DASHBOARD'!$B$8,'4. LISTAS'!$F$2:$G$11,2,FALSE)),0))</f>
        <v>0.18</v>
      </c>
      <c r="I23" s="305">
        <f t="shared" si="0"/>
        <v>0</v>
      </c>
      <c r="J23" s="319">
        <f>VLOOKUP($A$8,'4. LISTAS'!$C$35:$F$37,4,0)</f>
        <v>0.1125</v>
      </c>
      <c r="K23" s="305">
        <f t="shared" si="1"/>
        <v>0</v>
      </c>
      <c r="L23" s="305">
        <f t="shared" si="2"/>
        <v>0</v>
      </c>
      <c r="M23" s="323"/>
      <c r="N23" s="296"/>
      <c r="O23" s="306"/>
      <c r="P23" s="306"/>
      <c r="Q23" s="320">
        <v>0.04</v>
      </c>
      <c r="R23" s="320">
        <v>0.15</v>
      </c>
      <c r="S23" s="320">
        <v>0</v>
      </c>
      <c r="T23" s="305"/>
      <c r="U23" s="316" t="str">
        <f t="shared" si="4"/>
        <v>Não</v>
      </c>
      <c r="V23" s="316" t="s">
        <v>454</v>
      </c>
      <c r="W23" s="369"/>
      <c r="X23" s="312">
        <f t="shared" si="5"/>
        <v>0</v>
      </c>
      <c r="Y23" s="312">
        <f t="shared" si="6"/>
        <v>0</v>
      </c>
      <c r="Z23" s="312">
        <f t="shared" si="7"/>
        <v>0</v>
      </c>
      <c r="AA23" s="294">
        <f>IF($A$8='4. LISTAS'!$C$35,(P23*B23+T23+Y23+Z23),IF($A$8='4. LISTAS'!$C$36,P23*B23+Y23,IF($A$8='4. LISTAS'!$C$37,P23*B23,"Erro")))</f>
        <v>0</v>
      </c>
      <c r="AB23" s="294">
        <f>IF($A$8='4. LISTAS'!$C$35,IF(V23="sim",AA23,AA23-X23),IF($A$8='4. LISTAS'!$C$36,IF(V23="Sim",AA23-X23,AA23-X23-Y23),IF($A$8='4. LISTAS'!$C$37,AA23,"erro")))</f>
        <v>0</v>
      </c>
      <c r="AC23" s="313">
        <f t="shared" si="11"/>
        <v>0.30349999999999999</v>
      </c>
      <c r="AD23" s="294">
        <f t="shared" si="8"/>
        <v>0</v>
      </c>
      <c r="AE23" s="312">
        <f t="shared" si="9"/>
        <v>0</v>
      </c>
      <c r="AF23" s="312">
        <f t="shared" si="10"/>
        <v>0</v>
      </c>
      <c r="AG23" s="311">
        <f>'4. LISTAS'!$M$6</f>
        <v>5.9299999999999999E-2</v>
      </c>
      <c r="AH23" s="310">
        <f>'4. LISTAS'!$M$5</f>
        <v>0.17</v>
      </c>
    </row>
    <row r="24" spans="1:38" x14ac:dyDescent="0.2">
      <c r="A24" s="323" t="s">
        <v>708</v>
      </c>
      <c r="B24" s="323">
        <v>1</v>
      </c>
      <c r="C24" s="321"/>
      <c r="D24" s="321"/>
      <c r="E24" s="321"/>
      <c r="F24" s="306">
        <f t="shared" si="3"/>
        <v>0</v>
      </c>
      <c r="G24" s="305">
        <f>IF($A$8='4. LISTAS'!$C$35,IF(V24="sim",AD24/(1-AG24),AD24/(1-AG24-(H24*(1+J24)))),IF($A$8='4. LISTAS'!$C$36,(AD24/(1-AG24-(H24*(1+J24)))),IF($A$8='4. LISTAS'!$C$37,(AB24/(1-AC24-AH24)),"Erro")))</f>
        <v>0</v>
      </c>
      <c r="H24" s="320">
        <f>IF(AND($A$8='4. LISTAS'!$C$35,'Fornec. TAGNA'!U24="Sim"),0,IF(OR($A$8='4. LISTAS'!$C$35, $A$8='4. LISTAS'!$C$36),(VLOOKUP('1.DASHBOARD'!$B$8,'4. LISTAS'!$F$2:$G$11,2,FALSE)),0))</f>
        <v>0.18</v>
      </c>
      <c r="I24" s="305">
        <f t="shared" si="0"/>
        <v>0</v>
      </c>
      <c r="J24" s="319">
        <f>VLOOKUP($A$8,'4. LISTAS'!$C$35:$F$37,4,0)</f>
        <v>0.1125</v>
      </c>
      <c r="K24" s="305">
        <f t="shared" si="1"/>
        <v>0</v>
      </c>
      <c r="L24" s="305">
        <f t="shared" si="2"/>
        <v>0</v>
      </c>
      <c r="M24" s="323"/>
      <c r="N24" s="296"/>
      <c r="O24" s="306"/>
      <c r="P24" s="306"/>
      <c r="Q24" s="320">
        <v>0.04</v>
      </c>
      <c r="R24" s="320">
        <v>0.15</v>
      </c>
      <c r="S24" s="320">
        <v>0</v>
      </c>
      <c r="T24" s="305"/>
      <c r="U24" s="316" t="str">
        <f t="shared" si="4"/>
        <v>Não</v>
      </c>
      <c r="V24" s="316" t="s">
        <v>454</v>
      </c>
      <c r="W24" s="369"/>
      <c r="X24" s="312">
        <f t="shared" si="5"/>
        <v>0</v>
      </c>
      <c r="Y24" s="312">
        <f t="shared" si="6"/>
        <v>0</v>
      </c>
      <c r="Z24" s="312">
        <f t="shared" si="7"/>
        <v>0</v>
      </c>
      <c r="AA24" s="294">
        <f>IF($A$8='4. LISTAS'!$C$35,(P24*B24+T24+Y24+Z24),IF($A$8='4. LISTAS'!$C$36,P24*B24+Y24,IF($A$8='4. LISTAS'!$C$37,P24*B24,"Erro")))</f>
        <v>0</v>
      </c>
      <c r="AB24" s="294">
        <f>IF($A$8='4. LISTAS'!$C$35,IF(V24="sim",AA24,AA24-X24),IF($A$8='4. LISTAS'!$C$36,IF(V24="Sim",AA24-X24,AA24-X24-Y24),IF($A$8='4. LISTAS'!$C$37,AA24,"erro")))</f>
        <v>0</v>
      </c>
      <c r="AC24" s="313">
        <f t="shared" si="11"/>
        <v>0.30349999999999999</v>
      </c>
      <c r="AD24" s="294">
        <f t="shared" si="8"/>
        <v>0</v>
      </c>
      <c r="AE24" s="312">
        <f t="shared" si="9"/>
        <v>0</v>
      </c>
      <c r="AF24" s="312">
        <f t="shared" si="10"/>
        <v>0</v>
      </c>
      <c r="AG24" s="311">
        <f>'4. LISTAS'!$M$6</f>
        <v>5.9299999999999999E-2</v>
      </c>
      <c r="AH24" s="310">
        <f>'4. LISTAS'!$M$5</f>
        <v>0.17</v>
      </c>
    </row>
    <row r="25" spans="1:38" x14ac:dyDescent="0.2">
      <c r="A25" s="323" t="s">
        <v>707</v>
      </c>
      <c r="B25" s="323">
        <v>1</v>
      </c>
      <c r="C25" s="321"/>
      <c r="D25" s="321"/>
      <c r="E25" s="321"/>
      <c r="F25" s="306">
        <f t="shared" si="3"/>
        <v>0</v>
      </c>
      <c r="G25" s="305">
        <f>IF($A$8='4. LISTAS'!$C$35,IF(V25="sim",AD25/(1-AG25),AD25/(1-AG25-(H25*(1+J25)))),IF($A$8='4. LISTAS'!$C$36,(AD25/(1-AG25-(H25*(1+J25)))),IF($A$8='4. LISTAS'!$C$37,(AB25/(1-AC25-AH25)),"Erro")))</f>
        <v>0</v>
      </c>
      <c r="H25" s="320">
        <f>IF(AND($A$8='4. LISTAS'!$C$35,'Fornec. TAGNA'!U25="Sim"),0,IF(OR($A$8='4. LISTAS'!$C$35, $A$8='4. LISTAS'!$C$36),(VLOOKUP('1.DASHBOARD'!$B$8,'4. LISTAS'!$F$2:$G$11,2,FALSE)),0))</f>
        <v>0.18</v>
      </c>
      <c r="I25" s="305">
        <f t="shared" si="0"/>
        <v>0</v>
      </c>
      <c r="J25" s="319">
        <f>VLOOKUP($A$8,'4. LISTAS'!$C$35:$F$37,4,0)</f>
        <v>0.1125</v>
      </c>
      <c r="K25" s="305">
        <f t="shared" si="1"/>
        <v>0</v>
      </c>
      <c r="L25" s="305">
        <f t="shared" si="2"/>
        <v>0</v>
      </c>
      <c r="M25" s="323"/>
      <c r="N25" s="296"/>
      <c r="O25" s="306"/>
      <c r="P25" s="306"/>
      <c r="Q25" s="320">
        <v>0.04</v>
      </c>
      <c r="R25" s="320">
        <v>0.15</v>
      </c>
      <c r="S25" s="320">
        <v>0</v>
      </c>
      <c r="T25" s="305"/>
      <c r="U25" s="316" t="str">
        <f t="shared" si="4"/>
        <v>Não</v>
      </c>
      <c r="V25" s="316" t="s">
        <v>454</v>
      </c>
      <c r="W25" s="369"/>
      <c r="X25" s="312">
        <f t="shared" si="5"/>
        <v>0</v>
      </c>
      <c r="Y25" s="312">
        <f t="shared" si="6"/>
        <v>0</v>
      </c>
      <c r="Z25" s="312">
        <f t="shared" si="7"/>
        <v>0</v>
      </c>
      <c r="AA25" s="294">
        <f>IF($A$8='4. LISTAS'!$C$35,(P25*B25+T25+Y25+Z25),IF($A$8='4. LISTAS'!$C$36,P25*B25+Y25,IF($A$8='4. LISTAS'!$C$37,P25*B25,"Erro")))</f>
        <v>0</v>
      </c>
      <c r="AB25" s="294">
        <f>IF($A$8='4. LISTAS'!$C$35,IF(V25="sim",AA25,AA25-X25),IF($A$8='4. LISTAS'!$C$36,IF(V25="Sim",AA25-X25,AA25-X25-Y25),IF($A$8='4. LISTAS'!$C$37,AA25,"erro")))</f>
        <v>0</v>
      </c>
      <c r="AC25" s="313">
        <f t="shared" si="11"/>
        <v>0.30349999999999999</v>
      </c>
      <c r="AD25" s="294">
        <f t="shared" si="8"/>
        <v>0</v>
      </c>
      <c r="AE25" s="312">
        <f t="shared" si="9"/>
        <v>0</v>
      </c>
      <c r="AF25" s="312">
        <f t="shared" si="10"/>
        <v>0</v>
      </c>
      <c r="AG25" s="311">
        <f>'4. LISTAS'!$M$6</f>
        <v>5.9299999999999999E-2</v>
      </c>
      <c r="AH25" s="310">
        <f>'4. LISTAS'!$M$5</f>
        <v>0.17</v>
      </c>
    </row>
    <row r="26" spans="1:38" x14ac:dyDescent="0.2">
      <c r="A26" s="323" t="s">
        <v>706</v>
      </c>
      <c r="B26" s="323">
        <v>1</v>
      </c>
      <c r="C26" s="321"/>
      <c r="D26" s="321"/>
      <c r="E26" s="321"/>
      <c r="F26" s="306">
        <f t="shared" si="3"/>
        <v>0</v>
      </c>
      <c r="G26" s="305">
        <f>IF($A$8='4. LISTAS'!$C$35,IF(V26="sim",AD26/(1-AG26),AD26/(1-AG26-(H26*(1+J26)))),IF($A$8='4. LISTAS'!$C$36,(AD26/(1-AG26-(H26*(1+J26)))),IF($A$8='4. LISTAS'!$C$37,(AB26/(1-AC26-AH26)),"Erro")))</f>
        <v>0</v>
      </c>
      <c r="H26" s="320">
        <f>IF(AND($A$8='4. LISTAS'!$C$35,'Fornec. TAGNA'!U26="Sim"),0,IF(OR($A$8='4. LISTAS'!$C$35, $A$8='4. LISTAS'!$C$36),(VLOOKUP('1.DASHBOARD'!$B$8,'4. LISTAS'!$F$2:$G$11,2,FALSE)),0))</f>
        <v>0.18</v>
      </c>
      <c r="I26" s="305">
        <f t="shared" si="0"/>
        <v>0</v>
      </c>
      <c r="J26" s="319">
        <f>VLOOKUP($A$8,'4. LISTAS'!$C$35:$F$37,4,0)</f>
        <v>0.1125</v>
      </c>
      <c r="K26" s="305">
        <f t="shared" si="1"/>
        <v>0</v>
      </c>
      <c r="L26" s="305">
        <f t="shared" si="2"/>
        <v>0</v>
      </c>
      <c r="M26" s="323"/>
      <c r="N26" s="296"/>
      <c r="O26" s="306"/>
      <c r="P26" s="306"/>
      <c r="Q26" s="320">
        <v>0.04</v>
      </c>
      <c r="R26" s="320">
        <v>0.15</v>
      </c>
      <c r="S26" s="320">
        <v>0</v>
      </c>
      <c r="T26" s="305"/>
      <c r="U26" s="316" t="str">
        <f t="shared" si="4"/>
        <v>Não</v>
      </c>
      <c r="V26" s="316" t="s">
        <v>454</v>
      </c>
      <c r="W26" s="369"/>
      <c r="X26" s="312">
        <f t="shared" si="5"/>
        <v>0</v>
      </c>
      <c r="Y26" s="312">
        <f t="shared" si="6"/>
        <v>0</v>
      </c>
      <c r="Z26" s="312">
        <f t="shared" si="7"/>
        <v>0</v>
      </c>
      <c r="AA26" s="294">
        <f>IF($A$8='4. LISTAS'!$C$35,(P26*B26+T26+Y26+Z26),IF($A$8='4. LISTAS'!$C$36,P26*B26+Y26,IF($A$8='4. LISTAS'!$C$37,P26*B26,"Erro")))</f>
        <v>0</v>
      </c>
      <c r="AB26" s="294">
        <f>IF($A$8='4. LISTAS'!$C$35,IF(V26="sim",AA26,AA26-X26),IF($A$8='4. LISTAS'!$C$36,IF(V26="Sim",AA26-X26,AA26-X26-Y26),IF($A$8='4. LISTAS'!$C$37,AA26,"erro")))</f>
        <v>0</v>
      </c>
      <c r="AC26" s="313">
        <f t="shared" si="11"/>
        <v>0.30349999999999999</v>
      </c>
      <c r="AD26" s="294">
        <f t="shared" si="8"/>
        <v>0</v>
      </c>
      <c r="AE26" s="312">
        <f t="shared" si="9"/>
        <v>0</v>
      </c>
      <c r="AF26" s="312">
        <f t="shared" si="10"/>
        <v>0</v>
      </c>
      <c r="AG26" s="311">
        <f>'4. LISTAS'!$M$6</f>
        <v>5.9299999999999999E-2</v>
      </c>
      <c r="AH26" s="310">
        <f>'4. LISTAS'!$M$5</f>
        <v>0.17</v>
      </c>
    </row>
    <row r="27" spans="1:38" x14ac:dyDescent="0.2">
      <c r="A27" s="323" t="s">
        <v>705</v>
      </c>
      <c r="B27" s="323">
        <v>1</v>
      </c>
      <c r="C27" s="321"/>
      <c r="D27" s="321"/>
      <c r="E27" s="321"/>
      <c r="F27" s="306">
        <f t="shared" si="3"/>
        <v>0</v>
      </c>
      <c r="G27" s="305">
        <f>IF($A$8='4. LISTAS'!$C$35,IF(V27="sim",AD27/(1-AG27),AD27/(1-AG27-(H27*(1+J27)))),IF($A$8='4. LISTAS'!$C$36,(AD27/(1-AG27-(H27*(1+J27)))),IF($A$8='4. LISTAS'!$C$37,(AB27/(1-AC27-AH27)),"Erro")))</f>
        <v>0</v>
      </c>
      <c r="H27" s="320">
        <f>IF(AND($A$8='4. LISTAS'!$C$35,'Fornec. TAGNA'!U27="Sim"),0,IF(OR($A$8='4. LISTAS'!$C$35, $A$8='4. LISTAS'!$C$36),(VLOOKUP('1.DASHBOARD'!$B$8,'4. LISTAS'!$F$2:$G$11,2,FALSE)),0))</f>
        <v>0.18</v>
      </c>
      <c r="I27" s="305">
        <f t="shared" si="0"/>
        <v>0</v>
      </c>
      <c r="J27" s="319">
        <f>VLOOKUP($A$8,'4. LISTAS'!$C$35:$F$37,4,0)</f>
        <v>0.1125</v>
      </c>
      <c r="K27" s="305">
        <f t="shared" si="1"/>
        <v>0</v>
      </c>
      <c r="L27" s="305">
        <f t="shared" si="2"/>
        <v>0</v>
      </c>
      <c r="M27" s="323"/>
      <c r="N27" s="296"/>
      <c r="O27" s="306"/>
      <c r="P27" s="306"/>
      <c r="Q27" s="320">
        <v>0.04</v>
      </c>
      <c r="R27" s="320">
        <v>0.15</v>
      </c>
      <c r="S27" s="320">
        <v>0</v>
      </c>
      <c r="T27" s="305"/>
      <c r="U27" s="316" t="str">
        <f t="shared" si="4"/>
        <v>Não</v>
      </c>
      <c r="V27" s="316" t="s">
        <v>454</v>
      </c>
      <c r="W27" s="369"/>
      <c r="X27" s="312">
        <f t="shared" si="5"/>
        <v>0</v>
      </c>
      <c r="Y27" s="312">
        <f t="shared" si="6"/>
        <v>0</v>
      </c>
      <c r="Z27" s="312">
        <f t="shared" si="7"/>
        <v>0</v>
      </c>
      <c r="AA27" s="294">
        <f>IF($A$8='4. LISTAS'!$C$35,(P27*B27+T27+Y27+Z27),IF($A$8='4. LISTAS'!$C$36,P27*B27+Y27,IF($A$8='4. LISTAS'!$C$37,P27*B27,"Erro")))</f>
        <v>0</v>
      </c>
      <c r="AB27" s="294">
        <f>IF($A$8='4. LISTAS'!$C$35,IF(V27="sim",AA27,AA27-X27),IF($A$8='4. LISTAS'!$C$36,IF(V27="Sim",AA27-X27,AA27-X27-Y27),IF($A$8='4. LISTAS'!$C$37,AA27,"erro")))</f>
        <v>0</v>
      </c>
      <c r="AC27" s="313">
        <f t="shared" si="11"/>
        <v>0.30349999999999999</v>
      </c>
      <c r="AD27" s="294">
        <f t="shared" si="8"/>
        <v>0</v>
      </c>
      <c r="AE27" s="312">
        <f t="shared" si="9"/>
        <v>0</v>
      </c>
      <c r="AF27" s="312">
        <f t="shared" si="10"/>
        <v>0</v>
      </c>
      <c r="AG27" s="311">
        <f>'4. LISTAS'!$M$6</f>
        <v>5.9299999999999999E-2</v>
      </c>
      <c r="AH27" s="310">
        <f>'4. LISTAS'!$M$5</f>
        <v>0.17</v>
      </c>
    </row>
    <row r="28" spans="1:38" x14ac:dyDescent="0.2">
      <c r="A28" s="323" t="s">
        <v>704</v>
      </c>
      <c r="B28" s="323">
        <v>1</v>
      </c>
      <c r="C28" s="321"/>
      <c r="D28" s="321"/>
      <c r="E28" s="321"/>
      <c r="F28" s="306">
        <f t="shared" si="3"/>
        <v>0</v>
      </c>
      <c r="G28" s="305">
        <f>IF($A$8='4. LISTAS'!$C$35,IF(V28="sim",AD28/(1-AG28),AD28/(1-AG28-(H28*(1+J28)))),IF($A$8='4. LISTAS'!$C$36,(AD28/(1-AG28-(H28*(1+J28)))),IF($A$8='4. LISTAS'!$C$37,(AB28/(1-AC28-AH28)),"Erro")))</f>
        <v>0</v>
      </c>
      <c r="H28" s="320">
        <f>IF(AND($A$8='4. LISTAS'!$C$35,'Fornec. TAGNA'!U28="Sim"),0,IF(OR($A$8='4. LISTAS'!$C$35, $A$8='4. LISTAS'!$C$36),(VLOOKUP('1.DASHBOARD'!$B$8,'4. LISTAS'!$F$2:$G$11,2,FALSE)),0))</f>
        <v>0.18</v>
      </c>
      <c r="I28" s="305">
        <f t="shared" si="0"/>
        <v>0</v>
      </c>
      <c r="J28" s="319">
        <f>VLOOKUP($A$8,'4. LISTAS'!$C$35:$F$37,4,0)</f>
        <v>0.1125</v>
      </c>
      <c r="K28" s="305">
        <f t="shared" si="1"/>
        <v>0</v>
      </c>
      <c r="L28" s="305">
        <f t="shared" si="2"/>
        <v>0</v>
      </c>
      <c r="M28" s="323"/>
      <c r="N28" s="296"/>
      <c r="O28" s="306"/>
      <c r="P28" s="306"/>
      <c r="Q28" s="320">
        <v>0.04</v>
      </c>
      <c r="R28" s="320">
        <v>0.15</v>
      </c>
      <c r="S28" s="320">
        <v>0</v>
      </c>
      <c r="T28" s="305"/>
      <c r="U28" s="316" t="str">
        <f t="shared" si="4"/>
        <v>Não</v>
      </c>
      <c r="V28" s="316" t="s">
        <v>454</v>
      </c>
      <c r="W28" s="369"/>
      <c r="X28" s="312">
        <f t="shared" si="5"/>
        <v>0</v>
      </c>
      <c r="Y28" s="312">
        <f t="shared" si="6"/>
        <v>0</v>
      </c>
      <c r="Z28" s="312">
        <f t="shared" si="7"/>
        <v>0</v>
      </c>
      <c r="AA28" s="294">
        <f>IF($A$8='4. LISTAS'!$C$35,(P28*B28+T28+Y28+Z28),IF($A$8='4. LISTAS'!$C$36,P28*B28+Y28,IF($A$8='4. LISTAS'!$C$37,P28*B28,"Erro")))</f>
        <v>0</v>
      </c>
      <c r="AB28" s="294">
        <f>IF($A$8='4. LISTAS'!$C$35,IF(V28="sim",AA28,AA28-X28),IF($A$8='4. LISTAS'!$C$36,IF(V28="Sim",AA28-X28,AA28-X28-Y28),IF($A$8='4. LISTAS'!$C$37,AA28,"erro")))</f>
        <v>0</v>
      </c>
      <c r="AC28" s="313">
        <f t="shared" si="11"/>
        <v>0.30349999999999999</v>
      </c>
      <c r="AD28" s="294">
        <f t="shared" si="8"/>
        <v>0</v>
      </c>
      <c r="AE28" s="312">
        <f t="shared" si="9"/>
        <v>0</v>
      </c>
      <c r="AF28" s="312">
        <f t="shared" si="10"/>
        <v>0</v>
      </c>
      <c r="AG28" s="311">
        <f>'4. LISTAS'!$M$6</f>
        <v>5.9299999999999999E-2</v>
      </c>
      <c r="AH28" s="310">
        <f>'4. LISTAS'!$M$5</f>
        <v>0.17</v>
      </c>
    </row>
    <row r="29" spans="1:38" x14ac:dyDescent="0.2">
      <c r="A29" s="323" t="s">
        <v>703</v>
      </c>
      <c r="B29" s="323">
        <v>1</v>
      </c>
      <c r="C29" s="321"/>
      <c r="D29" s="321"/>
      <c r="E29" s="321"/>
      <c r="F29" s="306">
        <f t="shared" si="3"/>
        <v>0</v>
      </c>
      <c r="G29" s="305">
        <f>IF($A$8='4. LISTAS'!$C$35,IF(V29="sim",AD29/(1-AG29),AD29/(1-AG29-(H29*(1+J29)))),IF($A$8='4. LISTAS'!$C$36,(AD29/(1-AG29-(H29*(1+J29)))),IF($A$8='4. LISTAS'!$C$37,(AB29/(1-AC29-AH29)),"Erro")))</f>
        <v>0</v>
      </c>
      <c r="H29" s="320">
        <f>IF(AND($A$8='4. LISTAS'!$C$35,'Fornec. TAGNA'!U29="Sim"),0,IF(OR($A$8='4. LISTAS'!$C$35, $A$8='4. LISTAS'!$C$36),(VLOOKUP('1.DASHBOARD'!$B$8,'4. LISTAS'!$F$2:$G$11,2,FALSE)),0))</f>
        <v>0.18</v>
      </c>
      <c r="I29" s="305">
        <f t="shared" si="0"/>
        <v>0</v>
      </c>
      <c r="J29" s="319">
        <f>VLOOKUP($A$8,'4. LISTAS'!$C$35:$F$37,4,0)</f>
        <v>0.1125</v>
      </c>
      <c r="K29" s="305">
        <f t="shared" si="1"/>
        <v>0</v>
      </c>
      <c r="L29" s="305">
        <f t="shared" si="2"/>
        <v>0</v>
      </c>
      <c r="M29" s="323"/>
      <c r="N29" s="296"/>
      <c r="O29" s="306"/>
      <c r="P29" s="306"/>
      <c r="Q29" s="320">
        <v>0.04</v>
      </c>
      <c r="R29" s="320">
        <v>0.15</v>
      </c>
      <c r="S29" s="320">
        <v>0</v>
      </c>
      <c r="T29" s="305"/>
      <c r="U29" s="316" t="str">
        <f t="shared" si="4"/>
        <v>Não</v>
      </c>
      <c r="V29" s="316" t="s">
        <v>454</v>
      </c>
      <c r="W29" s="369"/>
      <c r="X29" s="312">
        <f t="shared" si="5"/>
        <v>0</v>
      </c>
      <c r="Y29" s="312">
        <f t="shared" si="6"/>
        <v>0</v>
      </c>
      <c r="Z29" s="312">
        <f t="shared" si="7"/>
        <v>0</v>
      </c>
      <c r="AA29" s="294">
        <f>IF($A$8='4. LISTAS'!$C$35,(P29*B29+T29+Y29+Z29),IF($A$8='4. LISTAS'!$C$36,P29*B29+Y29,IF($A$8='4. LISTAS'!$C$37,P29*B29,"Erro")))</f>
        <v>0</v>
      </c>
      <c r="AB29" s="294">
        <f>IF($A$8='4. LISTAS'!$C$35,IF(V29="sim",AA29,AA29-X29),IF($A$8='4. LISTAS'!$C$36,IF(V29="Sim",AA29-X29,AA29-X29-Y29),IF($A$8='4. LISTAS'!$C$37,AA29,"erro")))</f>
        <v>0</v>
      </c>
      <c r="AC29" s="313">
        <f t="shared" si="11"/>
        <v>0.30349999999999999</v>
      </c>
      <c r="AD29" s="294">
        <f t="shared" si="8"/>
        <v>0</v>
      </c>
      <c r="AE29" s="312">
        <f t="shared" si="9"/>
        <v>0</v>
      </c>
      <c r="AF29" s="312">
        <f t="shared" si="10"/>
        <v>0</v>
      </c>
      <c r="AG29" s="311">
        <f>'4. LISTAS'!$M$6</f>
        <v>5.9299999999999999E-2</v>
      </c>
      <c r="AH29" s="310">
        <f>'4. LISTAS'!$M$5</f>
        <v>0.17</v>
      </c>
    </row>
    <row r="30" spans="1:38" x14ac:dyDescent="0.2">
      <c r="A30" s="323" t="s">
        <v>702</v>
      </c>
      <c r="B30" s="323">
        <v>1</v>
      </c>
      <c r="C30" s="321"/>
      <c r="D30" s="321"/>
      <c r="E30" s="321"/>
      <c r="F30" s="306">
        <f t="shared" si="3"/>
        <v>0</v>
      </c>
      <c r="G30" s="305">
        <f>IF($A$8='4. LISTAS'!$C$35,IF(V30="sim",AD30/(1-AG30),AD30/(1-AG30-(H30*(1+J30)))),IF($A$8='4. LISTAS'!$C$36,(AD30/(1-AG30-(H30*(1+J30)))),IF($A$8='4. LISTAS'!$C$37,(AB30/(1-AC30-AH30)),"Erro")))</f>
        <v>0</v>
      </c>
      <c r="H30" s="320">
        <f>IF(AND($A$8='4. LISTAS'!$C$35,'Fornec. TAGNA'!U30="Sim"),0,IF(OR($A$8='4. LISTAS'!$C$35, $A$8='4. LISTAS'!$C$36),(VLOOKUP('1.DASHBOARD'!$B$8,'4. LISTAS'!$F$2:$G$11,2,FALSE)),0))</f>
        <v>0.18</v>
      </c>
      <c r="I30" s="305">
        <f t="shared" si="0"/>
        <v>0</v>
      </c>
      <c r="J30" s="319">
        <f>VLOOKUP($A$8,'4. LISTAS'!$C$35:$F$37,4,0)</f>
        <v>0.1125</v>
      </c>
      <c r="K30" s="305">
        <f t="shared" si="1"/>
        <v>0</v>
      </c>
      <c r="L30" s="305">
        <f t="shared" si="2"/>
        <v>0</v>
      </c>
      <c r="M30" s="323"/>
      <c r="N30" s="296"/>
      <c r="O30" s="306"/>
      <c r="P30" s="306"/>
      <c r="Q30" s="320">
        <v>0.04</v>
      </c>
      <c r="R30" s="320">
        <v>0.15</v>
      </c>
      <c r="S30" s="320">
        <v>0</v>
      </c>
      <c r="T30" s="305"/>
      <c r="U30" s="316" t="str">
        <f t="shared" si="4"/>
        <v>Não</v>
      </c>
      <c r="V30" s="316" t="s">
        <v>454</v>
      </c>
      <c r="W30" s="369"/>
      <c r="X30" s="312">
        <f t="shared" si="5"/>
        <v>0</v>
      </c>
      <c r="Y30" s="312">
        <f t="shared" si="6"/>
        <v>0</v>
      </c>
      <c r="Z30" s="312">
        <f t="shared" si="7"/>
        <v>0</v>
      </c>
      <c r="AA30" s="294">
        <f>IF($A$8='4. LISTAS'!$C$35,(P30*B30+T30+Y30+Z30),IF($A$8='4. LISTAS'!$C$36,P30*B30+Y30,IF($A$8='4. LISTAS'!$C$37,P30*B30,"Erro")))</f>
        <v>0</v>
      </c>
      <c r="AB30" s="294">
        <f>IF($A$8='4. LISTAS'!$C$35,IF(V30="sim",AA30,AA30-X30),IF($A$8='4. LISTAS'!$C$36,IF(V30="Sim",AA30-X30,AA30-X30-Y30),IF($A$8='4. LISTAS'!$C$37,AA30,"erro")))</f>
        <v>0</v>
      </c>
      <c r="AC30" s="313">
        <f t="shared" si="11"/>
        <v>0.30349999999999999</v>
      </c>
      <c r="AD30" s="294">
        <f t="shared" si="8"/>
        <v>0</v>
      </c>
      <c r="AE30" s="312">
        <f t="shared" si="9"/>
        <v>0</v>
      </c>
      <c r="AF30" s="312">
        <f t="shared" si="10"/>
        <v>0</v>
      </c>
      <c r="AG30" s="311">
        <f>'4. LISTAS'!$M$6</f>
        <v>5.9299999999999999E-2</v>
      </c>
      <c r="AH30" s="310">
        <f>'4. LISTAS'!$M$5</f>
        <v>0.17</v>
      </c>
    </row>
    <row r="31" spans="1:38" x14ac:dyDescent="0.2">
      <c r="A31" s="323" t="s">
        <v>701</v>
      </c>
      <c r="B31" s="323">
        <v>1</v>
      </c>
      <c r="C31" s="321"/>
      <c r="D31" s="321"/>
      <c r="E31" s="321"/>
      <c r="F31" s="306">
        <f t="shared" si="3"/>
        <v>0</v>
      </c>
      <c r="G31" s="305">
        <f>IF($A$8='4. LISTAS'!$C$35,IF(V31="sim",AD31/(1-AG31),AD31/(1-AG31-(H31*(1+J31)))),IF($A$8='4. LISTAS'!$C$36,(AD31/(1-AG31-(H31*(1+J31)))),IF($A$8='4. LISTAS'!$C$37,(AB31/(1-AC31-AH31)),"Erro")))</f>
        <v>0</v>
      </c>
      <c r="H31" s="320">
        <f>IF(AND($A$8='4. LISTAS'!$C$35,'Fornec. TAGNA'!U31="Sim"),0,IF(OR($A$8='4. LISTAS'!$C$35, $A$8='4. LISTAS'!$C$36),(VLOOKUP('1.DASHBOARD'!$B$8,'4. LISTAS'!$F$2:$G$11,2,FALSE)),0))</f>
        <v>0.18</v>
      </c>
      <c r="I31" s="305">
        <f t="shared" si="0"/>
        <v>0</v>
      </c>
      <c r="J31" s="319">
        <f>VLOOKUP($A$8,'4. LISTAS'!$C$35:$F$37,4,0)</f>
        <v>0.1125</v>
      </c>
      <c r="K31" s="305">
        <f t="shared" si="1"/>
        <v>0</v>
      </c>
      <c r="L31" s="305">
        <f t="shared" si="2"/>
        <v>0</v>
      </c>
      <c r="M31" s="323"/>
      <c r="N31" s="296"/>
      <c r="O31" s="306"/>
      <c r="P31" s="306"/>
      <c r="Q31" s="320">
        <v>0.04</v>
      </c>
      <c r="R31" s="320">
        <v>0.15</v>
      </c>
      <c r="S31" s="320">
        <v>0</v>
      </c>
      <c r="T31" s="305"/>
      <c r="U31" s="316" t="str">
        <f t="shared" si="4"/>
        <v>Não</v>
      </c>
      <c r="V31" s="316" t="s">
        <v>454</v>
      </c>
      <c r="W31" s="369"/>
      <c r="X31" s="312">
        <f t="shared" si="5"/>
        <v>0</v>
      </c>
      <c r="Y31" s="312">
        <f t="shared" si="6"/>
        <v>0</v>
      </c>
      <c r="Z31" s="312">
        <f t="shared" si="7"/>
        <v>0</v>
      </c>
      <c r="AA31" s="294">
        <f>IF($A$8='4. LISTAS'!$C$35,(P31*B31+T31+Y31+Z31),IF($A$8='4. LISTAS'!$C$36,P31*B31+Y31,IF($A$8='4. LISTAS'!$C$37,P31*B31,"Erro")))</f>
        <v>0</v>
      </c>
      <c r="AB31" s="294">
        <f>IF($A$8='4. LISTAS'!$C$35,IF(V31="sim",AA31,AA31-X31),IF($A$8='4. LISTAS'!$C$36,IF(V31="Sim",AA31-X31,AA31-X31-Y31),IF($A$8='4. LISTAS'!$C$37,AA31,"erro")))</f>
        <v>0</v>
      </c>
      <c r="AC31" s="313">
        <f t="shared" si="11"/>
        <v>0.30349999999999999</v>
      </c>
      <c r="AD31" s="294">
        <f t="shared" si="8"/>
        <v>0</v>
      </c>
      <c r="AE31" s="312">
        <f t="shared" si="9"/>
        <v>0</v>
      </c>
      <c r="AF31" s="312">
        <f t="shared" si="10"/>
        <v>0</v>
      </c>
      <c r="AG31" s="311">
        <f>'4. LISTAS'!$M$6</f>
        <v>5.9299999999999999E-2</v>
      </c>
      <c r="AH31" s="310">
        <f>'4. LISTAS'!$M$5</f>
        <v>0.17</v>
      </c>
    </row>
    <row r="32" spans="1:38" x14ac:dyDescent="0.2">
      <c r="A32" s="323" t="s">
        <v>700</v>
      </c>
      <c r="B32" s="322">
        <v>0</v>
      </c>
      <c r="C32" s="321"/>
      <c r="D32" s="370" t="s">
        <v>699</v>
      </c>
      <c r="E32" s="321"/>
      <c r="F32" s="306">
        <f>IF(B32&lt;&gt;0,G32/B32,0)</f>
        <v>0</v>
      </c>
      <c r="G32" s="305">
        <f>IF($A$8='4. LISTAS'!$C$35,IF(V32="sim",AD32/(1-AG32),AD32/(1-AG32-(H32*(1+J32)))),IF($A$8='4. LISTAS'!$C$36,(AD32/(1-AG32-(H32*(1+J32)))),IF($A$8='4. LISTAS'!$C$37,(AB32/(1-AC32-AH32)),"Erro")))</f>
        <v>0</v>
      </c>
      <c r="H32" s="320">
        <f>IF(AND($A$8='4. LISTAS'!$C$35,'Fornec. TAGNA'!U32="Sim"),0,IF(OR($A$8='4. LISTAS'!$C$35, $A$8='4. LISTAS'!$C$36),(VLOOKUP('1.DASHBOARD'!$B$8,'4. LISTAS'!$F$2:$G$11,2,FALSE)),0))</f>
        <v>0.18</v>
      </c>
      <c r="I32" s="305">
        <f t="shared" si="0"/>
        <v>0</v>
      </c>
      <c r="J32" s="319">
        <f>VLOOKUP($A$8,'4. LISTAS'!$C$35:$F$37,4,0)</f>
        <v>0.1125</v>
      </c>
      <c r="K32" s="305">
        <f t="shared" si="1"/>
        <v>0</v>
      </c>
      <c r="L32" s="305">
        <f t="shared" si="2"/>
        <v>0</v>
      </c>
      <c r="M32" s="323"/>
      <c r="N32" s="296"/>
      <c r="O32" s="306"/>
      <c r="P32" s="306">
        <v>355.22537921211438</v>
      </c>
      <c r="Q32" s="320">
        <v>0</v>
      </c>
      <c r="R32" s="320">
        <v>0</v>
      </c>
      <c r="S32" s="320">
        <v>0</v>
      </c>
      <c r="T32" s="305"/>
      <c r="U32" s="316" t="str">
        <f t="shared" si="4"/>
        <v>Não</v>
      </c>
      <c r="V32" s="316" t="s">
        <v>454</v>
      </c>
      <c r="W32" s="369"/>
      <c r="X32" s="312">
        <f t="shared" si="5"/>
        <v>0</v>
      </c>
      <c r="Y32" s="312">
        <f t="shared" si="6"/>
        <v>0</v>
      </c>
      <c r="Z32" s="312">
        <f t="shared" si="7"/>
        <v>0</v>
      </c>
      <c r="AA32" s="294">
        <f>IF($A$8='4. LISTAS'!$C$35,(P32*B32+T32+Y32+Z32),IF($A$8='4. LISTAS'!$C$36,P32*B32+Y32,IF($A$8='4. LISTAS'!$C$37,P32*B32,"Erro")))</f>
        <v>0</v>
      </c>
      <c r="AB32" s="294">
        <f>IF($A$8='4. LISTAS'!$C$35,IF(V32="sim",AA32,AA32-X32),IF($A$8='4. LISTAS'!$C$36,IF(V32="Sim",AA32-X32,AA32-X32-Y32),IF($A$8='4. LISTAS'!$C$37,AA32,"erro")))</f>
        <v>0</v>
      </c>
      <c r="AC32" s="313">
        <f>'1.DASHBOARD'!$B$11</f>
        <v>0.25</v>
      </c>
      <c r="AD32" s="294">
        <f t="shared" si="8"/>
        <v>0</v>
      </c>
      <c r="AE32" s="312">
        <f t="shared" si="9"/>
        <v>0</v>
      </c>
      <c r="AF32" s="312">
        <f t="shared" si="10"/>
        <v>0</v>
      </c>
      <c r="AG32" s="311">
        <f>'4. LISTAS'!$M$6</f>
        <v>5.9299999999999999E-2</v>
      </c>
      <c r="AH32" s="310">
        <f>'4. LISTAS'!$M$5</f>
        <v>0.17</v>
      </c>
    </row>
    <row r="33" spans="1:38" x14ac:dyDescent="0.2">
      <c r="A33" s="323" t="s">
        <v>698</v>
      </c>
      <c r="B33" s="322">
        <v>0</v>
      </c>
      <c r="C33" s="321"/>
      <c r="D33" s="370" t="s">
        <v>697</v>
      </c>
      <c r="E33" s="321"/>
      <c r="F33" s="306">
        <f>IF(B32&lt;&gt;0,G33/B33,0)</f>
        <v>0</v>
      </c>
      <c r="G33" s="305">
        <f>IF($A$8='4. LISTAS'!$C$35,IF(V33="sim",AD33/(1-AG33),AD33/(1-AG33-(H33*(1+J33)))),IF($A$8='4. LISTAS'!$C$36,(AD33/(1-AG33-(H33*(1+J33)))),IF($A$8='4. LISTAS'!$C$37,(AB33/(1-AC33-AH33)),"Erro")))</f>
        <v>0</v>
      </c>
      <c r="H33" s="320">
        <f>IF(AND($A$8='4. LISTAS'!$C$35,'Fornec. TAGNA'!U33="Sim"),0,IF(OR($A$8='4. LISTAS'!$C$35, $A$8='4. LISTAS'!$C$36),(VLOOKUP('1.DASHBOARD'!$B$8,'4. LISTAS'!$F$2:$G$11,2,FALSE)),0))</f>
        <v>0.18</v>
      </c>
      <c r="I33" s="305">
        <f t="shared" si="0"/>
        <v>0</v>
      </c>
      <c r="J33" s="319">
        <f>VLOOKUP($A$8,'4. LISTAS'!$C$35:$F$37,4,0)</f>
        <v>0.1125</v>
      </c>
      <c r="K33" s="305">
        <f t="shared" si="1"/>
        <v>0</v>
      </c>
      <c r="L33" s="305">
        <f t="shared" si="2"/>
        <v>0</v>
      </c>
      <c r="M33" s="323"/>
      <c r="N33" s="296"/>
      <c r="O33" s="306"/>
      <c r="P33" s="306">
        <v>37.149026125714286</v>
      </c>
      <c r="Q33" s="320">
        <v>0</v>
      </c>
      <c r="R33" s="320">
        <v>0</v>
      </c>
      <c r="S33" s="320">
        <v>0</v>
      </c>
      <c r="T33" s="305"/>
      <c r="U33" s="316" t="str">
        <f t="shared" si="4"/>
        <v>Não</v>
      </c>
      <c r="V33" s="316" t="s">
        <v>454</v>
      </c>
      <c r="W33" s="369"/>
      <c r="X33" s="312">
        <f t="shared" si="5"/>
        <v>0</v>
      </c>
      <c r="Y33" s="312">
        <f t="shared" si="6"/>
        <v>0</v>
      </c>
      <c r="Z33" s="312">
        <f t="shared" si="7"/>
        <v>0</v>
      </c>
      <c r="AA33" s="294">
        <f>IF($A$8='4. LISTAS'!$C$35,(P33*B33+T33+Y33+Z33),IF($A$8='4. LISTAS'!$C$36,P33*B33+Y33,IF($A$8='4. LISTAS'!$C$37,P33*B33,"Erro")))</f>
        <v>0</v>
      </c>
      <c r="AB33" s="294">
        <f>IF($A$8='4. LISTAS'!$C$35,IF(V33="sim",AA33,AA33-X33),IF($A$8='4. LISTAS'!$C$36,IF(V33="Sim",AA33-X33,AA33-X33-Y33),IF($A$8='4. LISTAS'!$C$37,AA33,"erro")))</f>
        <v>0</v>
      </c>
      <c r="AC33" s="313">
        <f>'1.DASHBOARD'!$B$11</f>
        <v>0.25</v>
      </c>
      <c r="AD33" s="294">
        <f t="shared" si="8"/>
        <v>0</v>
      </c>
      <c r="AE33" s="312">
        <f t="shared" si="9"/>
        <v>0</v>
      </c>
      <c r="AF33" s="312">
        <f t="shared" si="10"/>
        <v>0</v>
      </c>
      <c r="AG33" s="311">
        <f>'4. LISTAS'!$M$6</f>
        <v>5.9299999999999999E-2</v>
      </c>
      <c r="AH33" s="310">
        <f>'4. LISTAS'!$M$5</f>
        <v>0.17</v>
      </c>
    </row>
    <row r="34" spans="1:38" x14ac:dyDescent="0.2">
      <c r="A34" s="323" t="s">
        <v>696</v>
      </c>
      <c r="B34" s="322">
        <v>0</v>
      </c>
      <c r="C34" s="321"/>
      <c r="D34" s="370" t="s">
        <v>695</v>
      </c>
      <c r="E34" s="321"/>
      <c r="F34" s="306">
        <f>IF(B32&lt;&gt;0,G34/B34,0)</f>
        <v>0</v>
      </c>
      <c r="G34" s="305">
        <f>IF($A$8='4. LISTAS'!$C$35,IF(V34="sim",AD34/(1-AG34),AD34/(1-AG34-(H34*(1+J34)))),IF($A$8='4. LISTAS'!$C$36,(AD34/(1-AG34-(H34*(1+J34)))),IF($A$8='4. LISTAS'!$C$37,(AB34/(1-AC34-AH34)),"Erro")))</f>
        <v>0</v>
      </c>
      <c r="H34" s="320">
        <f>IF(AND($A$8='4. LISTAS'!$C$35,'Fornec. TAGNA'!U34="Sim"),0,IF(OR($A$8='4. LISTAS'!$C$35, $A$8='4. LISTAS'!$C$36),(VLOOKUP('1.DASHBOARD'!$B$8,'4. LISTAS'!$F$2:$G$11,2,FALSE)),0))</f>
        <v>0.18</v>
      </c>
      <c r="I34" s="305">
        <f t="shared" si="0"/>
        <v>0</v>
      </c>
      <c r="J34" s="319">
        <f>VLOOKUP($A$8,'4. LISTAS'!$C$35:$F$37,4,0)</f>
        <v>0.1125</v>
      </c>
      <c r="K34" s="305">
        <f t="shared" si="1"/>
        <v>0</v>
      </c>
      <c r="L34" s="305">
        <f t="shared" si="2"/>
        <v>0</v>
      </c>
      <c r="M34" s="323"/>
      <c r="N34" s="296"/>
      <c r="O34" s="306"/>
      <c r="P34" s="306">
        <v>129.56768445553286</v>
      </c>
      <c r="Q34" s="320">
        <v>0</v>
      </c>
      <c r="R34" s="320">
        <v>0</v>
      </c>
      <c r="S34" s="320">
        <v>0</v>
      </c>
      <c r="T34" s="305"/>
      <c r="U34" s="316" t="str">
        <f t="shared" si="4"/>
        <v>Não</v>
      </c>
      <c r="V34" s="316" t="s">
        <v>454</v>
      </c>
      <c r="W34" s="369"/>
      <c r="X34" s="312">
        <f t="shared" si="5"/>
        <v>0</v>
      </c>
      <c r="Y34" s="312">
        <f t="shared" si="6"/>
        <v>0</v>
      </c>
      <c r="Z34" s="312">
        <f t="shared" si="7"/>
        <v>0</v>
      </c>
      <c r="AA34" s="294">
        <f>IF($A$8='4. LISTAS'!$C$35,(P34*B34+T34+Y34+Z34),IF($A$8='4. LISTAS'!$C$36,P34*B34+Y34,IF($A$8='4. LISTAS'!$C$37,P34*B34,"Erro")))</f>
        <v>0</v>
      </c>
      <c r="AB34" s="294">
        <f>IF($A$8='4. LISTAS'!$C$35,IF(V34="sim",AA34,AA34-X34),IF($A$8='4. LISTAS'!$C$36,IF(V34="Sim",AA34-X34,AA34-X34-Y34),IF($A$8='4. LISTAS'!$C$37,AA34,"erro")))</f>
        <v>0</v>
      </c>
      <c r="AC34" s="313">
        <f>'1.DASHBOARD'!$B$11</f>
        <v>0.25</v>
      </c>
      <c r="AD34" s="294">
        <f t="shared" si="8"/>
        <v>0</v>
      </c>
      <c r="AE34" s="312">
        <f t="shared" si="9"/>
        <v>0</v>
      </c>
      <c r="AF34" s="312">
        <f t="shared" si="10"/>
        <v>0</v>
      </c>
      <c r="AG34" s="311">
        <f>'4. LISTAS'!$M$6</f>
        <v>5.9299999999999999E-2</v>
      </c>
      <c r="AH34" s="310">
        <f>'4. LISTAS'!$M$5</f>
        <v>0.17</v>
      </c>
    </row>
    <row r="35" spans="1:38" x14ac:dyDescent="0.2">
      <c r="A35" s="323" t="s">
        <v>694</v>
      </c>
      <c r="B35" s="322">
        <v>0</v>
      </c>
      <c r="C35" s="321"/>
      <c r="D35" s="370" t="s">
        <v>693</v>
      </c>
      <c r="E35" s="321"/>
      <c r="F35" s="306">
        <f>IF(B32&lt;&gt;0,G35/B35,0)</f>
        <v>0</v>
      </c>
      <c r="G35" s="305">
        <f>IF($A$8='4. LISTAS'!$C$35,IF(V35="sim",AD35/(1-AG35),AD35/(1-AG35-(H35*(1+J35)))),IF($A$8='4. LISTAS'!$C$36,(AD35/(1-AG35-(H35*(1+J35)))),IF($A$8='4. LISTAS'!$C$37,(AB35/(1-AC35-AH35)),"Erro")))</f>
        <v>0</v>
      </c>
      <c r="H35" s="320">
        <f>IF(AND($A$8='4. LISTAS'!$C$35,'Fornec. TAGNA'!U35="Sim"),0,IF(OR($A$8='4. LISTAS'!$C$35, $A$8='4. LISTAS'!$C$36),(VLOOKUP('1.DASHBOARD'!$B$8,'4. LISTAS'!$F$2:$G$11,2,FALSE)),0))</f>
        <v>0.18</v>
      </c>
      <c r="I35" s="305">
        <f t="shared" si="0"/>
        <v>0</v>
      </c>
      <c r="J35" s="319">
        <f>VLOOKUP($A$8,'4. LISTAS'!$C$35:$F$37,4,0)</f>
        <v>0.1125</v>
      </c>
      <c r="K35" s="305">
        <f t="shared" si="1"/>
        <v>0</v>
      </c>
      <c r="L35" s="305">
        <f t="shared" si="2"/>
        <v>0</v>
      </c>
      <c r="M35" s="323"/>
      <c r="N35" s="296"/>
      <c r="O35" s="306"/>
      <c r="P35" s="306">
        <v>300</v>
      </c>
      <c r="Q35" s="320">
        <v>0</v>
      </c>
      <c r="R35" s="320">
        <v>0</v>
      </c>
      <c r="S35" s="320">
        <v>0</v>
      </c>
      <c r="T35" s="305"/>
      <c r="U35" s="316" t="str">
        <f t="shared" si="4"/>
        <v>Não</v>
      </c>
      <c r="V35" s="316" t="s">
        <v>454</v>
      </c>
      <c r="W35" s="369"/>
      <c r="X35" s="312">
        <f t="shared" si="5"/>
        <v>0</v>
      </c>
      <c r="Y35" s="312">
        <f t="shared" si="6"/>
        <v>0</v>
      </c>
      <c r="Z35" s="312">
        <f t="shared" si="7"/>
        <v>0</v>
      </c>
      <c r="AA35" s="294">
        <f>IF($A$8='4. LISTAS'!$C$35,(P35*B35+T35+Y35+Z35),IF($A$8='4. LISTAS'!$C$36,P35*B35+Y35,IF($A$8='4. LISTAS'!$C$37,P35*B35,"Erro")))</f>
        <v>0</v>
      </c>
      <c r="AB35" s="294">
        <f>IF($A$8='4. LISTAS'!$C$35,IF(V35="sim",AA35,AA35-X35),IF($A$8='4. LISTAS'!$C$36,IF(V35="Sim",AA35-X35,AA35-X35-Y35),IF($A$8='4. LISTAS'!$C$37,AA35,"erro")))</f>
        <v>0</v>
      </c>
      <c r="AC35" s="313"/>
      <c r="AD35" s="294">
        <f t="shared" si="8"/>
        <v>0</v>
      </c>
      <c r="AE35" s="312">
        <f t="shared" si="9"/>
        <v>0</v>
      </c>
      <c r="AF35" s="312">
        <f t="shared" si="10"/>
        <v>0</v>
      </c>
      <c r="AG35" s="311">
        <f>'4. LISTAS'!$M$6</f>
        <v>5.9299999999999999E-2</v>
      </c>
      <c r="AH35" s="310">
        <f>'4. LISTAS'!$M$5</f>
        <v>0.17</v>
      </c>
    </row>
    <row r="36" spans="1:38" x14ac:dyDescent="0.2">
      <c r="A36" s="288" t="s">
        <v>453</v>
      </c>
      <c r="B36" s="288"/>
      <c r="C36" s="286"/>
      <c r="D36" s="287"/>
      <c r="E36" s="286"/>
      <c r="F36" s="285"/>
      <c r="G36" s="282">
        <f>SUM(G12:G35)</f>
        <v>1861.4628567628085</v>
      </c>
      <c r="H36" s="284" t="s">
        <v>319</v>
      </c>
      <c r="I36" s="282">
        <f>SUBTOTAL(9,I12:I35)</f>
        <v>372.75793706675239</v>
      </c>
      <c r="J36" s="283" t="s">
        <v>319</v>
      </c>
      <c r="K36" s="282">
        <f>SUM(K12:K35)</f>
        <v>209.41457138581598</v>
      </c>
      <c r="L36" s="282">
        <f>SUM(L12:L35)</f>
        <v>2070.8774281486244</v>
      </c>
      <c r="M36" s="281"/>
      <c r="N36" s="327"/>
      <c r="O36" s="280"/>
      <c r="P36" s="280"/>
      <c r="Q36" s="277"/>
      <c r="R36" s="277"/>
      <c r="S36" s="277"/>
      <c r="T36" s="278"/>
      <c r="U36" s="277"/>
      <c r="V36" s="277"/>
      <c r="W36" s="279"/>
      <c r="X36" s="278"/>
      <c r="Y36" s="278"/>
      <c r="Z36" s="278"/>
      <c r="AA36" s="278"/>
      <c r="AB36" s="278"/>
      <c r="AC36" s="277"/>
      <c r="AD36" s="277"/>
      <c r="AE36" s="277"/>
      <c r="AF36" s="277"/>
      <c r="AG36" s="277"/>
      <c r="AH36" s="277"/>
    </row>
    <row r="37" spans="1:38" x14ac:dyDescent="0.2">
      <c r="B37" s="368"/>
      <c r="E37" s="367"/>
      <c r="G37" s="271"/>
      <c r="N37" s="327"/>
      <c r="W37" s="327"/>
    </row>
    <row r="38" spans="1:38" x14ac:dyDescent="0.2">
      <c r="B38" s="350"/>
      <c r="D38" s="348" t="s">
        <v>508</v>
      </c>
      <c r="E38" s="348"/>
      <c r="F38" s="347"/>
      <c r="G38" s="347"/>
      <c r="H38" s="347"/>
      <c r="I38" s="347"/>
      <c r="J38" s="347"/>
      <c r="K38" s="347"/>
      <c r="L38" s="347"/>
      <c r="M38" s="346"/>
      <c r="N38" s="327"/>
      <c r="O38" s="364"/>
      <c r="P38" s="364" t="s">
        <v>511</v>
      </c>
      <c r="Q38" s="364"/>
      <c r="R38" s="364"/>
      <c r="S38" s="364"/>
      <c r="T38" s="343"/>
      <c r="U38" s="364"/>
      <c r="V38" s="364"/>
      <c r="W38" s="327"/>
      <c r="X38" s="343" t="s">
        <v>510</v>
      </c>
      <c r="Y38" s="343"/>
      <c r="Z38" s="343"/>
      <c r="AA38" s="343"/>
      <c r="AB38" s="343"/>
      <c r="AC38" s="343"/>
      <c r="AD38" s="343"/>
      <c r="AE38" s="343"/>
      <c r="AF38" s="343"/>
      <c r="AG38" s="343"/>
      <c r="AH38" s="343"/>
    </row>
    <row r="39" spans="1:38" x14ac:dyDescent="0.2">
      <c r="A39" s="704" t="s">
        <v>743</v>
      </c>
      <c r="B39" s="704"/>
      <c r="C39" s="704"/>
      <c r="D39" s="366" t="s">
        <v>508</v>
      </c>
      <c r="E39" s="366"/>
      <c r="F39" s="343"/>
      <c r="G39" s="343"/>
      <c r="H39" s="343"/>
      <c r="I39" s="343"/>
      <c r="J39" s="343"/>
      <c r="K39" s="343"/>
      <c r="L39" s="343"/>
      <c r="M39" s="365"/>
      <c r="N39" s="327"/>
      <c r="O39" s="364"/>
      <c r="P39" s="364"/>
      <c r="Q39" s="364"/>
      <c r="R39" s="364"/>
      <c r="S39" s="364"/>
      <c r="T39" s="343"/>
      <c r="U39" s="364"/>
      <c r="V39" s="364"/>
      <c r="W39" s="327"/>
      <c r="X39" s="343"/>
      <c r="Y39" s="343"/>
      <c r="Z39" s="343"/>
      <c r="AA39" s="343"/>
      <c r="AB39" s="343"/>
      <c r="AC39" s="343"/>
      <c r="AD39" s="343"/>
      <c r="AE39" s="343"/>
      <c r="AF39" s="343"/>
      <c r="AG39" s="343"/>
      <c r="AH39" s="343"/>
      <c r="AI39" s="327"/>
      <c r="AJ39" s="343" t="s">
        <v>507</v>
      </c>
      <c r="AK39" s="343" t="s">
        <v>506</v>
      </c>
      <c r="AL39" s="343" t="s">
        <v>505</v>
      </c>
    </row>
    <row r="40" spans="1:38" ht="15" customHeight="1" x14ac:dyDescent="0.2">
      <c r="A40" s="699" t="s">
        <v>321</v>
      </c>
      <c r="B40" s="699" t="s">
        <v>504</v>
      </c>
      <c r="C40" s="700" t="s">
        <v>320</v>
      </c>
      <c r="D40" s="700" t="s">
        <v>503</v>
      </c>
      <c r="E40" s="700" t="s">
        <v>502</v>
      </c>
      <c r="F40" s="701" t="s">
        <v>501</v>
      </c>
      <c r="G40" s="701" t="s">
        <v>500</v>
      </c>
      <c r="H40" s="701" t="s">
        <v>499</v>
      </c>
      <c r="I40" s="701"/>
      <c r="J40" s="701" t="s">
        <v>490</v>
      </c>
      <c r="K40" s="701"/>
      <c r="L40" s="701" t="s">
        <v>498</v>
      </c>
      <c r="M40" s="705" t="s">
        <v>497</v>
      </c>
      <c r="N40" s="327"/>
      <c r="O40" s="693" t="s">
        <v>496</v>
      </c>
      <c r="P40" s="693" t="s">
        <v>495</v>
      </c>
      <c r="Q40" s="339" t="s">
        <v>491</v>
      </c>
      <c r="R40" s="339" t="s">
        <v>490</v>
      </c>
      <c r="S40" s="339" t="s">
        <v>489</v>
      </c>
      <c r="T40" s="693" t="s">
        <v>494</v>
      </c>
      <c r="U40" s="693" t="s">
        <v>493</v>
      </c>
      <c r="V40" s="693" t="s">
        <v>492</v>
      </c>
      <c r="W40" s="327"/>
      <c r="X40" s="339" t="s">
        <v>491</v>
      </c>
      <c r="Y40" s="339" t="s">
        <v>490</v>
      </c>
      <c r="Z40" s="339" t="s">
        <v>489</v>
      </c>
      <c r="AA40" s="693" t="s">
        <v>488</v>
      </c>
      <c r="AB40" s="693" t="s">
        <v>487</v>
      </c>
      <c r="AC40" s="693" t="s">
        <v>486</v>
      </c>
      <c r="AD40" s="693" t="s">
        <v>485</v>
      </c>
      <c r="AE40" s="693" t="s">
        <v>484</v>
      </c>
      <c r="AF40" s="693" t="s">
        <v>483</v>
      </c>
      <c r="AG40" s="693" t="s">
        <v>482</v>
      </c>
      <c r="AH40" s="693" t="s">
        <v>481</v>
      </c>
      <c r="AI40" s="327"/>
      <c r="AJ40" s="693"/>
      <c r="AK40" s="693"/>
      <c r="AL40" s="693"/>
    </row>
    <row r="41" spans="1:38" ht="18" customHeight="1" x14ac:dyDescent="0.2">
      <c r="A41" s="699"/>
      <c r="B41" s="699"/>
      <c r="C41" s="700"/>
      <c r="D41" s="700"/>
      <c r="E41" s="700"/>
      <c r="F41" s="701"/>
      <c r="G41" s="701"/>
      <c r="H41" s="339" t="s">
        <v>480</v>
      </c>
      <c r="I41" s="339" t="s">
        <v>479</v>
      </c>
      <c r="J41" s="339" t="s">
        <v>480</v>
      </c>
      <c r="K41" s="339" t="s">
        <v>479</v>
      </c>
      <c r="L41" s="701"/>
      <c r="M41" s="705"/>
      <c r="N41" s="327"/>
      <c r="O41" s="693"/>
      <c r="P41" s="693"/>
      <c r="Q41" s="339" t="s">
        <v>480</v>
      </c>
      <c r="R41" s="339" t="s">
        <v>480</v>
      </c>
      <c r="S41" s="339" t="s">
        <v>480</v>
      </c>
      <c r="T41" s="693"/>
      <c r="U41" s="693"/>
      <c r="V41" s="693"/>
      <c r="W41" s="327"/>
      <c r="X41" s="339" t="s">
        <v>479</v>
      </c>
      <c r="Y41" s="339" t="s">
        <v>479</v>
      </c>
      <c r="Z41" s="339" t="s">
        <v>479</v>
      </c>
      <c r="AA41" s="693"/>
      <c r="AB41" s="693"/>
      <c r="AC41" s="693"/>
      <c r="AD41" s="693"/>
      <c r="AE41" s="693"/>
      <c r="AF41" s="693"/>
      <c r="AG41" s="693"/>
      <c r="AH41" s="693"/>
      <c r="AI41" s="327"/>
      <c r="AJ41" s="693"/>
      <c r="AK41" s="693"/>
      <c r="AL41" s="693"/>
    </row>
    <row r="42" spans="1:38" ht="18" customHeight="1" x14ac:dyDescent="0.2">
      <c r="A42" s="338">
        <v>2</v>
      </c>
      <c r="B42" s="338">
        <v>1</v>
      </c>
      <c r="C42" s="324" t="s">
        <v>395</v>
      </c>
      <c r="D42" s="324" t="s">
        <v>862</v>
      </c>
      <c r="E42" s="324"/>
      <c r="F42" s="337">
        <f>G67</f>
        <v>0</v>
      </c>
      <c r="G42" s="337">
        <f>F42*B42</f>
        <v>0</v>
      </c>
      <c r="H42" s="336">
        <f>IF(OR($A$39='4. LISTAS'!$C$35, $A$39='4. LISTAS'!$C$36),(VLOOKUP('1.DASHBOARD'!$B$8,'4. LISTAS'!$F$2:$G$11,2,FALSE)),0)</f>
        <v>0</v>
      </c>
      <c r="I42" s="334">
        <f t="shared" ref="I42:I66" si="12">H42*(G42+K42)</f>
        <v>0</v>
      </c>
      <c r="J42" s="335">
        <f>VLOOKUP($A$39,'4. LISTAS'!$C$35:$F$37,4,0)</f>
        <v>0</v>
      </c>
      <c r="K42" s="334">
        <f t="shared" ref="K42:K66" si="13">J42*G42</f>
        <v>0</v>
      </c>
      <c r="L42" s="334">
        <f t="shared" ref="L42:L66" si="14">G42+K42</f>
        <v>0</v>
      </c>
      <c r="M42" s="363"/>
      <c r="N42" s="327"/>
      <c r="O42" s="326"/>
      <c r="P42" s="326"/>
      <c r="Q42" s="331"/>
      <c r="R42" s="331"/>
      <c r="S42" s="331"/>
      <c r="T42" s="326"/>
      <c r="U42" s="326"/>
      <c r="V42" s="326"/>
      <c r="W42" s="327"/>
      <c r="X42" s="326">
        <f>SUM(X43:X66)</f>
        <v>0</v>
      </c>
      <c r="Y42" s="326">
        <f>SUM(Y43:Y66)</f>
        <v>0</v>
      </c>
      <c r="Z42" s="326">
        <f>SUM(Z43:Z66)</f>
        <v>0</v>
      </c>
      <c r="AA42" s="326">
        <f>SUM(AA43:AA66)</f>
        <v>0</v>
      </c>
      <c r="AB42" s="326">
        <f>SUM(AB43:AB66)</f>
        <v>0</v>
      </c>
      <c r="AC42" s="326"/>
      <c r="AD42" s="326"/>
      <c r="AE42" s="326"/>
      <c r="AF42" s="326"/>
      <c r="AG42" s="329">
        <f>AG43</f>
        <v>5.9299999999999999E-2</v>
      </c>
      <c r="AH42" s="326"/>
      <c r="AI42" s="327"/>
      <c r="AJ42" s="326"/>
      <c r="AK42" s="326"/>
      <c r="AL42" s="326"/>
    </row>
    <row r="43" spans="1:38" x14ac:dyDescent="0.2">
      <c r="A43" s="323" t="s">
        <v>280</v>
      </c>
      <c r="B43" s="323">
        <v>1</v>
      </c>
      <c r="C43" s="321"/>
      <c r="D43" s="321"/>
      <c r="E43" s="321"/>
      <c r="F43" s="306">
        <f t="shared" ref="F43:F62" si="15">G43/B43</f>
        <v>0</v>
      </c>
      <c r="G43" s="305">
        <f>IF($A$39='4. LISTAS'!$C$35,IF(V43="sim",AD43/(1-AG43),AD43/(1-AG43-(H43*(1+J43)))),IF($A$39='4. LISTAS'!$C$36,(AD43/(1-AG43-(H43*(1+J43)))),IF($A$39='4. LISTAS'!$C$37,(AB43/(1-AC43-AH43)),"Erro")))</f>
        <v>0</v>
      </c>
      <c r="H43" s="320">
        <f>IF(AND($A$39='4. LISTAS'!$C$35,'Fornec. TAGNA'!U43="Sim"),0,IF(OR($A$39='4. LISTAS'!$C$35, $A$39='4. LISTAS'!$C$36),(VLOOKUP('1.DASHBOARD'!$B$8,'4. LISTAS'!$F$2:$G$11,2,FALSE)),0))</f>
        <v>0</v>
      </c>
      <c r="I43" s="305">
        <f t="shared" si="12"/>
        <v>0</v>
      </c>
      <c r="J43" s="319">
        <f>VLOOKUP($A$39,'4. LISTAS'!$C$35:$F$37,4,0)</f>
        <v>0</v>
      </c>
      <c r="K43" s="305">
        <f t="shared" si="13"/>
        <v>0</v>
      </c>
      <c r="L43" s="305">
        <f t="shared" si="14"/>
        <v>0</v>
      </c>
      <c r="M43" s="323"/>
      <c r="N43" s="296"/>
      <c r="O43" s="306"/>
      <c r="P43" s="306"/>
      <c r="Q43" s="320">
        <v>0.04</v>
      </c>
      <c r="R43" s="320">
        <v>0.15</v>
      </c>
      <c r="S43" s="320">
        <v>0</v>
      </c>
      <c r="T43" s="305"/>
      <c r="U43" s="316" t="str">
        <f t="shared" ref="U43:U66" si="16">IF(T43="","Não","Sim")</f>
        <v>Não</v>
      </c>
      <c r="V43" s="316" t="s">
        <v>454</v>
      </c>
      <c r="W43" s="296"/>
      <c r="X43" s="312">
        <f t="shared" ref="X43:X67" si="17">B43*P43*Q43</f>
        <v>0</v>
      </c>
      <c r="Y43" s="312">
        <f t="shared" ref="Y43:Y67" si="18">B43*P43*R43</f>
        <v>0</v>
      </c>
      <c r="Z43" s="312">
        <f t="shared" ref="Z43:Z67" si="19">B43*P43*S43</f>
        <v>0</v>
      </c>
      <c r="AA43" s="294">
        <f>IF($A$39='4. LISTAS'!$C$35,(P43*B43+T43+Y43+Z43),IF($A$39='4. LISTAS'!$C$36,P43*B43+Y43,IF($A$39='4. LISTAS'!$C$37,P43*B43,"Erro")))</f>
        <v>0</v>
      </c>
      <c r="AB43" s="294">
        <f>IF($A$39='4. LISTAS'!$C$35,IF(V43="sim",AA43,AA43-X43),IF($A$39='4. LISTAS'!$C$36,IF(V43="Sim",AA43-X43,AA43-X43-Y43),IF($A$39='4. LISTAS'!$C$37,AA43,"erro")))</f>
        <v>0</v>
      </c>
      <c r="AC43" s="325">
        <f>'1.DASHBOARD'!$B$14+'1.DASHBOARD'!$B$16</f>
        <v>0.30349999999999999</v>
      </c>
      <c r="AD43" s="294">
        <f t="shared" ref="AD43:AD66" si="20">AB43/(1-AC43)</f>
        <v>0</v>
      </c>
      <c r="AE43" s="312">
        <f t="shared" ref="AE43:AE66" si="21">X43</f>
        <v>0</v>
      </c>
      <c r="AF43" s="312">
        <f t="shared" ref="AF43:AF66" si="22">Y43</f>
        <v>0</v>
      </c>
      <c r="AG43" s="311">
        <f>'4. LISTAS'!$M$6</f>
        <v>5.9299999999999999E-2</v>
      </c>
      <c r="AH43" s="310">
        <f>'4. LISTAS'!$M$5</f>
        <v>0.17</v>
      </c>
      <c r="AI43" s="296"/>
      <c r="AJ43" s="324"/>
      <c r="AK43" s="324"/>
      <c r="AL43" s="324"/>
    </row>
    <row r="44" spans="1:38" x14ac:dyDescent="0.2">
      <c r="A44" s="323" t="s">
        <v>281</v>
      </c>
      <c r="B44" s="323">
        <v>1</v>
      </c>
      <c r="C44" s="321"/>
      <c r="D44" s="321"/>
      <c r="E44" s="321"/>
      <c r="F44" s="306">
        <f t="shared" si="15"/>
        <v>0</v>
      </c>
      <c r="G44" s="305">
        <f>IF($A$39='4. LISTAS'!$C$35,IF(V44="sim",AD44/(1-AG44),AD44/(1-AG44-(H44*(1+J44)))),IF($A$39='4. LISTAS'!$C$36,(AD44/(1-AG44-(H44*(1+J44)))),IF($A$39='4. LISTAS'!$C$37,(AB44/(1-AC44-AH44)),"Erro")))</f>
        <v>0</v>
      </c>
      <c r="H44" s="320">
        <f>IF(AND($A$39='4. LISTAS'!$C$35,'Fornec. TAGNA'!U44="Sim"),0,IF(OR($A$39='4. LISTAS'!$C$35, $A$39='4. LISTAS'!$C$36),(VLOOKUP('1.DASHBOARD'!$B$8,'4. LISTAS'!$F$2:$G$11,2,FALSE)),0))</f>
        <v>0</v>
      </c>
      <c r="I44" s="305">
        <f t="shared" si="12"/>
        <v>0</v>
      </c>
      <c r="J44" s="319">
        <f>VLOOKUP($A$39,'4. LISTAS'!$C$35:$F$37,4,0)</f>
        <v>0</v>
      </c>
      <c r="K44" s="305">
        <f t="shared" si="13"/>
        <v>0</v>
      </c>
      <c r="L44" s="305">
        <f t="shared" si="14"/>
        <v>0</v>
      </c>
      <c r="M44" s="323"/>
      <c r="N44" s="296"/>
      <c r="O44" s="306"/>
      <c r="P44" s="306"/>
      <c r="Q44" s="320">
        <v>0.04</v>
      </c>
      <c r="R44" s="320">
        <v>0.15</v>
      </c>
      <c r="S44" s="320">
        <v>0</v>
      </c>
      <c r="T44" s="305"/>
      <c r="U44" s="316" t="str">
        <f t="shared" si="16"/>
        <v>Não</v>
      </c>
      <c r="V44" s="316" t="s">
        <v>454</v>
      </c>
      <c r="W44" s="296"/>
      <c r="X44" s="312">
        <f t="shared" si="17"/>
        <v>0</v>
      </c>
      <c r="Y44" s="312">
        <f t="shared" si="18"/>
        <v>0</v>
      </c>
      <c r="Z44" s="312">
        <f t="shared" si="19"/>
        <v>0</v>
      </c>
      <c r="AA44" s="294">
        <f>IF($A$39='4. LISTAS'!$C$35,(P44*B44+T44+Y44+Z44),IF($A$39='4. LISTAS'!$C$36,P44*B44+Y44,IF($A$39='4. LISTAS'!$C$37,P44*B44,"Erro")))</f>
        <v>0</v>
      </c>
      <c r="AB44" s="294">
        <f>IF($A$39='4. LISTAS'!$C$35,IF(V44="sim",AA44,AA44-X44),IF($A$39='4. LISTAS'!$C$36,IF(V44="Sim",AA44-X44,AA44-X44-Y44),IF($A$39='4. LISTAS'!$C$37,AA44,"erro")))</f>
        <v>0</v>
      </c>
      <c r="AC44" s="313">
        <f t="shared" ref="AC44:AC62" si="23">AC43</f>
        <v>0.30349999999999999</v>
      </c>
      <c r="AD44" s="294">
        <f t="shared" si="20"/>
        <v>0</v>
      </c>
      <c r="AE44" s="312">
        <f t="shared" si="21"/>
        <v>0</v>
      </c>
      <c r="AF44" s="312">
        <f t="shared" si="22"/>
        <v>0</v>
      </c>
      <c r="AG44" s="311">
        <f>'4. LISTAS'!$M$6</f>
        <v>5.9299999999999999E-2</v>
      </c>
      <c r="AH44" s="310">
        <f>'4. LISTAS'!$M$5</f>
        <v>0.17</v>
      </c>
      <c r="AI44" s="296"/>
      <c r="AJ44" s="321"/>
      <c r="AK44" s="321"/>
      <c r="AL44" s="321"/>
    </row>
    <row r="45" spans="1:38" x14ac:dyDescent="0.2">
      <c r="A45" s="323" t="s">
        <v>282</v>
      </c>
      <c r="B45" s="323">
        <v>1</v>
      </c>
      <c r="C45" s="321"/>
      <c r="D45" s="321"/>
      <c r="E45" s="321"/>
      <c r="F45" s="306">
        <f t="shared" si="15"/>
        <v>0</v>
      </c>
      <c r="G45" s="305">
        <f>IF($A$39='4. LISTAS'!$C$35,IF(V45="sim",AD45/(1-AG45),AD45/(1-AG45-(H45*(1+J45)))),IF($A$39='4. LISTAS'!$C$36,(AD45/(1-AG45-(H45*(1+J45)))),IF($A$39='4. LISTAS'!$C$37,(AB45/(1-AC45-AH45)),"Erro")))</f>
        <v>0</v>
      </c>
      <c r="H45" s="320">
        <f>IF(AND($A$39='4. LISTAS'!$C$35,'Fornec. TAGNA'!U45="Sim"),0,IF(OR($A$39='4. LISTAS'!$C$35, $A$39='4. LISTAS'!$C$36),(VLOOKUP('1.DASHBOARD'!$B$8,'4. LISTAS'!$F$2:$G$11,2,FALSE)),0))</f>
        <v>0</v>
      </c>
      <c r="I45" s="305">
        <f t="shared" si="12"/>
        <v>0</v>
      </c>
      <c r="J45" s="319">
        <f>VLOOKUP($A$39,'4. LISTAS'!$C$35:$F$37,4,0)</f>
        <v>0</v>
      </c>
      <c r="K45" s="305">
        <f t="shared" si="13"/>
        <v>0</v>
      </c>
      <c r="L45" s="305">
        <f t="shared" si="14"/>
        <v>0</v>
      </c>
      <c r="M45" s="323"/>
      <c r="N45" s="296"/>
      <c r="O45" s="306"/>
      <c r="P45" s="306"/>
      <c r="Q45" s="320">
        <v>0.04</v>
      </c>
      <c r="R45" s="320">
        <v>0.15</v>
      </c>
      <c r="S45" s="320">
        <v>0</v>
      </c>
      <c r="T45" s="305"/>
      <c r="U45" s="316" t="str">
        <f t="shared" si="16"/>
        <v>Não</v>
      </c>
      <c r="V45" s="316" t="s">
        <v>454</v>
      </c>
      <c r="W45" s="296"/>
      <c r="X45" s="312">
        <f t="shared" si="17"/>
        <v>0</v>
      </c>
      <c r="Y45" s="312">
        <f t="shared" si="18"/>
        <v>0</v>
      </c>
      <c r="Z45" s="312">
        <f t="shared" si="19"/>
        <v>0</v>
      </c>
      <c r="AA45" s="294">
        <f>IF($A$39='4. LISTAS'!$C$35,(P45*B45+T45+Y45+Z45),IF($A$39='4. LISTAS'!$C$36,P45*B45+Y45,IF($A$39='4. LISTAS'!$C$37,P45*B45,"Erro")))</f>
        <v>0</v>
      </c>
      <c r="AB45" s="294">
        <f>IF($A$39='4. LISTAS'!$C$35,IF(V45="sim",AA45,AA45-X45),IF($A$39='4. LISTAS'!$C$36,IF(V45="Sim",AA45-X45,AA45-X45-Y45),IF($A$39='4. LISTAS'!$C$37,AA45,"erro")))</f>
        <v>0</v>
      </c>
      <c r="AC45" s="313">
        <f t="shared" si="23"/>
        <v>0.30349999999999999</v>
      </c>
      <c r="AD45" s="294">
        <f t="shared" si="20"/>
        <v>0</v>
      </c>
      <c r="AE45" s="312">
        <f t="shared" si="21"/>
        <v>0</v>
      </c>
      <c r="AF45" s="312">
        <f t="shared" si="22"/>
        <v>0</v>
      </c>
      <c r="AG45" s="311">
        <f>'4. LISTAS'!$M$6</f>
        <v>5.9299999999999999E-2</v>
      </c>
      <c r="AH45" s="310">
        <f>'4. LISTAS'!$M$5</f>
        <v>0.17</v>
      </c>
      <c r="AI45" s="296"/>
      <c r="AJ45" s="321"/>
      <c r="AK45" s="321"/>
      <c r="AL45" s="321"/>
    </row>
    <row r="46" spans="1:38" x14ac:dyDescent="0.2">
      <c r="A46" s="323" t="s">
        <v>283</v>
      </c>
      <c r="B46" s="323">
        <v>1</v>
      </c>
      <c r="C46" s="321"/>
      <c r="D46" s="321"/>
      <c r="E46" s="321"/>
      <c r="F46" s="306">
        <f t="shared" si="15"/>
        <v>0</v>
      </c>
      <c r="G46" s="305">
        <f>IF($A$39='4. LISTAS'!$C$35,IF(V46="sim",AD46/(1-AG46),AD46/(1-AG46-(H46*(1+J46)))),IF($A$39='4. LISTAS'!$C$36,(AD46/(1-AG46-(H46*(1+J46)))),IF($A$39='4. LISTAS'!$C$37,(AB46/(1-AC46-AH46)),"Erro")))</f>
        <v>0</v>
      </c>
      <c r="H46" s="320">
        <f>IF(AND($A$39='4. LISTAS'!$C$35,'Fornec. TAGNA'!U46="Sim"),0,IF(OR($A$39='4. LISTAS'!$C$35, $A$39='4. LISTAS'!$C$36),(VLOOKUP('1.DASHBOARD'!$B$8,'4. LISTAS'!$F$2:$G$11,2,FALSE)),0))</f>
        <v>0</v>
      </c>
      <c r="I46" s="305">
        <f t="shared" si="12"/>
        <v>0</v>
      </c>
      <c r="J46" s="319">
        <f>VLOOKUP($A$39,'4. LISTAS'!$C$35:$F$37,4,0)</f>
        <v>0</v>
      </c>
      <c r="K46" s="305">
        <f t="shared" si="13"/>
        <v>0</v>
      </c>
      <c r="L46" s="305">
        <f t="shared" si="14"/>
        <v>0</v>
      </c>
      <c r="M46" s="323"/>
      <c r="N46" s="296"/>
      <c r="O46" s="306"/>
      <c r="P46" s="306"/>
      <c r="Q46" s="320">
        <v>0.04</v>
      </c>
      <c r="R46" s="320">
        <v>0.15</v>
      </c>
      <c r="S46" s="320">
        <v>0</v>
      </c>
      <c r="T46" s="305"/>
      <c r="U46" s="316" t="str">
        <f t="shared" si="16"/>
        <v>Não</v>
      </c>
      <c r="V46" s="316" t="s">
        <v>454</v>
      </c>
      <c r="W46" s="296"/>
      <c r="X46" s="312">
        <f t="shared" si="17"/>
        <v>0</v>
      </c>
      <c r="Y46" s="312">
        <f t="shared" si="18"/>
        <v>0</v>
      </c>
      <c r="Z46" s="312">
        <f t="shared" si="19"/>
        <v>0</v>
      </c>
      <c r="AA46" s="294">
        <f>IF($A$39='4. LISTAS'!$C$35,(P46*B46+T46+Y46+Z46),IF($A$39='4. LISTAS'!$C$36,P46*B46+Y46,IF($A$39='4. LISTAS'!$C$37,P46*B46,"Erro")))</f>
        <v>0</v>
      </c>
      <c r="AB46" s="294">
        <f>IF($A$39='4. LISTAS'!$C$35,IF(V46="sim",AA46,AA46-X46),IF($A$39='4. LISTAS'!$C$36,IF(V46="Sim",AA46-X46,AA46-X46-Y46),IF($A$39='4. LISTAS'!$C$37,AA46,"erro")))</f>
        <v>0</v>
      </c>
      <c r="AC46" s="313">
        <f t="shared" si="23"/>
        <v>0.30349999999999999</v>
      </c>
      <c r="AD46" s="294">
        <f t="shared" si="20"/>
        <v>0</v>
      </c>
      <c r="AE46" s="312">
        <f t="shared" si="21"/>
        <v>0</v>
      </c>
      <c r="AF46" s="312">
        <f t="shared" si="22"/>
        <v>0</v>
      </c>
      <c r="AG46" s="311">
        <f>'4. LISTAS'!$M$6</f>
        <v>5.9299999999999999E-2</v>
      </c>
      <c r="AH46" s="310">
        <f>'4. LISTAS'!$M$5</f>
        <v>0.17</v>
      </c>
      <c r="AI46" s="296"/>
      <c r="AJ46" s="321"/>
      <c r="AK46" s="321"/>
      <c r="AL46" s="321"/>
    </row>
    <row r="47" spans="1:38" x14ac:dyDescent="0.2">
      <c r="A47" s="323" t="s">
        <v>285</v>
      </c>
      <c r="B47" s="323">
        <v>1</v>
      </c>
      <c r="C47" s="321"/>
      <c r="D47" s="321"/>
      <c r="E47" s="321"/>
      <c r="F47" s="306">
        <f t="shared" si="15"/>
        <v>0</v>
      </c>
      <c r="G47" s="305">
        <f>IF($A$39='4. LISTAS'!$C$35,IF(V47="sim",AD47/(1-AG47),AD47/(1-AG47-(H47*(1+J47)))),IF($A$39='4. LISTAS'!$C$36,(AD47/(1-AG47-(H47*(1+J47)))),IF($A$39='4. LISTAS'!$C$37,(AB47/(1-AC47-AH47)),"Erro")))</f>
        <v>0</v>
      </c>
      <c r="H47" s="320">
        <f>IF(AND($A$39='4. LISTAS'!$C$35,'Fornec. TAGNA'!U47="Sim"),0,IF(OR($A$39='4. LISTAS'!$C$35, $A$39='4. LISTAS'!$C$36),(VLOOKUP('1.DASHBOARD'!$B$8,'4. LISTAS'!$F$2:$G$11,2,FALSE)),0))</f>
        <v>0</v>
      </c>
      <c r="I47" s="305">
        <f t="shared" si="12"/>
        <v>0</v>
      </c>
      <c r="J47" s="319">
        <f>VLOOKUP($A$39,'4. LISTAS'!$C$35:$F$37,4,0)</f>
        <v>0</v>
      </c>
      <c r="K47" s="305">
        <f t="shared" si="13"/>
        <v>0</v>
      </c>
      <c r="L47" s="305">
        <f t="shared" si="14"/>
        <v>0</v>
      </c>
      <c r="M47" s="323"/>
      <c r="N47" s="296"/>
      <c r="O47" s="306"/>
      <c r="P47" s="306"/>
      <c r="Q47" s="320">
        <v>0.04</v>
      </c>
      <c r="R47" s="320">
        <v>0.15</v>
      </c>
      <c r="S47" s="320">
        <v>0</v>
      </c>
      <c r="T47" s="305"/>
      <c r="U47" s="316" t="str">
        <f t="shared" si="16"/>
        <v>Não</v>
      </c>
      <c r="V47" s="316" t="s">
        <v>454</v>
      </c>
      <c r="W47" s="296"/>
      <c r="X47" s="312">
        <f t="shared" si="17"/>
        <v>0</v>
      </c>
      <c r="Y47" s="312">
        <f t="shared" si="18"/>
        <v>0</v>
      </c>
      <c r="Z47" s="312">
        <f t="shared" si="19"/>
        <v>0</v>
      </c>
      <c r="AA47" s="294">
        <f>IF($A$39='4. LISTAS'!$C$35,(P47*B47+T47+Y47+Z47),IF($A$39='4. LISTAS'!$C$36,P47*B47+Y47,IF($A$39='4. LISTAS'!$C$37,P47*B47,"Erro")))</f>
        <v>0</v>
      </c>
      <c r="AB47" s="294">
        <f>IF($A$39='4. LISTAS'!$C$35,IF(V47="sim",AA47,AA47-X47),IF($A$39='4. LISTAS'!$C$36,IF(V47="Sim",AA47-X47,AA47-X47-Y47),IF($A$39='4. LISTAS'!$C$37,AA47,"erro")))</f>
        <v>0</v>
      </c>
      <c r="AC47" s="313">
        <f t="shared" si="23"/>
        <v>0.30349999999999999</v>
      </c>
      <c r="AD47" s="294">
        <f t="shared" si="20"/>
        <v>0</v>
      </c>
      <c r="AE47" s="312">
        <f t="shared" si="21"/>
        <v>0</v>
      </c>
      <c r="AF47" s="312">
        <f t="shared" si="22"/>
        <v>0</v>
      </c>
      <c r="AG47" s="311">
        <f>'4. LISTAS'!$M$6</f>
        <v>5.9299999999999999E-2</v>
      </c>
      <c r="AH47" s="310">
        <f>'4. LISTAS'!$M$5</f>
        <v>0.17</v>
      </c>
      <c r="AI47" s="296"/>
      <c r="AJ47" s="321"/>
      <c r="AK47" s="321"/>
      <c r="AL47" s="321"/>
    </row>
    <row r="48" spans="1:38" x14ac:dyDescent="0.2">
      <c r="A48" s="323" t="s">
        <v>287</v>
      </c>
      <c r="B48" s="323">
        <v>1</v>
      </c>
      <c r="C48" s="321"/>
      <c r="D48" s="321"/>
      <c r="E48" s="321"/>
      <c r="F48" s="306">
        <f t="shared" si="15"/>
        <v>0</v>
      </c>
      <c r="G48" s="305">
        <f>IF($A$39='4. LISTAS'!$C$35,IF(V48="sim",AD48/(1-AG48),AD48/(1-AG48-(H48*(1+J48)))),IF($A$39='4. LISTAS'!$C$36,(AD48/(1-AG48-(H48*(1+J48)))),IF($A$39='4. LISTAS'!$C$37,(AB48/(1-AC48-AH48)),"Erro")))</f>
        <v>0</v>
      </c>
      <c r="H48" s="320">
        <f>IF(AND($A$39='4. LISTAS'!$C$35,'Fornec. TAGNA'!U48="Sim"),0,IF(OR($A$39='4. LISTAS'!$C$35, $A$39='4. LISTAS'!$C$36),(VLOOKUP('1.DASHBOARD'!$B$8,'4. LISTAS'!$F$2:$G$11,2,FALSE)),0))</f>
        <v>0</v>
      </c>
      <c r="I48" s="305">
        <f t="shared" si="12"/>
        <v>0</v>
      </c>
      <c r="J48" s="319">
        <f>VLOOKUP($A$39,'4. LISTAS'!$C$35:$F$37,4,0)</f>
        <v>0</v>
      </c>
      <c r="K48" s="305">
        <f t="shared" si="13"/>
        <v>0</v>
      </c>
      <c r="L48" s="305">
        <f t="shared" si="14"/>
        <v>0</v>
      </c>
      <c r="M48" s="323"/>
      <c r="N48" s="296"/>
      <c r="O48" s="306"/>
      <c r="P48" s="306"/>
      <c r="Q48" s="320">
        <v>0.04</v>
      </c>
      <c r="R48" s="320">
        <v>0.15</v>
      </c>
      <c r="S48" s="320">
        <v>0</v>
      </c>
      <c r="T48" s="305"/>
      <c r="U48" s="316" t="str">
        <f t="shared" si="16"/>
        <v>Não</v>
      </c>
      <c r="V48" s="316" t="s">
        <v>454</v>
      </c>
      <c r="W48" s="296"/>
      <c r="X48" s="312">
        <f t="shared" si="17"/>
        <v>0</v>
      </c>
      <c r="Y48" s="312">
        <f t="shared" si="18"/>
        <v>0</v>
      </c>
      <c r="Z48" s="312">
        <f t="shared" si="19"/>
        <v>0</v>
      </c>
      <c r="AA48" s="294">
        <f>IF($A$39='4. LISTAS'!$C$35,(P48*B48+T48+Y48+Z48),IF($A$39='4. LISTAS'!$C$36,P48*B48+Y48,IF($A$39='4. LISTAS'!$C$37,P48*B48,"Erro")))</f>
        <v>0</v>
      </c>
      <c r="AB48" s="294">
        <f>IF($A$39='4. LISTAS'!$C$35,IF(V48="sim",AA48,AA48-X48),IF($A$39='4. LISTAS'!$C$36,IF(V48="Sim",AA48-X48,AA48-X48-Y48),IF($A$39='4. LISTAS'!$C$37,AA48,"erro")))</f>
        <v>0</v>
      </c>
      <c r="AC48" s="313">
        <f t="shared" si="23"/>
        <v>0.30349999999999999</v>
      </c>
      <c r="AD48" s="294">
        <f t="shared" si="20"/>
        <v>0</v>
      </c>
      <c r="AE48" s="312">
        <f t="shared" si="21"/>
        <v>0</v>
      </c>
      <c r="AF48" s="312">
        <f t="shared" si="22"/>
        <v>0</v>
      </c>
      <c r="AG48" s="311">
        <f>'4. LISTAS'!$M$6</f>
        <v>5.9299999999999999E-2</v>
      </c>
      <c r="AH48" s="310">
        <f>'4. LISTAS'!$M$5</f>
        <v>0.17</v>
      </c>
      <c r="AI48" s="296"/>
      <c r="AJ48" s="321"/>
      <c r="AK48" s="321"/>
      <c r="AL48" s="321"/>
    </row>
    <row r="49" spans="1:38" x14ac:dyDescent="0.2">
      <c r="A49" s="323" t="s">
        <v>289</v>
      </c>
      <c r="B49" s="323">
        <v>1</v>
      </c>
      <c r="C49" s="321"/>
      <c r="D49" s="321"/>
      <c r="E49" s="321"/>
      <c r="F49" s="306">
        <f t="shared" si="15"/>
        <v>0</v>
      </c>
      <c r="G49" s="305">
        <f>IF($A$39='4. LISTAS'!$C$35,IF(V49="sim",AD49/(1-AG49),AD49/(1-AG49-(H49*(1+J49)))),IF($A$39='4. LISTAS'!$C$36,(AD49/(1-AG49-(H49*(1+J49)))),IF($A$39='4. LISTAS'!$C$37,(AB49/(1-AC49-AH49)),"Erro")))</f>
        <v>0</v>
      </c>
      <c r="H49" s="320">
        <f>IF(AND($A$39='4. LISTAS'!$C$35,'Fornec. TAGNA'!U49="Sim"),0,IF(OR($A$39='4. LISTAS'!$C$35, $A$39='4. LISTAS'!$C$36),(VLOOKUP('1.DASHBOARD'!$B$8,'4. LISTAS'!$F$2:$G$11,2,FALSE)),0))</f>
        <v>0</v>
      </c>
      <c r="I49" s="305">
        <f t="shared" si="12"/>
        <v>0</v>
      </c>
      <c r="J49" s="319">
        <f>VLOOKUP($A$39,'4. LISTAS'!$C$35:$F$37,4,0)</f>
        <v>0</v>
      </c>
      <c r="K49" s="305">
        <f t="shared" si="13"/>
        <v>0</v>
      </c>
      <c r="L49" s="305">
        <f t="shared" si="14"/>
        <v>0</v>
      </c>
      <c r="M49" s="323"/>
      <c r="N49" s="296"/>
      <c r="O49" s="306"/>
      <c r="P49" s="306"/>
      <c r="Q49" s="320">
        <v>0.04</v>
      </c>
      <c r="R49" s="320">
        <v>0.15</v>
      </c>
      <c r="S49" s="320">
        <v>0</v>
      </c>
      <c r="T49" s="305"/>
      <c r="U49" s="316" t="str">
        <f t="shared" si="16"/>
        <v>Não</v>
      </c>
      <c r="V49" s="316" t="s">
        <v>454</v>
      </c>
      <c r="W49" s="296"/>
      <c r="X49" s="312">
        <f t="shared" si="17"/>
        <v>0</v>
      </c>
      <c r="Y49" s="312">
        <f t="shared" si="18"/>
        <v>0</v>
      </c>
      <c r="Z49" s="312">
        <f t="shared" si="19"/>
        <v>0</v>
      </c>
      <c r="AA49" s="294">
        <f>IF($A$39='4. LISTAS'!$C$35,(P49*B49+T49+Y49+Z49),IF($A$39='4. LISTAS'!$C$36,P49*B49+Y49,IF($A$39='4. LISTAS'!$C$37,P49*B49,"Erro")))</f>
        <v>0</v>
      </c>
      <c r="AB49" s="294">
        <f>IF($A$39='4. LISTAS'!$C$35,IF(V49="sim",AA49,AA49-X49),IF($A$39='4. LISTAS'!$C$36,IF(V49="Sim",AA49-X49,AA49-X49-Y49),IF($A$39='4. LISTAS'!$C$37,AA49,"erro")))</f>
        <v>0</v>
      </c>
      <c r="AC49" s="313">
        <f t="shared" si="23"/>
        <v>0.30349999999999999</v>
      </c>
      <c r="AD49" s="294">
        <f t="shared" si="20"/>
        <v>0</v>
      </c>
      <c r="AE49" s="312">
        <f t="shared" si="21"/>
        <v>0</v>
      </c>
      <c r="AF49" s="312">
        <f t="shared" si="22"/>
        <v>0</v>
      </c>
      <c r="AG49" s="311">
        <f>'4. LISTAS'!$M$6</f>
        <v>5.9299999999999999E-2</v>
      </c>
      <c r="AH49" s="310">
        <f>'4. LISTAS'!$M$5</f>
        <v>0.17</v>
      </c>
      <c r="AI49" s="296"/>
      <c r="AJ49" s="321"/>
      <c r="AK49" s="321"/>
      <c r="AL49" s="321"/>
    </row>
    <row r="50" spans="1:38" x14ac:dyDescent="0.2">
      <c r="A50" s="323" t="s">
        <v>291</v>
      </c>
      <c r="B50" s="323">
        <v>1</v>
      </c>
      <c r="C50" s="321"/>
      <c r="D50" s="321"/>
      <c r="E50" s="321"/>
      <c r="F50" s="306">
        <f t="shared" si="15"/>
        <v>0</v>
      </c>
      <c r="G50" s="305">
        <f>IF($A$39='4. LISTAS'!$C$35,IF(V50="sim",AD50/(1-AG50),AD50/(1-AG50-(H50*(1+J50)))),IF($A$39='4. LISTAS'!$C$36,(AD50/(1-AG50-(H50*(1+J50)))),IF($A$39='4. LISTAS'!$C$37,(AB50/(1-AC50-AH50)),"Erro")))</f>
        <v>0</v>
      </c>
      <c r="H50" s="320">
        <f>IF(AND($A$39='4. LISTAS'!$C$35,'Fornec. TAGNA'!U50="Sim"),0,IF(OR($A$39='4. LISTAS'!$C$35, $A$39='4. LISTAS'!$C$36),(VLOOKUP('1.DASHBOARD'!$B$8,'4. LISTAS'!$F$2:$G$11,2,FALSE)),0))</f>
        <v>0</v>
      </c>
      <c r="I50" s="305">
        <f t="shared" si="12"/>
        <v>0</v>
      </c>
      <c r="J50" s="319">
        <f>VLOOKUP($A$39,'4. LISTAS'!$C$35:$F$37,4,0)</f>
        <v>0</v>
      </c>
      <c r="K50" s="305">
        <f t="shared" si="13"/>
        <v>0</v>
      </c>
      <c r="L50" s="305">
        <f t="shared" si="14"/>
        <v>0</v>
      </c>
      <c r="M50" s="323"/>
      <c r="N50" s="296"/>
      <c r="O50" s="306"/>
      <c r="P50" s="306"/>
      <c r="Q50" s="320">
        <v>0.04</v>
      </c>
      <c r="R50" s="320">
        <v>0.15</v>
      </c>
      <c r="S50" s="320">
        <v>0</v>
      </c>
      <c r="T50" s="305"/>
      <c r="U50" s="316" t="str">
        <f t="shared" si="16"/>
        <v>Não</v>
      </c>
      <c r="V50" s="316" t="s">
        <v>454</v>
      </c>
      <c r="W50" s="296"/>
      <c r="X50" s="312">
        <f t="shared" si="17"/>
        <v>0</v>
      </c>
      <c r="Y50" s="312">
        <f t="shared" si="18"/>
        <v>0</v>
      </c>
      <c r="Z50" s="312">
        <f t="shared" si="19"/>
        <v>0</v>
      </c>
      <c r="AA50" s="294">
        <f>IF($A$39='4. LISTAS'!$C$35,(P50*B50+T50+Y50+Z50),IF($A$39='4. LISTAS'!$C$36,P50*B50+Y50,IF($A$39='4. LISTAS'!$C$37,P50*B50,"Erro")))</f>
        <v>0</v>
      </c>
      <c r="AB50" s="294">
        <f>IF($A$39='4. LISTAS'!$C$35,IF(V50="sim",AA50,AA50-X50),IF($A$39='4. LISTAS'!$C$36,IF(V50="Sim",AA50-X50,AA50-X50-Y50),IF($A$39='4. LISTAS'!$C$37,AA50,"erro")))</f>
        <v>0</v>
      </c>
      <c r="AC50" s="313">
        <f t="shared" si="23"/>
        <v>0.30349999999999999</v>
      </c>
      <c r="AD50" s="294">
        <f t="shared" si="20"/>
        <v>0</v>
      </c>
      <c r="AE50" s="312">
        <f t="shared" si="21"/>
        <v>0</v>
      </c>
      <c r="AF50" s="312">
        <f t="shared" si="22"/>
        <v>0</v>
      </c>
      <c r="AG50" s="311">
        <f>'4. LISTAS'!$M$6</f>
        <v>5.9299999999999999E-2</v>
      </c>
      <c r="AH50" s="310">
        <f>'4. LISTAS'!$M$5</f>
        <v>0.17</v>
      </c>
      <c r="AI50" s="296"/>
      <c r="AJ50" s="321"/>
      <c r="AK50" s="321"/>
      <c r="AL50" s="321"/>
    </row>
    <row r="51" spans="1:38" x14ac:dyDescent="0.2">
      <c r="A51" s="323" t="s">
        <v>293</v>
      </c>
      <c r="B51" s="323">
        <v>1</v>
      </c>
      <c r="C51" s="321"/>
      <c r="D51" s="321"/>
      <c r="E51" s="321"/>
      <c r="F51" s="306">
        <f t="shared" si="15"/>
        <v>0</v>
      </c>
      <c r="G51" s="305">
        <f>IF($A$39='4. LISTAS'!$C$35,IF(V51="sim",AD51/(1-AG51),AD51/(1-AG51-(H51*(1+J51)))),IF($A$39='4. LISTAS'!$C$36,(AD51/(1-AG51-(H51*(1+J51)))),IF($A$39='4. LISTAS'!$C$37,(AB51/(1-AC51-AH51)),"Erro")))</f>
        <v>0</v>
      </c>
      <c r="H51" s="320">
        <f>IF(AND($A$39='4. LISTAS'!$C$35,'Fornec. TAGNA'!U51="Sim"),0,IF(OR($A$39='4. LISTAS'!$C$35, $A$39='4. LISTAS'!$C$36),(VLOOKUP('1.DASHBOARD'!$B$8,'4. LISTAS'!$F$2:$G$11,2,FALSE)),0))</f>
        <v>0</v>
      </c>
      <c r="I51" s="305">
        <f t="shared" si="12"/>
        <v>0</v>
      </c>
      <c r="J51" s="319">
        <f>VLOOKUP($A$39,'4. LISTAS'!$C$35:$F$37,4,0)</f>
        <v>0</v>
      </c>
      <c r="K51" s="305">
        <f t="shared" si="13"/>
        <v>0</v>
      </c>
      <c r="L51" s="305">
        <f t="shared" si="14"/>
        <v>0</v>
      </c>
      <c r="M51" s="323"/>
      <c r="N51" s="296"/>
      <c r="O51" s="306"/>
      <c r="P51" s="306"/>
      <c r="Q51" s="320">
        <v>0.04</v>
      </c>
      <c r="R51" s="320">
        <v>0.15</v>
      </c>
      <c r="S51" s="320">
        <v>0</v>
      </c>
      <c r="T51" s="305"/>
      <c r="U51" s="316" t="str">
        <f t="shared" si="16"/>
        <v>Não</v>
      </c>
      <c r="V51" s="316" t="s">
        <v>454</v>
      </c>
      <c r="W51" s="296"/>
      <c r="X51" s="312">
        <f t="shared" si="17"/>
        <v>0</v>
      </c>
      <c r="Y51" s="312">
        <f t="shared" si="18"/>
        <v>0</v>
      </c>
      <c r="Z51" s="312">
        <f t="shared" si="19"/>
        <v>0</v>
      </c>
      <c r="AA51" s="294">
        <f>IF($A$39='4. LISTAS'!$C$35,(P51*B51+T51+Y51+Z51),IF($A$39='4. LISTAS'!$C$36,P51*B51+Y51,IF($A$39='4. LISTAS'!$C$37,P51*B51,"Erro")))</f>
        <v>0</v>
      </c>
      <c r="AB51" s="294">
        <f>IF($A$39='4. LISTAS'!$C$35,IF(V51="sim",AA51,AA51-X51),IF($A$39='4. LISTAS'!$C$36,IF(V51="Sim",AA51-X51,AA51-X51-Y51),IF($A$39='4. LISTAS'!$C$37,AA51,"erro")))</f>
        <v>0</v>
      </c>
      <c r="AC51" s="313">
        <f t="shared" si="23"/>
        <v>0.30349999999999999</v>
      </c>
      <c r="AD51" s="294">
        <f t="shared" si="20"/>
        <v>0</v>
      </c>
      <c r="AE51" s="312">
        <f t="shared" si="21"/>
        <v>0</v>
      </c>
      <c r="AF51" s="312">
        <f t="shared" si="22"/>
        <v>0</v>
      </c>
      <c r="AG51" s="311">
        <f>'4. LISTAS'!$M$6</f>
        <v>5.9299999999999999E-2</v>
      </c>
      <c r="AH51" s="310">
        <f>'4. LISTAS'!$M$5</f>
        <v>0.17</v>
      </c>
      <c r="AI51" s="296"/>
      <c r="AJ51" s="321"/>
      <c r="AK51" s="321"/>
      <c r="AL51" s="321"/>
    </row>
    <row r="52" spans="1:38" x14ac:dyDescent="0.2">
      <c r="A52" s="323" t="s">
        <v>294</v>
      </c>
      <c r="B52" s="323">
        <v>1</v>
      </c>
      <c r="C52" s="321"/>
      <c r="D52" s="321"/>
      <c r="E52" s="321"/>
      <c r="F52" s="306">
        <f t="shared" si="15"/>
        <v>0</v>
      </c>
      <c r="G52" s="305">
        <f>IF($A$39='4. LISTAS'!$C$35,IF(V52="sim",AD52/(1-AG52),AD52/(1-AG52-(H52*(1+J52)))),IF($A$39='4. LISTAS'!$C$36,(AD52/(1-AG52-(H52*(1+J52)))),IF($A$39='4. LISTAS'!$C$37,(AB52/(1-AC52-AH52)),"Erro")))</f>
        <v>0</v>
      </c>
      <c r="H52" s="320">
        <f>IF(AND($A$39='4. LISTAS'!$C$35,'Fornec. TAGNA'!U52="Sim"),0,IF(OR($A$39='4. LISTAS'!$C$35, $A$39='4. LISTAS'!$C$36),(VLOOKUP('1.DASHBOARD'!$B$8,'4. LISTAS'!$F$2:$G$11,2,FALSE)),0))</f>
        <v>0</v>
      </c>
      <c r="I52" s="305">
        <f t="shared" si="12"/>
        <v>0</v>
      </c>
      <c r="J52" s="319">
        <f>VLOOKUP($A$39,'4. LISTAS'!$C$35:$F$37,4,0)</f>
        <v>0</v>
      </c>
      <c r="K52" s="305">
        <f t="shared" si="13"/>
        <v>0</v>
      </c>
      <c r="L52" s="305">
        <f t="shared" si="14"/>
        <v>0</v>
      </c>
      <c r="M52" s="323"/>
      <c r="N52" s="296"/>
      <c r="O52" s="306"/>
      <c r="P52" s="306"/>
      <c r="Q52" s="320">
        <v>0.04</v>
      </c>
      <c r="R52" s="320">
        <v>0.15</v>
      </c>
      <c r="S52" s="320">
        <v>0</v>
      </c>
      <c r="T52" s="305"/>
      <c r="U52" s="316" t="str">
        <f t="shared" si="16"/>
        <v>Não</v>
      </c>
      <c r="V52" s="316" t="s">
        <v>454</v>
      </c>
      <c r="W52" s="296"/>
      <c r="X52" s="312">
        <f t="shared" si="17"/>
        <v>0</v>
      </c>
      <c r="Y52" s="312">
        <f t="shared" si="18"/>
        <v>0</v>
      </c>
      <c r="Z52" s="312">
        <f t="shared" si="19"/>
        <v>0</v>
      </c>
      <c r="AA52" s="294">
        <f>IF($A$39='4. LISTAS'!$C$35,(P52*B52+T52+Y52+Z52),IF($A$39='4. LISTAS'!$C$36,P52*B52+Y52,IF($A$39='4. LISTAS'!$C$37,P52*B52,"Erro")))</f>
        <v>0</v>
      </c>
      <c r="AB52" s="294">
        <f>IF($A$39='4. LISTAS'!$C$35,IF(V52="sim",AA52,AA52-X52),IF($A$39='4. LISTAS'!$C$36,IF(V52="Sim",AA52-X52,AA52-X52-Y52),IF($A$39='4. LISTAS'!$C$37,AA52,"erro")))</f>
        <v>0</v>
      </c>
      <c r="AC52" s="313">
        <f t="shared" si="23"/>
        <v>0.30349999999999999</v>
      </c>
      <c r="AD52" s="294">
        <f t="shared" si="20"/>
        <v>0</v>
      </c>
      <c r="AE52" s="312">
        <f t="shared" si="21"/>
        <v>0</v>
      </c>
      <c r="AF52" s="312">
        <f t="shared" si="22"/>
        <v>0</v>
      </c>
      <c r="AG52" s="311">
        <f>'4. LISTAS'!$M$6</f>
        <v>5.9299999999999999E-2</v>
      </c>
      <c r="AH52" s="310">
        <f>'4. LISTAS'!$M$5</f>
        <v>0.17</v>
      </c>
      <c r="AI52" s="296"/>
      <c r="AJ52" s="321"/>
      <c r="AK52" s="321"/>
      <c r="AL52" s="321"/>
    </row>
    <row r="53" spans="1:38" x14ac:dyDescent="0.2">
      <c r="A53" s="323" t="s">
        <v>692</v>
      </c>
      <c r="B53" s="323">
        <v>1</v>
      </c>
      <c r="C53" s="321"/>
      <c r="D53" s="321"/>
      <c r="E53" s="321"/>
      <c r="F53" s="306">
        <f t="shared" si="15"/>
        <v>0</v>
      </c>
      <c r="G53" s="305">
        <f>IF($A$39='4. LISTAS'!$C$35,IF(V53="sim",AD53/(1-AG53),AD53/(1-AG53-(H53*(1+J53)))),IF($A$39='4. LISTAS'!$C$36,(AD53/(1-AG53-(H53*(1+J53)))),IF($A$39='4. LISTAS'!$C$37,(AB53/(1-AC53-AH53)),"Erro")))</f>
        <v>0</v>
      </c>
      <c r="H53" s="320">
        <f>IF(AND($A$39='4. LISTAS'!$C$35,'Fornec. TAGNA'!U53="Sim"),0,IF(OR($A$39='4. LISTAS'!$C$35, $A$39='4. LISTAS'!$C$36),(VLOOKUP('1.DASHBOARD'!$B$8,'4. LISTAS'!$F$2:$G$11,2,FALSE)),0))</f>
        <v>0</v>
      </c>
      <c r="I53" s="305">
        <f t="shared" si="12"/>
        <v>0</v>
      </c>
      <c r="J53" s="319">
        <f>VLOOKUP($A$39,'4. LISTAS'!$C$35:$F$37,4,0)</f>
        <v>0</v>
      </c>
      <c r="K53" s="305">
        <f t="shared" si="13"/>
        <v>0</v>
      </c>
      <c r="L53" s="305">
        <f t="shared" si="14"/>
        <v>0</v>
      </c>
      <c r="M53" s="323"/>
      <c r="N53" s="296"/>
      <c r="O53" s="306"/>
      <c r="P53" s="306"/>
      <c r="Q53" s="320">
        <v>0.04</v>
      </c>
      <c r="R53" s="320">
        <v>0.15</v>
      </c>
      <c r="S53" s="320">
        <v>0</v>
      </c>
      <c r="T53" s="305"/>
      <c r="U53" s="316" t="str">
        <f t="shared" si="16"/>
        <v>Não</v>
      </c>
      <c r="V53" s="316" t="s">
        <v>454</v>
      </c>
      <c r="W53" s="296"/>
      <c r="X53" s="312">
        <f t="shared" si="17"/>
        <v>0</v>
      </c>
      <c r="Y53" s="312">
        <f t="shared" si="18"/>
        <v>0</v>
      </c>
      <c r="Z53" s="312">
        <f t="shared" si="19"/>
        <v>0</v>
      </c>
      <c r="AA53" s="294">
        <f>IF($A$39='4. LISTAS'!$C$35,(P53*B53+T53+Y53+Z53),IF($A$39='4. LISTAS'!$C$36,P53*B53+Y53,IF($A$39='4. LISTAS'!$C$37,P53*B53,"Erro")))</f>
        <v>0</v>
      </c>
      <c r="AB53" s="294">
        <f>IF($A$39='4. LISTAS'!$C$35,IF(V53="sim",AA53,AA53-X53),IF($A$39='4. LISTAS'!$C$36,IF(V53="Sim",AA53-X53,AA53-X53-Y53),IF($A$39='4. LISTAS'!$C$37,AA53,"erro")))</f>
        <v>0</v>
      </c>
      <c r="AC53" s="313">
        <f t="shared" si="23"/>
        <v>0.30349999999999999</v>
      </c>
      <c r="AD53" s="294">
        <f t="shared" si="20"/>
        <v>0</v>
      </c>
      <c r="AE53" s="312">
        <f t="shared" si="21"/>
        <v>0</v>
      </c>
      <c r="AF53" s="312">
        <f t="shared" si="22"/>
        <v>0</v>
      </c>
      <c r="AG53" s="311">
        <f>'4. LISTAS'!$M$6</f>
        <v>5.9299999999999999E-2</v>
      </c>
      <c r="AH53" s="310">
        <f>'4. LISTAS'!$M$5</f>
        <v>0.17</v>
      </c>
      <c r="AI53" s="296"/>
      <c r="AJ53" s="321"/>
      <c r="AK53" s="321"/>
      <c r="AL53" s="321"/>
    </row>
    <row r="54" spans="1:38" x14ac:dyDescent="0.2">
      <c r="A54" s="323" t="s">
        <v>691</v>
      </c>
      <c r="B54" s="323">
        <v>1</v>
      </c>
      <c r="C54" s="321"/>
      <c r="D54" s="321"/>
      <c r="E54" s="321"/>
      <c r="F54" s="306">
        <f t="shared" si="15"/>
        <v>0</v>
      </c>
      <c r="G54" s="305">
        <f>IF($A$39='4. LISTAS'!$C$35,IF(V54="sim",AD54/(1-AG54),AD54/(1-AG54-(H54*(1+J54)))),IF($A$39='4. LISTAS'!$C$36,(AD54/(1-AG54-(H54*(1+J54)))),IF($A$39='4. LISTAS'!$C$37,(AB54/(1-AC54-AH54)),"Erro")))</f>
        <v>0</v>
      </c>
      <c r="H54" s="320">
        <f>IF(AND($A$39='4. LISTAS'!$C$35,'Fornec. TAGNA'!U54="Sim"),0,IF(OR($A$39='4. LISTAS'!$C$35, $A$39='4. LISTAS'!$C$36),(VLOOKUP('1.DASHBOARD'!$B$8,'4. LISTAS'!$F$2:$G$11,2,FALSE)),0))</f>
        <v>0</v>
      </c>
      <c r="I54" s="305">
        <f t="shared" si="12"/>
        <v>0</v>
      </c>
      <c r="J54" s="319">
        <f>VLOOKUP($A$39,'4. LISTAS'!$C$35:$F$37,4,0)</f>
        <v>0</v>
      </c>
      <c r="K54" s="305">
        <f t="shared" si="13"/>
        <v>0</v>
      </c>
      <c r="L54" s="305">
        <f t="shared" si="14"/>
        <v>0</v>
      </c>
      <c r="M54" s="323"/>
      <c r="N54" s="296"/>
      <c r="O54" s="306"/>
      <c r="P54" s="306"/>
      <c r="Q54" s="320">
        <v>0.04</v>
      </c>
      <c r="R54" s="320">
        <v>0.15</v>
      </c>
      <c r="S54" s="320">
        <v>0</v>
      </c>
      <c r="T54" s="305"/>
      <c r="U54" s="316" t="str">
        <f t="shared" si="16"/>
        <v>Não</v>
      </c>
      <c r="V54" s="316" t="s">
        <v>454</v>
      </c>
      <c r="W54" s="296"/>
      <c r="X54" s="312">
        <f t="shared" si="17"/>
        <v>0</v>
      </c>
      <c r="Y54" s="312">
        <f t="shared" si="18"/>
        <v>0</v>
      </c>
      <c r="Z54" s="312">
        <f t="shared" si="19"/>
        <v>0</v>
      </c>
      <c r="AA54" s="294">
        <f>IF($A$39='4. LISTAS'!$C$35,(P54*B54+T54+Y54+Z54),IF($A$39='4. LISTAS'!$C$36,P54*B54+Y54,IF($A$39='4. LISTAS'!$C$37,P54*B54,"Erro")))</f>
        <v>0</v>
      </c>
      <c r="AB54" s="294">
        <f>IF($A$39='4. LISTAS'!$C$35,IF(V54="sim",AA54,AA54-X54),IF($A$39='4. LISTAS'!$C$36,IF(V54="Sim",AA54-X54,AA54-X54-Y54),IF($A$39='4. LISTAS'!$C$37,AA54,"erro")))</f>
        <v>0</v>
      </c>
      <c r="AC54" s="313">
        <f t="shared" si="23"/>
        <v>0.30349999999999999</v>
      </c>
      <c r="AD54" s="294">
        <f t="shared" si="20"/>
        <v>0</v>
      </c>
      <c r="AE54" s="312">
        <f t="shared" si="21"/>
        <v>0</v>
      </c>
      <c r="AF54" s="312">
        <f t="shared" si="22"/>
        <v>0</v>
      </c>
      <c r="AG54" s="311">
        <f>'4. LISTAS'!$M$6</f>
        <v>5.9299999999999999E-2</v>
      </c>
      <c r="AH54" s="310">
        <f>'4. LISTAS'!$M$5</f>
        <v>0.17</v>
      </c>
      <c r="AI54" s="296"/>
      <c r="AJ54" s="321"/>
      <c r="AK54" s="321"/>
      <c r="AL54" s="321"/>
    </row>
    <row r="55" spans="1:38" x14ac:dyDescent="0.2">
      <c r="A55" s="323" t="s">
        <v>690</v>
      </c>
      <c r="B55" s="323">
        <v>1</v>
      </c>
      <c r="C55" s="321"/>
      <c r="D55" s="321"/>
      <c r="E55" s="321"/>
      <c r="F55" s="306">
        <f t="shared" si="15"/>
        <v>0</v>
      </c>
      <c r="G55" s="305">
        <f>IF($A$39='4. LISTAS'!$C$35,IF(V55="sim",AD55/(1-AG55),AD55/(1-AG55-(H55*(1+J55)))),IF($A$39='4. LISTAS'!$C$36,(AD55/(1-AG55-(H55*(1+J55)))),IF($A$39='4. LISTAS'!$C$37,(AB55/(1-AC55-AH55)),"Erro")))</f>
        <v>0</v>
      </c>
      <c r="H55" s="320">
        <f>IF(AND($A$39='4. LISTAS'!$C$35,'Fornec. TAGNA'!U55="Sim"),0,IF(OR($A$39='4. LISTAS'!$C$35, $A$39='4. LISTAS'!$C$36),(VLOOKUP('1.DASHBOARD'!$B$8,'4. LISTAS'!$F$2:$G$11,2,FALSE)),0))</f>
        <v>0</v>
      </c>
      <c r="I55" s="305">
        <f t="shared" si="12"/>
        <v>0</v>
      </c>
      <c r="J55" s="319">
        <f>VLOOKUP($A$39,'4. LISTAS'!$C$35:$F$37,4,0)</f>
        <v>0</v>
      </c>
      <c r="K55" s="305">
        <f t="shared" si="13"/>
        <v>0</v>
      </c>
      <c r="L55" s="305">
        <f t="shared" si="14"/>
        <v>0</v>
      </c>
      <c r="M55" s="323"/>
      <c r="N55" s="296"/>
      <c r="O55" s="306"/>
      <c r="P55" s="306"/>
      <c r="Q55" s="320">
        <v>0.04</v>
      </c>
      <c r="R55" s="320">
        <v>0.15</v>
      </c>
      <c r="S55" s="320">
        <v>0</v>
      </c>
      <c r="T55" s="305"/>
      <c r="U55" s="316" t="str">
        <f t="shared" si="16"/>
        <v>Não</v>
      </c>
      <c r="V55" s="316" t="s">
        <v>454</v>
      </c>
      <c r="W55" s="296"/>
      <c r="X55" s="312">
        <f t="shared" si="17"/>
        <v>0</v>
      </c>
      <c r="Y55" s="312">
        <f t="shared" si="18"/>
        <v>0</v>
      </c>
      <c r="Z55" s="312">
        <f t="shared" si="19"/>
        <v>0</v>
      </c>
      <c r="AA55" s="294">
        <f>IF($A$39='4. LISTAS'!$C$35,(P55*B55+T55+Y55+Z55),IF($A$39='4. LISTAS'!$C$36,P55*B55+Y55,IF($A$39='4. LISTAS'!$C$37,P55*B55,"Erro")))</f>
        <v>0</v>
      </c>
      <c r="AB55" s="294">
        <f>IF($A$39='4. LISTAS'!$C$35,IF(V55="sim",AA55,AA55-X55),IF($A$39='4. LISTAS'!$C$36,IF(V55="Sim",AA55-X55,AA55-X55-Y55),IF($A$39='4. LISTAS'!$C$37,AA55,"erro")))</f>
        <v>0</v>
      </c>
      <c r="AC55" s="313">
        <f t="shared" si="23"/>
        <v>0.30349999999999999</v>
      </c>
      <c r="AD55" s="294">
        <f t="shared" si="20"/>
        <v>0</v>
      </c>
      <c r="AE55" s="312">
        <f t="shared" si="21"/>
        <v>0</v>
      </c>
      <c r="AF55" s="312">
        <f t="shared" si="22"/>
        <v>0</v>
      </c>
      <c r="AG55" s="311">
        <f>'4. LISTAS'!$M$6</f>
        <v>5.9299999999999999E-2</v>
      </c>
      <c r="AH55" s="310">
        <f>'4. LISTAS'!$M$5</f>
        <v>0.17</v>
      </c>
      <c r="AI55" s="296"/>
      <c r="AJ55" s="321"/>
      <c r="AK55" s="321"/>
      <c r="AL55" s="321"/>
    </row>
    <row r="56" spans="1:38" x14ac:dyDescent="0.2">
      <c r="A56" s="323" t="s">
        <v>689</v>
      </c>
      <c r="B56" s="323">
        <v>1</v>
      </c>
      <c r="C56" s="321"/>
      <c r="D56" s="321"/>
      <c r="E56" s="321"/>
      <c r="F56" s="306">
        <f t="shared" si="15"/>
        <v>0</v>
      </c>
      <c r="G56" s="305">
        <f>IF($A$39='4. LISTAS'!$C$35,IF(V56="sim",AD56/(1-AG56),AD56/(1-AG56-(H56*(1+J56)))),IF($A$39='4. LISTAS'!$C$36,(AD56/(1-AG56-(H56*(1+J56)))),IF($A$39='4. LISTAS'!$C$37,(AB56/(1-AC56-AH56)),"Erro")))</f>
        <v>0</v>
      </c>
      <c r="H56" s="320">
        <f>IF(AND($A$39='4. LISTAS'!$C$35,'Fornec. TAGNA'!U56="Sim"),0,IF(OR($A$39='4. LISTAS'!$C$35, $A$39='4. LISTAS'!$C$36),(VLOOKUP('1.DASHBOARD'!$B$8,'4. LISTAS'!$F$2:$G$11,2,FALSE)),0))</f>
        <v>0</v>
      </c>
      <c r="I56" s="305">
        <f t="shared" si="12"/>
        <v>0</v>
      </c>
      <c r="J56" s="319">
        <f>VLOOKUP($A$39,'4. LISTAS'!$C$35:$F$37,4,0)</f>
        <v>0</v>
      </c>
      <c r="K56" s="305">
        <f t="shared" si="13"/>
        <v>0</v>
      </c>
      <c r="L56" s="305">
        <f t="shared" si="14"/>
        <v>0</v>
      </c>
      <c r="M56" s="323"/>
      <c r="N56" s="296"/>
      <c r="O56" s="306"/>
      <c r="P56" s="306"/>
      <c r="Q56" s="320">
        <v>0.04</v>
      </c>
      <c r="R56" s="320">
        <v>0.15</v>
      </c>
      <c r="S56" s="320">
        <v>0</v>
      </c>
      <c r="T56" s="305"/>
      <c r="U56" s="316" t="str">
        <f t="shared" si="16"/>
        <v>Não</v>
      </c>
      <c r="V56" s="316" t="s">
        <v>454</v>
      </c>
      <c r="W56" s="296"/>
      <c r="X56" s="312">
        <f t="shared" si="17"/>
        <v>0</v>
      </c>
      <c r="Y56" s="312">
        <f t="shared" si="18"/>
        <v>0</v>
      </c>
      <c r="Z56" s="312">
        <f t="shared" si="19"/>
        <v>0</v>
      </c>
      <c r="AA56" s="294">
        <f>IF($A$39='4. LISTAS'!$C$35,(P56*B56+T56+Y56+Z56),IF($A$39='4. LISTAS'!$C$36,P56*B56+Y56,IF($A$39='4. LISTAS'!$C$37,P56*B56,"Erro")))</f>
        <v>0</v>
      </c>
      <c r="AB56" s="294">
        <f>IF($A$39='4. LISTAS'!$C$35,IF(V56="sim",AA56,AA56-X56),IF($A$39='4. LISTAS'!$C$36,IF(V56="Sim",AA56-X56,AA56-X56-Y56),IF($A$39='4. LISTAS'!$C$37,AA56,"erro")))</f>
        <v>0</v>
      </c>
      <c r="AC56" s="313">
        <f t="shared" si="23"/>
        <v>0.30349999999999999</v>
      </c>
      <c r="AD56" s="294">
        <f t="shared" si="20"/>
        <v>0</v>
      </c>
      <c r="AE56" s="312">
        <f t="shared" si="21"/>
        <v>0</v>
      </c>
      <c r="AF56" s="312">
        <f t="shared" si="22"/>
        <v>0</v>
      </c>
      <c r="AG56" s="311">
        <f>'4. LISTAS'!$M$6</f>
        <v>5.9299999999999999E-2</v>
      </c>
      <c r="AH56" s="310">
        <f>'4. LISTAS'!$M$5</f>
        <v>0.17</v>
      </c>
      <c r="AI56" s="296"/>
      <c r="AJ56" s="321"/>
      <c r="AK56" s="321"/>
      <c r="AL56" s="321"/>
    </row>
    <row r="57" spans="1:38" x14ac:dyDescent="0.2">
      <c r="A57" s="323" t="s">
        <v>688</v>
      </c>
      <c r="B57" s="323">
        <v>1</v>
      </c>
      <c r="C57" s="321"/>
      <c r="D57" s="321"/>
      <c r="E57" s="321"/>
      <c r="F57" s="306">
        <f t="shared" si="15"/>
        <v>0</v>
      </c>
      <c r="G57" s="305">
        <f>IF($A$39='4. LISTAS'!$C$35,IF(V57="sim",AD57/(1-AG57),AD57/(1-AG57-(H57*(1+J57)))),IF($A$39='4. LISTAS'!$C$36,(AD57/(1-AG57-(H57*(1+J57)))),IF($A$39='4. LISTAS'!$C$37,(AB57/(1-AC57-AH57)),"Erro")))</f>
        <v>0</v>
      </c>
      <c r="H57" s="320">
        <f>IF(AND($A$39='4. LISTAS'!$C$35,'Fornec. TAGNA'!U57="Sim"),0,IF(OR($A$39='4. LISTAS'!$C$35, $A$39='4. LISTAS'!$C$36),(VLOOKUP('1.DASHBOARD'!$B$8,'4. LISTAS'!$F$2:$G$11,2,FALSE)),0))</f>
        <v>0</v>
      </c>
      <c r="I57" s="305">
        <f t="shared" si="12"/>
        <v>0</v>
      </c>
      <c r="J57" s="319">
        <f>VLOOKUP($A$39,'4. LISTAS'!$C$35:$F$37,4,0)</f>
        <v>0</v>
      </c>
      <c r="K57" s="305">
        <f t="shared" si="13"/>
        <v>0</v>
      </c>
      <c r="L57" s="305">
        <f t="shared" si="14"/>
        <v>0</v>
      </c>
      <c r="M57" s="323"/>
      <c r="N57" s="296"/>
      <c r="O57" s="306"/>
      <c r="P57" s="306"/>
      <c r="Q57" s="320">
        <v>0.04</v>
      </c>
      <c r="R57" s="320">
        <v>0.15</v>
      </c>
      <c r="S57" s="320">
        <v>0</v>
      </c>
      <c r="T57" s="305"/>
      <c r="U57" s="316" t="str">
        <f t="shared" si="16"/>
        <v>Não</v>
      </c>
      <c r="V57" s="316" t="s">
        <v>454</v>
      </c>
      <c r="W57" s="296"/>
      <c r="X57" s="312">
        <f t="shared" si="17"/>
        <v>0</v>
      </c>
      <c r="Y57" s="312">
        <f t="shared" si="18"/>
        <v>0</v>
      </c>
      <c r="Z57" s="312">
        <f t="shared" si="19"/>
        <v>0</v>
      </c>
      <c r="AA57" s="294">
        <f>IF($A$39='4. LISTAS'!$C$35,(P57*B57+T57+Y57+Z57),IF($A$39='4. LISTAS'!$C$36,P57*B57+Y57,IF($A$39='4. LISTAS'!$C$37,P57*B57,"Erro")))</f>
        <v>0</v>
      </c>
      <c r="AB57" s="294">
        <f>IF($A$39='4. LISTAS'!$C$35,IF(V57="sim",AA57,AA57-X57),IF($A$39='4. LISTAS'!$C$36,IF(V57="Sim",AA57-X57,AA57-X57-Y57),IF($A$39='4. LISTAS'!$C$37,AA57,"erro")))</f>
        <v>0</v>
      </c>
      <c r="AC57" s="313">
        <f t="shared" si="23"/>
        <v>0.30349999999999999</v>
      </c>
      <c r="AD57" s="294">
        <f t="shared" si="20"/>
        <v>0</v>
      </c>
      <c r="AE57" s="312">
        <f t="shared" si="21"/>
        <v>0</v>
      </c>
      <c r="AF57" s="312">
        <f t="shared" si="22"/>
        <v>0</v>
      </c>
      <c r="AG57" s="311">
        <f>'4. LISTAS'!$M$6</f>
        <v>5.9299999999999999E-2</v>
      </c>
      <c r="AH57" s="310">
        <f>'4. LISTAS'!$M$5</f>
        <v>0.17</v>
      </c>
      <c r="AI57" s="296"/>
      <c r="AJ57" s="321"/>
      <c r="AK57" s="321"/>
      <c r="AL57" s="321"/>
    </row>
    <row r="58" spans="1:38" x14ac:dyDescent="0.2">
      <c r="A58" s="323" t="s">
        <v>687</v>
      </c>
      <c r="B58" s="323">
        <v>1</v>
      </c>
      <c r="C58" s="321"/>
      <c r="D58" s="321"/>
      <c r="E58" s="321"/>
      <c r="F58" s="306">
        <f t="shared" si="15"/>
        <v>0</v>
      </c>
      <c r="G58" s="305">
        <f>IF($A$39='4. LISTAS'!$C$35,IF(V58="sim",AD58/(1-AG58),AD58/(1-AG58-(H58*(1+J58)))),IF($A$39='4. LISTAS'!$C$36,(AD58/(1-AG58-(H58*(1+J58)))),IF($A$39='4. LISTAS'!$C$37,(AB58/(1-AC58-AH58)),"Erro")))</f>
        <v>0</v>
      </c>
      <c r="H58" s="320">
        <f>IF(AND($A$39='4. LISTAS'!$C$35,'Fornec. TAGNA'!U58="Sim"),0,IF(OR($A$39='4. LISTAS'!$C$35, $A$39='4. LISTAS'!$C$36),(VLOOKUP('1.DASHBOARD'!$B$8,'4. LISTAS'!$F$2:$G$11,2,FALSE)),0))</f>
        <v>0</v>
      </c>
      <c r="I58" s="305">
        <f t="shared" si="12"/>
        <v>0</v>
      </c>
      <c r="J58" s="319">
        <f>VLOOKUP($A$39,'4. LISTAS'!$C$35:$F$37,4,0)</f>
        <v>0</v>
      </c>
      <c r="K58" s="305">
        <f t="shared" si="13"/>
        <v>0</v>
      </c>
      <c r="L58" s="305">
        <f t="shared" si="14"/>
        <v>0</v>
      </c>
      <c r="M58" s="323"/>
      <c r="N58" s="296"/>
      <c r="O58" s="306"/>
      <c r="P58" s="306"/>
      <c r="Q58" s="320">
        <v>0.04</v>
      </c>
      <c r="R58" s="320">
        <v>0.15</v>
      </c>
      <c r="S58" s="320">
        <v>0</v>
      </c>
      <c r="T58" s="305"/>
      <c r="U58" s="316" t="str">
        <f t="shared" si="16"/>
        <v>Não</v>
      </c>
      <c r="V58" s="316" t="s">
        <v>454</v>
      </c>
      <c r="W58" s="296"/>
      <c r="X58" s="312">
        <f t="shared" si="17"/>
        <v>0</v>
      </c>
      <c r="Y58" s="312">
        <f t="shared" si="18"/>
        <v>0</v>
      </c>
      <c r="Z58" s="312">
        <f t="shared" si="19"/>
        <v>0</v>
      </c>
      <c r="AA58" s="294">
        <f>IF($A$39='4. LISTAS'!$C$35,(P58*B58+T58+Y58+Z58),IF($A$39='4. LISTAS'!$C$36,P58*B58+Y58,IF($A$39='4. LISTAS'!$C$37,P58*B58,"Erro")))</f>
        <v>0</v>
      </c>
      <c r="AB58" s="294">
        <f>IF($A$39='4. LISTAS'!$C$35,IF(V58="sim",AA58,AA58-X58),IF($A$39='4. LISTAS'!$C$36,IF(V58="Sim",AA58-X58,AA58-X58-Y58),IF($A$39='4. LISTAS'!$C$37,AA58,"erro")))</f>
        <v>0</v>
      </c>
      <c r="AC58" s="313">
        <f t="shared" si="23"/>
        <v>0.30349999999999999</v>
      </c>
      <c r="AD58" s="294">
        <f t="shared" si="20"/>
        <v>0</v>
      </c>
      <c r="AE58" s="312">
        <f t="shared" si="21"/>
        <v>0</v>
      </c>
      <c r="AF58" s="312">
        <f t="shared" si="22"/>
        <v>0</v>
      </c>
      <c r="AG58" s="311">
        <f>'4. LISTAS'!$M$6</f>
        <v>5.9299999999999999E-2</v>
      </c>
      <c r="AH58" s="310">
        <f>'4. LISTAS'!$M$5</f>
        <v>0.17</v>
      </c>
      <c r="AI58" s="296"/>
      <c r="AJ58" s="321"/>
      <c r="AK58" s="321"/>
      <c r="AL58" s="321"/>
    </row>
    <row r="59" spans="1:38" x14ac:dyDescent="0.2">
      <c r="A59" s="323" t="s">
        <v>686</v>
      </c>
      <c r="B59" s="323">
        <v>1</v>
      </c>
      <c r="C59" s="321"/>
      <c r="D59" s="321"/>
      <c r="E59" s="321"/>
      <c r="F59" s="306">
        <f t="shared" si="15"/>
        <v>0</v>
      </c>
      <c r="G59" s="305">
        <f>IF($A$39='4. LISTAS'!$C$35,IF(V59="sim",AD59/(1-AG59),AD59/(1-AG59-(H59*(1+J59)))),IF($A$39='4. LISTAS'!$C$36,(AD59/(1-AG59-(H59*(1+J59)))),IF($A$39='4. LISTAS'!$C$37,(AB59/(1-AC59-AH59)),"Erro")))</f>
        <v>0</v>
      </c>
      <c r="H59" s="320">
        <f>IF(AND($A$39='4. LISTAS'!$C$35,'Fornec. TAGNA'!U59="Sim"),0,IF(OR($A$39='4. LISTAS'!$C$35, $A$39='4. LISTAS'!$C$36),(VLOOKUP('1.DASHBOARD'!$B$8,'4. LISTAS'!$F$2:$G$11,2,FALSE)),0))</f>
        <v>0</v>
      </c>
      <c r="I59" s="305">
        <f t="shared" si="12"/>
        <v>0</v>
      </c>
      <c r="J59" s="319">
        <f>VLOOKUP($A$39,'4. LISTAS'!$C$35:$F$37,4,0)</f>
        <v>0</v>
      </c>
      <c r="K59" s="305">
        <f t="shared" si="13"/>
        <v>0</v>
      </c>
      <c r="L59" s="305">
        <f t="shared" si="14"/>
        <v>0</v>
      </c>
      <c r="M59" s="323"/>
      <c r="N59" s="296"/>
      <c r="O59" s="306"/>
      <c r="P59" s="306"/>
      <c r="Q59" s="320">
        <v>0.04</v>
      </c>
      <c r="R59" s="320">
        <v>0.15</v>
      </c>
      <c r="S59" s="320">
        <v>0</v>
      </c>
      <c r="T59" s="305"/>
      <c r="U59" s="316" t="str">
        <f t="shared" si="16"/>
        <v>Não</v>
      </c>
      <c r="V59" s="316" t="s">
        <v>454</v>
      </c>
      <c r="W59" s="296"/>
      <c r="X59" s="312">
        <f t="shared" si="17"/>
        <v>0</v>
      </c>
      <c r="Y59" s="312">
        <f t="shared" si="18"/>
        <v>0</v>
      </c>
      <c r="Z59" s="312">
        <f t="shared" si="19"/>
        <v>0</v>
      </c>
      <c r="AA59" s="294">
        <f>IF($A$39='4. LISTAS'!$C$35,(P59*B59+T59+Y59+Z59),IF($A$39='4. LISTAS'!$C$36,P59*B59+Y59,IF($A$39='4. LISTAS'!$C$37,P59*B59,"Erro")))</f>
        <v>0</v>
      </c>
      <c r="AB59" s="294">
        <f>IF($A$39='4. LISTAS'!$C$35,IF(V59="sim",AA59,AA59-X59),IF($A$39='4. LISTAS'!$C$36,IF(V59="Sim",AA59-X59,AA59-X59-Y59),IF($A$39='4. LISTAS'!$C$37,AA59,"erro")))</f>
        <v>0</v>
      </c>
      <c r="AC59" s="313">
        <f t="shared" si="23"/>
        <v>0.30349999999999999</v>
      </c>
      <c r="AD59" s="294">
        <f t="shared" si="20"/>
        <v>0</v>
      </c>
      <c r="AE59" s="312">
        <f t="shared" si="21"/>
        <v>0</v>
      </c>
      <c r="AF59" s="312">
        <f t="shared" si="22"/>
        <v>0</v>
      </c>
      <c r="AG59" s="311">
        <f>'4. LISTAS'!$M$6</f>
        <v>5.9299999999999999E-2</v>
      </c>
      <c r="AH59" s="310">
        <f>'4. LISTAS'!$M$5</f>
        <v>0.17</v>
      </c>
      <c r="AI59" s="296"/>
      <c r="AJ59" s="321"/>
      <c r="AK59" s="321"/>
      <c r="AL59" s="321"/>
    </row>
    <row r="60" spans="1:38" x14ac:dyDescent="0.2">
      <c r="A60" s="323" t="s">
        <v>685</v>
      </c>
      <c r="B60" s="323">
        <v>1</v>
      </c>
      <c r="C60" s="321"/>
      <c r="D60" s="321"/>
      <c r="E60" s="321"/>
      <c r="F60" s="306">
        <f t="shared" si="15"/>
        <v>0</v>
      </c>
      <c r="G60" s="305">
        <f>IF($A$39='4. LISTAS'!$C$35,IF(V60="sim",AD60/(1-AG60),AD60/(1-AG60-(H60*(1+J60)))),IF($A$39='4. LISTAS'!$C$36,(AD60/(1-AG60-(H60*(1+J60)))),IF($A$39='4. LISTAS'!$C$37,(AB60/(1-AC60-AH60)),"Erro")))</f>
        <v>0</v>
      </c>
      <c r="H60" s="320">
        <f>IF(AND($A$39='4. LISTAS'!$C$35,'Fornec. TAGNA'!U60="Sim"),0,IF(OR($A$39='4. LISTAS'!$C$35, $A$39='4. LISTAS'!$C$36),(VLOOKUP('1.DASHBOARD'!$B$8,'4. LISTAS'!$F$2:$G$11,2,FALSE)),0))</f>
        <v>0</v>
      </c>
      <c r="I60" s="305">
        <f t="shared" si="12"/>
        <v>0</v>
      </c>
      <c r="J60" s="319">
        <f>VLOOKUP($A$39,'4. LISTAS'!$C$35:$F$37,4,0)</f>
        <v>0</v>
      </c>
      <c r="K60" s="305">
        <f t="shared" si="13"/>
        <v>0</v>
      </c>
      <c r="L60" s="305">
        <f t="shared" si="14"/>
        <v>0</v>
      </c>
      <c r="M60" s="323"/>
      <c r="N60" s="296"/>
      <c r="O60" s="306"/>
      <c r="P60" s="306"/>
      <c r="Q60" s="320">
        <v>0.04</v>
      </c>
      <c r="R60" s="320">
        <v>0.15</v>
      </c>
      <c r="S60" s="320">
        <v>0</v>
      </c>
      <c r="T60" s="305"/>
      <c r="U60" s="316" t="str">
        <f t="shared" si="16"/>
        <v>Não</v>
      </c>
      <c r="V60" s="316" t="s">
        <v>454</v>
      </c>
      <c r="W60" s="296"/>
      <c r="X60" s="312">
        <f t="shared" si="17"/>
        <v>0</v>
      </c>
      <c r="Y60" s="312">
        <f t="shared" si="18"/>
        <v>0</v>
      </c>
      <c r="Z60" s="312">
        <f t="shared" si="19"/>
        <v>0</v>
      </c>
      <c r="AA60" s="294">
        <f>IF($A$39='4. LISTAS'!$C$35,(P60*B60+T60+Y60+Z60),IF($A$39='4. LISTAS'!$C$36,P60*B60+Y60,IF($A$39='4. LISTAS'!$C$37,P60*B60,"Erro")))</f>
        <v>0</v>
      </c>
      <c r="AB60" s="294">
        <f>IF($A$39='4. LISTAS'!$C$35,IF(V60="sim",AA60,AA60-X60),IF($A$39='4. LISTAS'!$C$36,IF(V60="Sim",AA60-X60,AA60-X60-Y60),IF($A$39='4. LISTAS'!$C$37,AA60,"erro")))</f>
        <v>0</v>
      </c>
      <c r="AC60" s="313">
        <f t="shared" si="23"/>
        <v>0.30349999999999999</v>
      </c>
      <c r="AD60" s="294">
        <f t="shared" si="20"/>
        <v>0</v>
      </c>
      <c r="AE60" s="312">
        <f t="shared" si="21"/>
        <v>0</v>
      </c>
      <c r="AF60" s="312">
        <f t="shared" si="22"/>
        <v>0</v>
      </c>
      <c r="AG60" s="311">
        <f>'4. LISTAS'!$M$6</f>
        <v>5.9299999999999999E-2</v>
      </c>
      <c r="AH60" s="310">
        <f>'4. LISTAS'!$M$5</f>
        <v>0.17</v>
      </c>
      <c r="AI60" s="296"/>
      <c r="AJ60" s="321"/>
      <c r="AK60" s="321"/>
      <c r="AL60" s="321"/>
    </row>
    <row r="61" spans="1:38" x14ac:dyDescent="0.2">
      <c r="A61" s="323" t="s">
        <v>684</v>
      </c>
      <c r="B61" s="323">
        <v>1</v>
      </c>
      <c r="C61" s="321"/>
      <c r="D61" s="321"/>
      <c r="E61" s="321"/>
      <c r="F61" s="306">
        <f t="shared" si="15"/>
        <v>0</v>
      </c>
      <c r="G61" s="305">
        <f>IF($A$39='4. LISTAS'!$C$35,IF(V61="sim",AD61/(1-AG61),AD61/(1-AG61-(H61*(1+J61)))),IF($A$39='4. LISTAS'!$C$36,(AD61/(1-AG61-(H61*(1+J61)))),IF($A$39='4. LISTAS'!$C$37,(AB61/(1-AC61-AH61)),"Erro")))</f>
        <v>0</v>
      </c>
      <c r="H61" s="320">
        <f>IF(AND($A$39='4. LISTAS'!$C$35,'Fornec. TAGNA'!U61="Sim"),0,IF(OR($A$39='4. LISTAS'!$C$35, $A$39='4. LISTAS'!$C$36),(VLOOKUP('1.DASHBOARD'!$B$8,'4. LISTAS'!$F$2:$G$11,2,FALSE)),0))</f>
        <v>0</v>
      </c>
      <c r="I61" s="305">
        <f t="shared" si="12"/>
        <v>0</v>
      </c>
      <c r="J61" s="319">
        <f>VLOOKUP($A$39,'4. LISTAS'!$C$35:$F$37,4,0)</f>
        <v>0</v>
      </c>
      <c r="K61" s="305">
        <f t="shared" si="13"/>
        <v>0</v>
      </c>
      <c r="L61" s="305">
        <f t="shared" si="14"/>
        <v>0</v>
      </c>
      <c r="M61" s="323"/>
      <c r="N61" s="296"/>
      <c r="O61" s="306"/>
      <c r="P61" s="306"/>
      <c r="Q61" s="320">
        <v>0.04</v>
      </c>
      <c r="R61" s="320">
        <v>0.15</v>
      </c>
      <c r="S61" s="320">
        <v>0</v>
      </c>
      <c r="T61" s="305"/>
      <c r="U61" s="316" t="str">
        <f t="shared" si="16"/>
        <v>Não</v>
      </c>
      <c r="V61" s="316" t="s">
        <v>454</v>
      </c>
      <c r="W61" s="296"/>
      <c r="X61" s="312">
        <f t="shared" si="17"/>
        <v>0</v>
      </c>
      <c r="Y61" s="312">
        <f t="shared" si="18"/>
        <v>0</v>
      </c>
      <c r="Z61" s="312">
        <f t="shared" si="19"/>
        <v>0</v>
      </c>
      <c r="AA61" s="294">
        <f>IF($A$39='4. LISTAS'!$C$35,(P61*B61+T61+Y61+Z61),IF($A$39='4. LISTAS'!$C$36,P61*B61+Y61,IF($A$39='4. LISTAS'!$C$37,P61*B61,"Erro")))</f>
        <v>0</v>
      </c>
      <c r="AB61" s="294">
        <f>IF($A$39='4. LISTAS'!$C$35,IF(V61="sim",AA61,AA61-X61),IF($A$39='4. LISTAS'!$C$36,IF(V61="Sim",AA61-X61,AA61-X61-Y61),IF($A$39='4. LISTAS'!$C$37,AA61,"erro")))</f>
        <v>0</v>
      </c>
      <c r="AC61" s="313">
        <f t="shared" si="23"/>
        <v>0.30349999999999999</v>
      </c>
      <c r="AD61" s="294">
        <f t="shared" si="20"/>
        <v>0</v>
      </c>
      <c r="AE61" s="312">
        <f t="shared" si="21"/>
        <v>0</v>
      </c>
      <c r="AF61" s="312">
        <f t="shared" si="22"/>
        <v>0</v>
      </c>
      <c r="AG61" s="311">
        <f>'4. LISTAS'!$M$6</f>
        <v>5.9299999999999999E-2</v>
      </c>
      <c r="AH61" s="310">
        <f>'4. LISTAS'!$M$5</f>
        <v>0.17</v>
      </c>
      <c r="AI61" s="296"/>
      <c r="AJ61" s="321"/>
      <c r="AK61" s="321"/>
      <c r="AL61" s="321"/>
    </row>
    <row r="62" spans="1:38" x14ac:dyDescent="0.2">
      <c r="A62" s="323" t="s">
        <v>683</v>
      </c>
      <c r="B62" s="323">
        <v>1</v>
      </c>
      <c r="C62" s="321"/>
      <c r="D62" s="321"/>
      <c r="E62" s="321"/>
      <c r="F62" s="306">
        <f t="shared" si="15"/>
        <v>0</v>
      </c>
      <c r="G62" s="305">
        <f>IF($A$39='4. LISTAS'!$C$35,IF(V62="sim",AD62/(1-AG62),AD62/(1-AG62-(H62*(1+J62)))),IF($A$39='4. LISTAS'!$C$36,(AD62/(1-AG62-(H62*(1+J62)))),IF($A$39='4. LISTAS'!$C$37,(AB62/(1-AC62-AH62)),"Erro")))</f>
        <v>0</v>
      </c>
      <c r="H62" s="320">
        <f>IF(AND($A$39='4. LISTAS'!$C$35,'Fornec. TAGNA'!U62="Sim"),0,IF(OR($A$39='4. LISTAS'!$C$35, $A$39='4. LISTAS'!$C$36),(VLOOKUP('1.DASHBOARD'!$B$8,'4. LISTAS'!$F$2:$G$11,2,FALSE)),0))</f>
        <v>0</v>
      </c>
      <c r="I62" s="305">
        <f t="shared" si="12"/>
        <v>0</v>
      </c>
      <c r="J62" s="319">
        <f>VLOOKUP($A$39,'4. LISTAS'!$C$35:$F$37,4,0)</f>
        <v>0</v>
      </c>
      <c r="K62" s="305">
        <f t="shared" si="13"/>
        <v>0</v>
      </c>
      <c r="L62" s="305">
        <f t="shared" si="14"/>
        <v>0</v>
      </c>
      <c r="M62" s="323"/>
      <c r="N62" s="296"/>
      <c r="O62" s="306"/>
      <c r="P62" s="306"/>
      <c r="Q62" s="320">
        <v>0.04</v>
      </c>
      <c r="R62" s="320">
        <v>0.15</v>
      </c>
      <c r="S62" s="320">
        <v>0</v>
      </c>
      <c r="T62" s="305"/>
      <c r="U62" s="316" t="str">
        <f t="shared" si="16"/>
        <v>Não</v>
      </c>
      <c r="V62" s="316" t="s">
        <v>454</v>
      </c>
      <c r="W62" s="296"/>
      <c r="X62" s="312">
        <f t="shared" si="17"/>
        <v>0</v>
      </c>
      <c r="Y62" s="312">
        <f t="shared" si="18"/>
        <v>0</v>
      </c>
      <c r="Z62" s="312">
        <f t="shared" si="19"/>
        <v>0</v>
      </c>
      <c r="AA62" s="294">
        <f>IF($A$39='4. LISTAS'!$C$35,(P62*B62+T62+Y62+Z62),IF($A$39='4. LISTAS'!$C$36,P62*B62+Y62,IF($A$39='4. LISTAS'!$C$37,P62*B62,"Erro")))</f>
        <v>0</v>
      </c>
      <c r="AB62" s="294">
        <f>IF($A$39='4. LISTAS'!$C$35,IF(V62="sim",AA62,AA62-X62),IF($A$39='4. LISTAS'!$C$36,IF(V62="Sim",AA62-X62,AA62-X62-Y62),IF($A$39='4. LISTAS'!$C$37,AA62,"erro")))</f>
        <v>0</v>
      </c>
      <c r="AC62" s="313">
        <f t="shared" si="23"/>
        <v>0.30349999999999999</v>
      </c>
      <c r="AD62" s="294">
        <f t="shared" si="20"/>
        <v>0</v>
      </c>
      <c r="AE62" s="312">
        <f t="shared" si="21"/>
        <v>0</v>
      </c>
      <c r="AF62" s="312">
        <f t="shared" si="22"/>
        <v>0</v>
      </c>
      <c r="AG62" s="311">
        <f>'4. LISTAS'!$M$6</f>
        <v>5.9299999999999999E-2</v>
      </c>
      <c r="AH62" s="310">
        <f>'4. LISTAS'!$M$5</f>
        <v>0.17</v>
      </c>
      <c r="AI62" s="296"/>
      <c r="AJ62" s="321"/>
      <c r="AK62" s="321"/>
      <c r="AL62" s="321"/>
    </row>
    <row r="63" spans="1:38" x14ac:dyDescent="0.2">
      <c r="A63" s="323" t="s">
        <v>682</v>
      </c>
      <c r="B63" s="322">
        <f>B32</f>
        <v>0</v>
      </c>
      <c r="C63" s="321"/>
      <c r="D63" s="321" t="str">
        <f>D32</f>
        <v>Gestão + Compras</v>
      </c>
      <c r="E63" s="321"/>
      <c r="F63" s="306">
        <f>IF(B63&lt;&gt;0,G63/B63,0)</f>
        <v>0</v>
      </c>
      <c r="G63" s="305">
        <f>IF($A$39='4. LISTAS'!$C$35,IF(V63="sim",AD63/(1-AG63),AD63/(1-AG63-(H63*(1+J63)))),IF($A$39='4. LISTAS'!$C$36,(AD63/(1-AG63-(H63*(1+J63)))),IF($A$39='4. LISTAS'!$C$37,(AB63/(1-AC63-AH63)),"Erro")))</f>
        <v>0</v>
      </c>
      <c r="H63" s="320">
        <f>IF(AND($A$39='4. LISTAS'!$C$35,'Fornec. TAGNA'!U63="Sim"),0,IF(OR($A$39='4. LISTAS'!$C$35, $A$39='4. LISTAS'!$C$36),(VLOOKUP('1.DASHBOARD'!$B$8,'4. LISTAS'!$F$2:$G$11,2,FALSE)),0))</f>
        <v>0</v>
      </c>
      <c r="I63" s="305">
        <f t="shared" si="12"/>
        <v>0</v>
      </c>
      <c r="J63" s="319">
        <f>VLOOKUP($A$39,'4. LISTAS'!$C$35:$F$37,4,0)</f>
        <v>0</v>
      </c>
      <c r="K63" s="305">
        <f t="shared" si="13"/>
        <v>0</v>
      </c>
      <c r="L63" s="305">
        <f t="shared" si="14"/>
        <v>0</v>
      </c>
      <c r="M63" s="323"/>
      <c r="N63" s="296"/>
      <c r="O63" s="306"/>
      <c r="P63" s="306">
        <f t="shared" ref="P63:S66" si="24">P32</f>
        <v>355.22537921211438</v>
      </c>
      <c r="Q63" s="306">
        <f t="shared" si="24"/>
        <v>0</v>
      </c>
      <c r="R63" s="306">
        <f t="shared" si="24"/>
        <v>0</v>
      </c>
      <c r="S63" s="306">
        <f t="shared" si="24"/>
        <v>0</v>
      </c>
      <c r="T63" s="305"/>
      <c r="U63" s="316" t="str">
        <f t="shared" si="16"/>
        <v>Não</v>
      </c>
      <c r="V63" s="316" t="s">
        <v>454</v>
      </c>
      <c r="W63" s="296"/>
      <c r="X63" s="312">
        <f t="shared" si="17"/>
        <v>0</v>
      </c>
      <c r="Y63" s="312">
        <f t="shared" si="18"/>
        <v>0</v>
      </c>
      <c r="Z63" s="312">
        <f t="shared" si="19"/>
        <v>0</v>
      </c>
      <c r="AA63" s="294">
        <f>IF($A$39='4. LISTAS'!$C$35,(P63*B63+T63+Y63+Z63),IF($A$39='4. LISTAS'!$C$36,P63*B63+Y63,IF($A$39='4. LISTAS'!$C$37,P63*B63,"Erro")))</f>
        <v>0</v>
      </c>
      <c r="AB63" s="294">
        <f>IF($A$39='4. LISTAS'!$C$35,IF(V63="sim",AA63,AA63-X63),IF($A$39='4. LISTAS'!$C$36,IF(V63="Sim",AA63-X63,AA63-X63-Y63),IF($A$39='4. LISTAS'!$C$37,AA63,"erro")))</f>
        <v>0</v>
      </c>
      <c r="AC63" s="313">
        <f>'1.DASHBOARD'!$B$11</f>
        <v>0.25</v>
      </c>
      <c r="AD63" s="294">
        <f t="shared" si="20"/>
        <v>0</v>
      </c>
      <c r="AE63" s="312">
        <f t="shared" si="21"/>
        <v>0</v>
      </c>
      <c r="AF63" s="312">
        <f t="shared" si="22"/>
        <v>0</v>
      </c>
      <c r="AG63" s="311">
        <f>'4. LISTAS'!$M$6</f>
        <v>5.9299999999999999E-2</v>
      </c>
      <c r="AH63" s="310">
        <f>'4. LISTAS'!$M$5</f>
        <v>0.17</v>
      </c>
      <c r="AI63" s="296"/>
      <c r="AJ63" s="321"/>
      <c r="AK63" s="321"/>
      <c r="AL63" s="321"/>
    </row>
    <row r="64" spans="1:38" x14ac:dyDescent="0.2">
      <c r="A64" s="323" t="s">
        <v>681</v>
      </c>
      <c r="B64" s="322">
        <f>B33</f>
        <v>0</v>
      </c>
      <c r="C64" s="321"/>
      <c r="D64" s="321" t="str">
        <f>D33</f>
        <v>Projeto</v>
      </c>
      <c r="E64" s="321"/>
      <c r="F64" s="306">
        <f>IF(B63&lt;&gt;0,G64/B64,0)</f>
        <v>0</v>
      </c>
      <c r="G64" s="305">
        <f>IF($A$39='4. LISTAS'!$C$35,IF(V64="sim",AD64/(1-AG64),AD64/(1-AG64-(H64*(1+J64)))),IF($A$39='4. LISTAS'!$C$36,(AD64/(1-AG64-(H64*(1+J64)))),IF($A$39='4. LISTAS'!$C$37,(AB64/(1-AC64-AH64)),"Erro")))</f>
        <v>0</v>
      </c>
      <c r="H64" s="320">
        <f>IF(AND($A$39='4. LISTAS'!$C$35,'Fornec. TAGNA'!U64="Sim"),0,IF(OR($A$39='4. LISTAS'!$C$35, $A$39='4. LISTAS'!$C$36),(VLOOKUP('1.DASHBOARD'!$B$8,'4. LISTAS'!$F$2:$G$11,2,FALSE)),0))</f>
        <v>0</v>
      </c>
      <c r="I64" s="305">
        <f t="shared" si="12"/>
        <v>0</v>
      </c>
      <c r="J64" s="319">
        <f>VLOOKUP($A$39,'4. LISTAS'!$C$35:$F$37,4,0)</f>
        <v>0</v>
      </c>
      <c r="K64" s="305">
        <f t="shared" si="13"/>
        <v>0</v>
      </c>
      <c r="L64" s="305">
        <f t="shared" si="14"/>
        <v>0</v>
      </c>
      <c r="M64" s="323"/>
      <c r="N64" s="296"/>
      <c r="O64" s="306"/>
      <c r="P64" s="306">
        <f t="shared" si="24"/>
        <v>37.149026125714286</v>
      </c>
      <c r="Q64" s="306">
        <f t="shared" si="24"/>
        <v>0</v>
      </c>
      <c r="R64" s="306">
        <f t="shared" si="24"/>
        <v>0</v>
      </c>
      <c r="S64" s="306">
        <f t="shared" si="24"/>
        <v>0</v>
      </c>
      <c r="T64" s="305"/>
      <c r="U64" s="316" t="str">
        <f t="shared" si="16"/>
        <v>Não</v>
      </c>
      <c r="V64" s="316" t="s">
        <v>454</v>
      </c>
      <c r="W64" s="296"/>
      <c r="X64" s="312">
        <f t="shared" si="17"/>
        <v>0</v>
      </c>
      <c r="Y64" s="312">
        <f t="shared" si="18"/>
        <v>0</v>
      </c>
      <c r="Z64" s="312">
        <f t="shared" si="19"/>
        <v>0</v>
      </c>
      <c r="AA64" s="294">
        <f>IF($A$39='4. LISTAS'!$C$35,(P64*B64+T64+Y64+Z64),IF($A$39='4. LISTAS'!$C$36,P64*B64+Y64,IF($A$39='4. LISTAS'!$C$37,P64*B64,"Erro")))</f>
        <v>0</v>
      </c>
      <c r="AB64" s="294">
        <f>IF($A$39='4. LISTAS'!$C$35,IF(V64="sim",AA64,AA64-X64),IF($A$39='4. LISTAS'!$C$36,IF(V64="Sim",AA64-X64,AA64-X64-Y64),IF($A$39='4. LISTAS'!$C$37,AA64,"erro")))</f>
        <v>0</v>
      </c>
      <c r="AC64" s="313">
        <f>'1.DASHBOARD'!$B$11</f>
        <v>0.25</v>
      </c>
      <c r="AD64" s="294">
        <f t="shared" si="20"/>
        <v>0</v>
      </c>
      <c r="AE64" s="312">
        <f t="shared" si="21"/>
        <v>0</v>
      </c>
      <c r="AF64" s="312">
        <f t="shared" si="22"/>
        <v>0</v>
      </c>
      <c r="AG64" s="311">
        <f>'4. LISTAS'!$M$6</f>
        <v>5.9299999999999999E-2</v>
      </c>
      <c r="AH64" s="310">
        <f>'4. LISTAS'!$M$5</f>
        <v>0.17</v>
      </c>
      <c r="AI64" s="296"/>
      <c r="AJ64" s="324"/>
      <c r="AK64" s="324"/>
      <c r="AL64" s="324"/>
    </row>
    <row r="65" spans="1:38" x14ac:dyDescent="0.2">
      <c r="A65" s="323" t="s">
        <v>680</v>
      </c>
      <c r="B65" s="322">
        <f>B34</f>
        <v>0</v>
      </c>
      <c r="C65" s="321"/>
      <c r="D65" s="321" t="str">
        <f>D34</f>
        <v>Testes</v>
      </c>
      <c r="E65" s="321"/>
      <c r="F65" s="306">
        <f>IF(B63&lt;&gt;0,G65/B65,0)</f>
        <v>0</v>
      </c>
      <c r="G65" s="305">
        <f>IF($A$39='4. LISTAS'!$C$35,IF(V65="sim",AD65/(1-AG65),AD65/(1-AG65-(H65*(1+J65)))),IF($A$39='4. LISTAS'!$C$36,(AD65/(1-AG65-(H65*(1+J65)))),IF($A$39='4. LISTAS'!$C$37,(AB65/(1-AC65-AH65)),"Erro")))</f>
        <v>0</v>
      </c>
      <c r="H65" s="320">
        <f>IF(AND($A$39='4. LISTAS'!$C$35,'Fornec. TAGNA'!U65="Sim"),0,IF(OR($A$39='4. LISTAS'!$C$35, $A$39='4. LISTAS'!$C$36),(VLOOKUP('1.DASHBOARD'!$B$8,'4. LISTAS'!$F$2:$G$11,2,FALSE)),0))</f>
        <v>0</v>
      </c>
      <c r="I65" s="305">
        <f t="shared" si="12"/>
        <v>0</v>
      </c>
      <c r="J65" s="319">
        <f>VLOOKUP($A$39,'4. LISTAS'!$C$35:$F$37,4,0)</f>
        <v>0</v>
      </c>
      <c r="K65" s="305">
        <f t="shared" si="13"/>
        <v>0</v>
      </c>
      <c r="L65" s="305">
        <f t="shared" si="14"/>
        <v>0</v>
      </c>
      <c r="M65" s="323"/>
      <c r="N65" s="296"/>
      <c r="O65" s="306"/>
      <c r="P65" s="306">
        <f t="shared" si="24"/>
        <v>129.56768445553286</v>
      </c>
      <c r="Q65" s="306">
        <f t="shared" si="24"/>
        <v>0</v>
      </c>
      <c r="R65" s="306">
        <f t="shared" si="24"/>
        <v>0</v>
      </c>
      <c r="S65" s="306">
        <f t="shared" si="24"/>
        <v>0</v>
      </c>
      <c r="T65" s="305"/>
      <c r="U65" s="316" t="str">
        <f t="shared" si="16"/>
        <v>Não</v>
      </c>
      <c r="V65" s="316" t="s">
        <v>454</v>
      </c>
      <c r="W65" s="296"/>
      <c r="X65" s="312">
        <f t="shared" si="17"/>
        <v>0</v>
      </c>
      <c r="Y65" s="312">
        <f t="shared" si="18"/>
        <v>0</v>
      </c>
      <c r="Z65" s="312">
        <f t="shared" si="19"/>
        <v>0</v>
      </c>
      <c r="AA65" s="294">
        <f>IF($A$39='4. LISTAS'!$C$35,(P65*B65+T65+Y65+Z65),IF($A$39='4. LISTAS'!$C$36,P65*B65+Y65,IF($A$39='4. LISTAS'!$C$37,P65*B65,"Erro")))</f>
        <v>0</v>
      </c>
      <c r="AB65" s="294">
        <f>IF($A$39='4. LISTAS'!$C$35,IF(V65="sim",AA65,AA65-X65),IF($A$39='4. LISTAS'!$C$36,IF(V65="Sim",AA65-X65,AA65-X65-Y65),IF($A$39='4. LISTAS'!$C$37,AA65,"erro")))</f>
        <v>0</v>
      </c>
      <c r="AC65" s="313">
        <f>'1.DASHBOARD'!$B$11</f>
        <v>0.25</v>
      </c>
      <c r="AD65" s="294">
        <f t="shared" si="20"/>
        <v>0</v>
      </c>
      <c r="AE65" s="312">
        <f t="shared" si="21"/>
        <v>0</v>
      </c>
      <c r="AF65" s="312">
        <f t="shared" si="22"/>
        <v>0</v>
      </c>
      <c r="AG65" s="311">
        <f>'4. LISTAS'!$M$6</f>
        <v>5.9299999999999999E-2</v>
      </c>
      <c r="AH65" s="310">
        <f>'4. LISTAS'!$M$5</f>
        <v>0.17</v>
      </c>
      <c r="AI65" s="296"/>
      <c r="AJ65" s="321"/>
      <c r="AK65" s="321"/>
      <c r="AL65" s="321"/>
    </row>
    <row r="66" spans="1:38" x14ac:dyDescent="0.2">
      <c r="A66" s="323" t="s">
        <v>679</v>
      </c>
      <c r="B66" s="322">
        <f>B35</f>
        <v>0</v>
      </c>
      <c r="C66" s="321"/>
      <c r="D66" s="321" t="str">
        <f>D35</f>
        <v>Frete</v>
      </c>
      <c r="E66" s="321"/>
      <c r="F66" s="306">
        <f>IF(B63&lt;&gt;0,G66/B66,0)</f>
        <v>0</v>
      </c>
      <c r="G66" s="305">
        <f>IF($A$39='4. LISTAS'!$C$35,IF(V66="sim",AD66/(1-AG66),AD66/(1-AG66-(H66*(1+J66)))),IF($A$39='4. LISTAS'!$C$36,(AD66/(1-AG66-(H66*(1+J66)))),IF($A$39='4. LISTAS'!$C$37,(AB66/(1-AC66-AH66)),"Erro")))</f>
        <v>0</v>
      </c>
      <c r="H66" s="320">
        <f>IF(AND($A$39='4. LISTAS'!$C$35,'Fornec. TAGNA'!U66="Sim"),0,IF(OR($A$39='4. LISTAS'!$C$35, $A$39='4. LISTAS'!$C$36),(VLOOKUP('1.DASHBOARD'!$B$8,'4. LISTAS'!$F$2:$G$11,2,FALSE)),0))</f>
        <v>0</v>
      </c>
      <c r="I66" s="305">
        <f t="shared" si="12"/>
        <v>0</v>
      </c>
      <c r="J66" s="319">
        <f>VLOOKUP($A$39,'4. LISTAS'!$C$35:$F$37,4,0)</f>
        <v>0</v>
      </c>
      <c r="K66" s="305">
        <f t="shared" si="13"/>
        <v>0</v>
      </c>
      <c r="L66" s="305">
        <f t="shared" si="14"/>
        <v>0</v>
      </c>
      <c r="M66" s="323"/>
      <c r="N66" s="296"/>
      <c r="O66" s="306"/>
      <c r="P66" s="306">
        <f t="shared" si="24"/>
        <v>300</v>
      </c>
      <c r="Q66" s="306">
        <f t="shared" si="24"/>
        <v>0</v>
      </c>
      <c r="R66" s="306">
        <f t="shared" si="24"/>
        <v>0</v>
      </c>
      <c r="S66" s="306">
        <f t="shared" si="24"/>
        <v>0</v>
      </c>
      <c r="T66" s="305"/>
      <c r="U66" s="316" t="str">
        <f t="shared" si="16"/>
        <v>Não</v>
      </c>
      <c r="V66" s="316" t="s">
        <v>454</v>
      </c>
      <c r="W66" s="296"/>
      <c r="X66" s="312">
        <f t="shared" si="17"/>
        <v>0</v>
      </c>
      <c r="Y66" s="312">
        <f t="shared" si="18"/>
        <v>0</v>
      </c>
      <c r="Z66" s="312">
        <f t="shared" si="19"/>
        <v>0</v>
      </c>
      <c r="AA66" s="294">
        <f>IF($A$39='4. LISTAS'!$C$35,(P66*B66+T66+Y66+Z66),IF($A$39='4. LISTAS'!$C$36,P66*B66+Y66,IF($A$39='4. LISTAS'!$C$37,P66*B66,"Erro")))</f>
        <v>0</v>
      </c>
      <c r="AB66" s="294">
        <f>IF($A$39='4. LISTAS'!$C$35,IF(V66="sim",AA66,AA66-X66),IF($A$39='4. LISTAS'!$C$36,IF(V66="Sim",AA66-X66,AA66-X66-Y66),IF($A$39='4. LISTAS'!$C$37,AA66,"erro")))</f>
        <v>0</v>
      </c>
      <c r="AC66" s="313"/>
      <c r="AD66" s="294">
        <f t="shared" si="20"/>
        <v>0</v>
      </c>
      <c r="AE66" s="312">
        <f t="shared" si="21"/>
        <v>0</v>
      </c>
      <c r="AF66" s="312">
        <f t="shared" si="22"/>
        <v>0</v>
      </c>
      <c r="AG66" s="311">
        <f>'4. LISTAS'!$M$6</f>
        <v>5.9299999999999999E-2</v>
      </c>
      <c r="AH66" s="310">
        <f>'4. LISTAS'!$M$5</f>
        <v>0.17</v>
      </c>
      <c r="AI66" s="296"/>
      <c r="AJ66" s="321"/>
      <c r="AK66" s="321"/>
      <c r="AL66" s="321"/>
    </row>
    <row r="67" spans="1:38" x14ac:dyDescent="0.2">
      <c r="A67" s="288" t="s">
        <v>453</v>
      </c>
      <c r="B67" s="288"/>
      <c r="C67" s="286"/>
      <c r="D67" s="287"/>
      <c r="E67" s="286"/>
      <c r="F67" s="285"/>
      <c r="G67" s="282">
        <f>SUM(G43:G66)</f>
        <v>0</v>
      </c>
      <c r="H67" s="284" t="s">
        <v>319</v>
      </c>
      <c r="I67" s="282">
        <f>SUBTOTAL(9,I43:I66)</f>
        <v>0</v>
      </c>
      <c r="J67" s="283" t="s">
        <v>319</v>
      </c>
      <c r="K67" s="282">
        <f>SUM(K43:K66)</f>
        <v>0</v>
      </c>
      <c r="L67" s="282">
        <f>SUM(L43:L66)</f>
        <v>0</v>
      </c>
      <c r="M67" s="281"/>
      <c r="N67" s="327"/>
      <c r="O67" s="280"/>
      <c r="P67" s="280"/>
      <c r="Q67" s="277"/>
      <c r="R67" s="277"/>
      <c r="S67" s="277"/>
      <c r="T67" s="278"/>
      <c r="U67" s="277"/>
      <c r="V67" s="277"/>
      <c r="W67" s="327"/>
      <c r="X67" s="278">
        <f t="shared" si="17"/>
        <v>0</v>
      </c>
      <c r="Y67" s="278">
        <f t="shared" si="18"/>
        <v>0</v>
      </c>
      <c r="Z67" s="278">
        <f t="shared" si="19"/>
        <v>0</v>
      </c>
      <c r="AA67" s="277"/>
      <c r="AB67" s="277"/>
      <c r="AC67" s="277"/>
      <c r="AD67" s="277"/>
      <c r="AE67" s="277"/>
      <c r="AF67" s="277"/>
      <c r="AG67" s="277"/>
      <c r="AH67" s="277"/>
      <c r="AI67" s="327"/>
      <c r="AJ67" s="353"/>
      <c r="AK67" s="353"/>
      <c r="AL67" s="353"/>
    </row>
    <row r="68" spans="1:38" x14ac:dyDescent="0.2">
      <c r="G68" s="352"/>
      <c r="N68" s="327"/>
      <c r="W68" s="327"/>
      <c r="AI68" s="327"/>
    </row>
    <row r="69" spans="1:38" ht="15" customHeight="1" x14ac:dyDescent="0.2">
      <c r="B69" s="350"/>
      <c r="D69" s="348" t="s">
        <v>508</v>
      </c>
      <c r="E69" s="348"/>
      <c r="F69" s="347"/>
      <c r="G69" s="347"/>
      <c r="H69" s="347"/>
      <c r="I69" s="347"/>
      <c r="J69" s="347"/>
      <c r="K69" s="347"/>
      <c r="L69" s="347"/>
      <c r="M69" s="346"/>
      <c r="N69" s="327"/>
      <c r="O69" s="345"/>
      <c r="P69" s="345" t="s">
        <v>511</v>
      </c>
      <c r="Q69" s="345"/>
      <c r="R69" s="345"/>
      <c r="S69" s="345"/>
      <c r="T69" s="344"/>
      <c r="U69" s="345"/>
      <c r="V69" s="345"/>
      <c r="W69" s="327"/>
      <c r="X69" s="344" t="s">
        <v>510</v>
      </c>
      <c r="Y69" s="344"/>
      <c r="Z69" s="344"/>
      <c r="AA69" s="344"/>
      <c r="AB69" s="344"/>
      <c r="AC69" s="344"/>
      <c r="AD69" s="344"/>
      <c r="AE69" s="344"/>
      <c r="AF69" s="344"/>
      <c r="AG69" s="344"/>
      <c r="AH69" s="344"/>
      <c r="AI69" s="327"/>
      <c r="AJ69" s="349"/>
      <c r="AK69" s="349"/>
      <c r="AL69" s="349"/>
    </row>
    <row r="70" spans="1:38" x14ac:dyDescent="0.2">
      <c r="A70" s="698" t="s">
        <v>509</v>
      </c>
      <c r="B70" s="698"/>
      <c r="C70" s="698"/>
      <c r="D70" s="348" t="s">
        <v>508</v>
      </c>
      <c r="E70" s="348"/>
      <c r="F70" s="347"/>
      <c r="G70" s="347"/>
      <c r="H70" s="347"/>
      <c r="I70" s="347"/>
      <c r="J70" s="347"/>
      <c r="K70" s="347"/>
      <c r="L70" s="347"/>
      <c r="M70" s="346"/>
      <c r="N70" s="327"/>
      <c r="O70" s="345"/>
      <c r="P70" s="345"/>
      <c r="Q70" s="345"/>
      <c r="R70" s="345"/>
      <c r="S70" s="345"/>
      <c r="T70" s="344"/>
      <c r="U70" s="345"/>
      <c r="V70" s="345"/>
      <c r="W70" s="327"/>
      <c r="X70" s="344"/>
      <c r="Y70" s="344"/>
      <c r="Z70" s="344"/>
      <c r="AA70" s="344"/>
      <c r="AB70" s="344"/>
      <c r="AC70" s="344"/>
      <c r="AD70" s="344"/>
      <c r="AE70" s="344"/>
      <c r="AF70" s="344"/>
      <c r="AG70" s="344"/>
      <c r="AH70" s="344"/>
      <c r="AI70" s="327"/>
      <c r="AJ70" s="343" t="s">
        <v>507</v>
      </c>
      <c r="AK70" s="343" t="s">
        <v>506</v>
      </c>
      <c r="AL70" s="343" t="s">
        <v>505</v>
      </c>
    </row>
    <row r="71" spans="1:38" ht="15" customHeight="1" x14ac:dyDescent="0.2">
      <c r="A71" s="699" t="s">
        <v>321</v>
      </c>
      <c r="B71" s="699" t="s">
        <v>504</v>
      </c>
      <c r="C71" s="700" t="s">
        <v>320</v>
      </c>
      <c r="D71" s="700" t="s">
        <v>503</v>
      </c>
      <c r="E71" s="700" t="s">
        <v>502</v>
      </c>
      <c r="F71" s="701" t="s">
        <v>501</v>
      </c>
      <c r="G71" s="701" t="s">
        <v>500</v>
      </c>
      <c r="H71" s="701" t="s">
        <v>499</v>
      </c>
      <c r="I71" s="701"/>
      <c r="J71" s="701" t="s">
        <v>490</v>
      </c>
      <c r="K71" s="701"/>
      <c r="L71" s="701" t="s">
        <v>498</v>
      </c>
      <c r="M71" s="696" t="s">
        <v>497</v>
      </c>
      <c r="N71" s="327"/>
      <c r="O71" s="693" t="s">
        <v>496</v>
      </c>
      <c r="P71" s="694" t="s">
        <v>495</v>
      </c>
      <c r="Q71" s="342" t="s">
        <v>491</v>
      </c>
      <c r="R71" s="339" t="s">
        <v>490</v>
      </c>
      <c r="S71" s="339" t="s">
        <v>489</v>
      </c>
      <c r="T71" s="693" t="s">
        <v>494</v>
      </c>
      <c r="U71" s="691" t="s">
        <v>493</v>
      </c>
      <c r="V71" s="702" t="s">
        <v>492</v>
      </c>
      <c r="W71" s="327"/>
      <c r="X71" s="341" t="s">
        <v>491</v>
      </c>
      <c r="Y71" s="339" t="s">
        <v>490</v>
      </c>
      <c r="Z71" s="339" t="s">
        <v>489</v>
      </c>
      <c r="AA71" s="693" t="s">
        <v>488</v>
      </c>
      <c r="AB71" s="693" t="s">
        <v>487</v>
      </c>
      <c r="AC71" s="691" t="s">
        <v>486</v>
      </c>
      <c r="AD71" s="691" t="s">
        <v>485</v>
      </c>
      <c r="AE71" s="691" t="s">
        <v>484</v>
      </c>
      <c r="AF71" s="691" t="s">
        <v>483</v>
      </c>
      <c r="AG71" s="691" t="s">
        <v>482</v>
      </c>
      <c r="AH71" s="691" t="s">
        <v>481</v>
      </c>
      <c r="AI71" s="327"/>
      <c r="AJ71" s="693"/>
      <c r="AK71" s="693"/>
      <c r="AL71" s="693"/>
    </row>
    <row r="72" spans="1:38" ht="18" customHeight="1" x14ac:dyDescent="0.2">
      <c r="A72" s="699"/>
      <c r="B72" s="699"/>
      <c r="C72" s="700"/>
      <c r="D72" s="700"/>
      <c r="E72" s="700"/>
      <c r="F72" s="701"/>
      <c r="G72" s="701"/>
      <c r="H72" s="339" t="s">
        <v>480</v>
      </c>
      <c r="I72" s="339" t="s">
        <v>479</v>
      </c>
      <c r="J72" s="339" t="s">
        <v>480</v>
      </c>
      <c r="K72" s="339" t="s">
        <v>479</v>
      </c>
      <c r="L72" s="701"/>
      <c r="M72" s="697"/>
      <c r="N72" s="327"/>
      <c r="O72" s="693"/>
      <c r="P72" s="695"/>
      <c r="Q72" s="339" t="s">
        <v>480</v>
      </c>
      <c r="R72" s="339" t="s">
        <v>480</v>
      </c>
      <c r="S72" s="339" t="s">
        <v>480</v>
      </c>
      <c r="T72" s="693"/>
      <c r="U72" s="692"/>
      <c r="V72" s="703"/>
      <c r="W72" s="327"/>
      <c r="X72" s="340" t="s">
        <v>479</v>
      </c>
      <c r="Y72" s="339" t="s">
        <v>479</v>
      </c>
      <c r="Z72" s="339" t="s">
        <v>479</v>
      </c>
      <c r="AA72" s="693"/>
      <c r="AB72" s="693"/>
      <c r="AC72" s="692"/>
      <c r="AD72" s="692"/>
      <c r="AE72" s="692"/>
      <c r="AF72" s="692"/>
      <c r="AG72" s="692"/>
      <c r="AH72" s="692"/>
      <c r="AI72" s="327"/>
      <c r="AJ72" s="693"/>
      <c r="AK72" s="693"/>
      <c r="AL72" s="693"/>
    </row>
    <row r="73" spans="1:38" ht="18" customHeight="1" x14ac:dyDescent="0.2">
      <c r="A73" s="338">
        <v>3</v>
      </c>
      <c r="B73" s="338">
        <v>1</v>
      </c>
      <c r="C73" s="324"/>
      <c r="D73" s="324"/>
      <c r="E73" s="324"/>
      <c r="F73" s="337">
        <f>G98</f>
        <v>0</v>
      </c>
      <c r="G73" s="337">
        <f>F73*B73</f>
        <v>0</v>
      </c>
      <c r="H73" s="336">
        <f>IF(OR($A$70='4. LISTAS'!$C$35, $A$70='4. LISTAS'!$C$36),(VLOOKUP('1.DASHBOARD'!$B$8,'4. LISTAS'!$F$2:$G$11,2,FALSE)),0)</f>
        <v>0.18</v>
      </c>
      <c r="I73" s="334">
        <f t="shared" ref="I73:I97" si="25">H73*(G73+K73)</f>
        <v>0</v>
      </c>
      <c r="J73" s="335">
        <f>VLOOKUP($A$70,'4. LISTAS'!$C$35:$F$37,4,0)</f>
        <v>0.1125</v>
      </c>
      <c r="K73" s="334">
        <f t="shared" ref="K73:K97" si="26">J73*G73</f>
        <v>0</v>
      </c>
      <c r="L73" s="334">
        <f t="shared" ref="L73:L97" si="27">G73+K73</f>
        <v>0</v>
      </c>
      <c r="M73" s="333"/>
      <c r="N73" s="327"/>
      <c r="O73" s="332"/>
      <c r="P73" s="332"/>
      <c r="Q73" s="331"/>
      <c r="R73" s="331"/>
      <c r="S73" s="331"/>
      <c r="T73" s="328"/>
      <c r="U73" s="326"/>
      <c r="V73" s="330"/>
      <c r="W73" s="327"/>
      <c r="X73" s="326">
        <f>SUM(X74:X97)</f>
        <v>0</v>
      </c>
      <c r="Y73" s="326">
        <f>SUM(Y74:Y97)</f>
        <v>0</v>
      </c>
      <c r="Z73" s="326">
        <f>SUM(Z74:Z97)</f>
        <v>0</v>
      </c>
      <c r="AA73" s="326">
        <f>SUM(AA74:AA97)</f>
        <v>0</v>
      </c>
      <c r="AB73" s="326">
        <f>SUM(AB74:AB97)</f>
        <v>0</v>
      </c>
      <c r="AC73" s="328"/>
      <c r="AD73" s="328"/>
      <c r="AE73" s="328"/>
      <c r="AF73" s="328"/>
      <c r="AG73" s="329">
        <f>AG74</f>
        <v>5.9299999999999999E-2</v>
      </c>
      <c r="AH73" s="328"/>
      <c r="AI73" s="327"/>
      <c r="AJ73" s="326"/>
      <c r="AK73" s="326"/>
      <c r="AL73" s="326"/>
    </row>
    <row r="74" spans="1:38" x14ac:dyDescent="0.2">
      <c r="A74" s="323" t="s">
        <v>678</v>
      </c>
      <c r="B74" s="323">
        <v>1</v>
      </c>
      <c r="C74" s="321"/>
      <c r="D74" s="321"/>
      <c r="E74" s="321"/>
      <c r="F74" s="306">
        <f t="shared" ref="F74:F93" si="28">G74/B74</f>
        <v>0</v>
      </c>
      <c r="G74" s="305">
        <f>IF($A$70='4. LISTAS'!$C$35,IF(V74="sim",AD74/(1-AG74),AD74/(1-AG74-(H74*(1+J74)))),IF($A$70='4. LISTAS'!$C$36,(AD74/(1-AG74-(H74*(1+J74)))),IF($A$70='4. LISTAS'!$C$37,(AB74/(1-AC74-AH74)),"Erro")))</f>
        <v>0</v>
      </c>
      <c r="H74" s="320">
        <f>IF(AND($A$70='4. LISTAS'!$C$35,'Fornec. TAGNA'!U74="Sim"),0,IF(OR($A$70='4. LISTAS'!$C$35, $A$70='4. LISTAS'!$C$36),(VLOOKUP('1.DASHBOARD'!$B$8,'4. LISTAS'!$F$2:$G$11,2,FALSE)),0))</f>
        <v>0.18</v>
      </c>
      <c r="I74" s="305">
        <f t="shared" si="25"/>
        <v>0</v>
      </c>
      <c r="J74" s="319">
        <f>VLOOKUP($A$70,'4. LISTAS'!$C$35:$F$37,4,0)</f>
        <v>0.1125</v>
      </c>
      <c r="K74" s="305">
        <f t="shared" si="26"/>
        <v>0</v>
      </c>
      <c r="L74" s="305">
        <f t="shared" si="27"/>
        <v>0</v>
      </c>
      <c r="M74" s="318"/>
      <c r="N74" s="296"/>
      <c r="O74" s="317"/>
      <c r="P74" s="317"/>
      <c r="Q74" s="320">
        <v>0.04</v>
      </c>
      <c r="R74" s="320">
        <v>0.15</v>
      </c>
      <c r="S74" s="320">
        <v>0</v>
      </c>
      <c r="T74" s="305"/>
      <c r="U74" s="316" t="str">
        <f t="shared" ref="U74:U97" si="29">IF(T74="","Não","Sim")</f>
        <v>Não</v>
      </c>
      <c r="V74" s="315" t="s">
        <v>454</v>
      </c>
      <c r="W74" s="296"/>
      <c r="X74" s="314">
        <f t="shared" ref="X74:X98" si="30">B74*P74*Q74</f>
        <v>0</v>
      </c>
      <c r="Y74" s="312">
        <f t="shared" ref="Y74:Y98" si="31">B74*P74*R74</f>
        <v>0</v>
      </c>
      <c r="Z74" s="312">
        <f t="shared" ref="Z74:Z98" si="32">B74*P74*S74</f>
        <v>0</v>
      </c>
      <c r="AA74" s="294">
        <f>IF($A$70='4. LISTAS'!$C$35,(P74*B74+T74+Y74+Z74),IF($A$70='4. LISTAS'!$C$36,P74*B74+Y74,IF($A$70='4. LISTAS'!$C$37,P74*B74,"Erro")))</f>
        <v>0</v>
      </c>
      <c r="AB74" s="294">
        <f>IF($A$70='4. LISTAS'!$C$35,IF(V74="sim",AA74,AA74-X74),IF($A$70='4. LISTAS'!$C$36,IF(V74="Sim",AA74-X74,AA74-X74-Y74),IF($A$70='4. LISTAS'!$C$37,AA74,"erro")))</f>
        <v>0</v>
      </c>
      <c r="AC74" s="325">
        <f>'1.DASHBOARD'!$B$14+'1.DASHBOARD'!$B$16</f>
        <v>0.30349999999999999</v>
      </c>
      <c r="AD74" s="294">
        <f t="shared" ref="AD74:AD97" si="33">AB74/(1-AC74)</f>
        <v>0</v>
      </c>
      <c r="AE74" s="312">
        <f t="shared" ref="AE74:AE97" si="34">X74</f>
        <v>0</v>
      </c>
      <c r="AF74" s="312">
        <f t="shared" ref="AF74:AF97" si="35">Y74</f>
        <v>0</v>
      </c>
      <c r="AG74" s="311">
        <f>'4. LISTAS'!$M$6</f>
        <v>5.9299999999999999E-2</v>
      </c>
      <c r="AH74" s="310">
        <f>'4. LISTAS'!$M$5</f>
        <v>0.17</v>
      </c>
      <c r="AI74" s="296"/>
      <c r="AJ74" s="324"/>
      <c r="AK74" s="324"/>
      <c r="AL74" s="324"/>
    </row>
    <row r="75" spans="1:38" x14ac:dyDescent="0.2">
      <c r="A75" s="323" t="s">
        <v>677</v>
      </c>
      <c r="B75" s="323">
        <v>1</v>
      </c>
      <c r="C75" s="321"/>
      <c r="D75" s="321"/>
      <c r="E75" s="321"/>
      <c r="F75" s="306">
        <f t="shared" si="28"/>
        <v>0</v>
      </c>
      <c r="G75" s="305">
        <f>IF($A$70='4. LISTAS'!$C$35,IF(V75="sim",AD75/(1-AG75),AD75/(1-AG75-(H75*(1+J75)))),IF($A$70='4. LISTAS'!$C$36,(AD75/(1-AG75-(H75*(1+J75)))),IF($A$70='4. LISTAS'!$C$37,(AB75/(1-AC75-AH75)),"Erro")))</f>
        <v>0</v>
      </c>
      <c r="H75" s="320">
        <f>IF(AND($A$70='4. LISTAS'!$C$35,'Fornec. TAGNA'!U75="Sim"),0,IF(OR($A$70='4. LISTAS'!$C$35, $A$70='4. LISTAS'!$C$36),(VLOOKUP('1.DASHBOARD'!$B$8,'4. LISTAS'!$F$2:$G$11,2,FALSE)),0))</f>
        <v>0.18</v>
      </c>
      <c r="I75" s="305">
        <f t="shared" si="25"/>
        <v>0</v>
      </c>
      <c r="J75" s="319">
        <f>VLOOKUP($A$70,'4. LISTAS'!$C$35:$F$37,4,0)</f>
        <v>0.1125</v>
      </c>
      <c r="K75" s="305">
        <f t="shared" si="26"/>
        <v>0</v>
      </c>
      <c r="L75" s="305">
        <f t="shared" si="27"/>
        <v>0</v>
      </c>
      <c r="M75" s="318"/>
      <c r="N75" s="296"/>
      <c r="O75" s="317"/>
      <c r="P75" s="317"/>
      <c r="Q75" s="320">
        <v>0.04</v>
      </c>
      <c r="R75" s="320">
        <v>0.15</v>
      </c>
      <c r="S75" s="320">
        <v>0</v>
      </c>
      <c r="T75" s="305"/>
      <c r="U75" s="316" t="str">
        <f t="shared" si="29"/>
        <v>Não</v>
      </c>
      <c r="V75" s="315" t="s">
        <v>454</v>
      </c>
      <c r="W75" s="296"/>
      <c r="X75" s="314">
        <f t="shared" si="30"/>
        <v>0</v>
      </c>
      <c r="Y75" s="312">
        <f t="shared" si="31"/>
        <v>0</v>
      </c>
      <c r="Z75" s="312">
        <f t="shared" si="32"/>
        <v>0</v>
      </c>
      <c r="AA75" s="294">
        <f>IF($A$70='4. LISTAS'!$C$35,(P75*B75+T75+Y75+Z75),IF($A$70='4. LISTAS'!$C$36,P75*B75+Y75,IF($A$70='4. LISTAS'!$C$37,P75*B75,"Erro")))</f>
        <v>0</v>
      </c>
      <c r="AB75" s="294">
        <f>IF($A$70='4. LISTAS'!$C$35,IF(V75="sim",AA75,AA75-X75),IF($A$70='4. LISTAS'!$C$36,IF(V75="Sim",AA75-X75,AA75-X75-Y75),IF($A$70='4. LISTAS'!$C$37,AA75,"erro")))</f>
        <v>0</v>
      </c>
      <c r="AC75" s="313">
        <f t="shared" ref="AC75:AC93" si="36">AC74</f>
        <v>0.30349999999999999</v>
      </c>
      <c r="AD75" s="294">
        <f t="shared" si="33"/>
        <v>0</v>
      </c>
      <c r="AE75" s="312">
        <f t="shared" si="34"/>
        <v>0</v>
      </c>
      <c r="AF75" s="312">
        <f t="shared" si="35"/>
        <v>0</v>
      </c>
      <c r="AG75" s="311">
        <f>'4. LISTAS'!$M$6</f>
        <v>5.9299999999999999E-2</v>
      </c>
      <c r="AH75" s="310">
        <f>'4. LISTAS'!$M$5</f>
        <v>0.17</v>
      </c>
      <c r="AI75" s="296"/>
      <c r="AJ75" s="321"/>
      <c r="AK75" s="321"/>
      <c r="AL75" s="321"/>
    </row>
    <row r="76" spans="1:38" x14ac:dyDescent="0.2">
      <c r="A76" s="323" t="s">
        <v>676</v>
      </c>
      <c r="B76" s="323">
        <v>1</v>
      </c>
      <c r="C76" s="321"/>
      <c r="D76" s="321"/>
      <c r="E76" s="321"/>
      <c r="F76" s="306">
        <f t="shared" si="28"/>
        <v>0</v>
      </c>
      <c r="G76" s="305">
        <f>IF($A$70='4. LISTAS'!$C$35,IF(V76="sim",AD76/(1-AG76),AD76/(1-AG76-(H76*(1+J76)))),IF($A$70='4. LISTAS'!$C$36,(AD76/(1-AG76-(H76*(1+J76)))),IF($A$70='4. LISTAS'!$C$37,(AB76/(1-AC76-AH76)),"Erro")))</f>
        <v>0</v>
      </c>
      <c r="H76" s="320">
        <f>IF(AND($A$70='4. LISTAS'!$C$35,'Fornec. TAGNA'!U76="Sim"),0,IF(OR($A$70='4. LISTAS'!$C$35, $A$70='4. LISTAS'!$C$36),(VLOOKUP('1.DASHBOARD'!$B$8,'4. LISTAS'!$F$2:$G$11,2,FALSE)),0))</f>
        <v>0.18</v>
      </c>
      <c r="I76" s="305">
        <f t="shared" si="25"/>
        <v>0</v>
      </c>
      <c r="J76" s="319">
        <f>VLOOKUP($A$70,'4. LISTAS'!$C$35:$F$37,4,0)</f>
        <v>0.1125</v>
      </c>
      <c r="K76" s="305">
        <f t="shared" si="26"/>
        <v>0</v>
      </c>
      <c r="L76" s="305">
        <f t="shared" si="27"/>
        <v>0</v>
      </c>
      <c r="M76" s="318"/>
      <c r="N76" s="296"/>
      <c r="O76" s="317"/>
      <c r="P76" s="317"/>
      <c r="Q76" s="320">
        <v>0.04</v>
      </c>
      <c r="R76" s="320">
        <v>0.15</v>
      </c>
      <c r="S76" s="320">
        <v>0</v>
      </c>
      <c r="T76" s="305"/>
      <c r="U76" s="316" t="str">
        <f t="shared" si="29"/>
        <v>Não</v>
      </c>
      <c r="V76" s="315" t="s">
        <v>454</v>
      </c>
      <c r="W76" s="296"/>
      <c r="X76" s="314">
        <f t="shared" si="30"/>
        <v>0</v>
      </c>
      <c r="Y76" s="312">
        <f t="shared" si="31"/>
        <v>0</v>
      </c>
      <c r="Z76" s="312">
        <f t="shared" si="32"/>
        <v>0</v>
      </c>
      <c r="AA76" s="294">
        <f>IF($A$70='4. LISTAS'!$C$35,(P76*B76+T76+Y76+Z76),IF($A$70='4. LISTAS'!$C$36,P76*B76+Y76,IF($A$70='4. LISTAS'!$C$37,P76*B76,"Erro")))</f>
        <v>0</v>
      </c>
      <c r="AB76" s="294">
        <f>IF($A$70='4. LISTAS'!$C$35,IF(V76="sim",AA76,AA76-X76),IF($A$70='4. LISTAS'!$C$36,IF(V76="Sim",AA76-X76,AA76-X76-Y76),IF($A$70='4. LISTAS'!$C$37,AA76,"erro")))</f>
        <v>0</v>
      </c>
      <c r="AC76" s="313">
        <f t="shared" si="36"/>
        <v>0.30349999999999999</v>
      </c>
      <c r="AD76" s="294">
        <f t="shared" si="33"/>
        <v>0</v>
      </c>
      <c r="AE76" s="312">
        <f t="shared" si="34"/>
        <v>0</v>
      </c>
      <c r="AF76" s="312">
        <f t="shared" si="35"/>
        <v>0</v>
      </c>
      <c r="AG76" s="311">
        <f>'4. LISTAS'!$M$6</f>
        <v>5.9299999999999999E-2</v>
      </c>
      <c r="AH76" s="310">
        <f>'4. LISTAS'!$M$5</f>
        <v>0.17</v>
      </c>
      <c r="AI76" s="296"/>
      <c r="AJ76" s="321"/>
      <c r="AK76" s="321"/>
      <c r="AL76" s="321"/>
    </row>
    <row r="77" spans="1:38" x14ac:dyDescent="0.2">
      <c r="A77" s="323" t="s">
        <v>675</v>
      </c>
      <c r="B77" s="323">
        <v>1</v>
      </c>
      <c r="C77" s="321"/>
      <c r="D77" s="321"/>
      <c r="E77" s="321"/>
      <c r="F77" s="306">
        <f t="shared" si="28"/>
        <v>0</v>
      </c>
      <c r="G77" s="305">
        <f>IF($A$70='4. LISTAS'!$C$35,IF(V77="sim",AD77/(1-AG77),AD77/(1-AG77-(H77*(1+J77)))),IF($A$70='4. LISTAS'!$C$36,(AD77/(1-AG77-(H77*(1+J77)))),IF($A$70='4. LISTAS'!$C$37,(AB77/(1-AC77-AH77)),"Erro")))</f>
        <v>0</v>
      </c>
      <c r="H77" s="320">
        <f>IF(AND($A$70='4. LISTAS'!$C$35,'Fornec. TAGNA'!U77="Sim"),0,IF(OR($A$70='4. LISTAS'!$C$35, $A$70='4. LISTAS'!$C$36),(VLOOKUP('1.DASHBOARD'!$B$8,'4. LISTAS'!$F$2:$G$11,2,FALSE)),0))</f>
        <v>0.18</v>
      </c>
      <c r="I77" s="305">
        <f t="shared" si="25"/>
        <v>0</v>
      </c>
      <c r="J77" s="319">
        <f>VLOOKUP($A$70,'4. LISTAS'!$C$35:$F$37,4,0)</f>
        <v>0.1125</v>
      </c>
      <c r="K77" s="305">
        <f t="shared" si="26"/>
        <v>0</v>
      </c>
      <c r="L77" s="305">
        <f t="shared" si="27"/>
        <v>0</v>
      </c>
      <c r="M77" s="318"/>
      <c r="N77" s="296"/>
      <c r="O77" s="317"/>
      <c r="P77" s="317"/>
      <c r="Q77" s="320">
        <v>0.04</v>
      </c>
      <c r="R77" s="320">
        <v>0.15</v>
      </c>
      <c r="S77" s="320">
        <v>0</v>
      </c>
      <c r="T77" s="305"/>
      <c r="U77" s="316" t="str">
        <f t="shared" si="29"/>
        <v>Não</v>
      </c>
      <c r="V77" s="315" t="s">
        <v>454</v>
      </c>
      <c r="W77" s="296"/>
      <c r="X77" s="314">
        <f t="shared" si="30"/>
        <v>0</v>
      </c>
      <c r="Y77" s="312">
        <f t="shared" si="31"/>
        <v>0</v>
      </c>
      <c r="Z77" s="312">
        <f t="shared" si="32"/>
        <v>0</v>
      </c>
      <c r="AA77" s="294">
        <f>IF($A$70='4. LISTAS'!$C$35,(P77*B77+T77+Y77+Z77),IF($A$70='4. LISTAS'!$C$36,P77*B77+Y77,IF($A$70='4. LISTAS'!$C$37,P77*B77,"Erro")))</f>
        <v>0</v>
      </c>
      <c r="AB77" s="294">
        <f>IF($A$70='4. LISTAS'!$C$35,IF(V77="sim",AA77,AA77-X77),IF($A$70='4. LISTAS'!$C$36,IF(V77="Sim",AA77-X77,AA77-X77-Y77),IF($A$70='4. LISTAS'!$C$37,AA77,"erro")))</f>
        <v>0</v>
      </c>
      <c r="AC77" s="313">
        <f t="shared" si="36"/>
        <v>0.30349999999999999</v>
      </c>
      <c r="AD77" s="294">
        <f t="shared" si="33"/>
        <v>0</v>
      </c>
      <c r="AE77" s="312">
        <f t="shared" si="34"/>
        <v>0</v>
      </c>
      <c r="AF77" s="312">
        <f t="shared" si="35"/>
        <v>0</v>
      </c>
      <c r="AG77" s="311">
        <f>'4. LISTAS'!$M$6</f>
        <v>5.9299999999999999E-2</v>
      </c>
      <c r="AH77" s="310">
        <f>'4. LISTAS'!$M$5</f>
        <v>0.17</v>
      </c>
      <c r="AI77" s="296"/>
      <c r="AJ77" s="321"/>
      <c r="AK77" s="321"/>
      <c r="AL77" s="321"/>
    </row>
    <row r="78" spans="1:38" x14ac:dyDescent="0.2">
      <c r="A78" s="323" t="s">
        <v>674</v>
      </c>
      <c r="B78" s="323">
        <v>1</v>
      </c>
      <c r="C78" s="321"/>
      <c r="D78" s="321"/>
      <c r="E78" s="321"/>
      <c r="F78" s="306">
        <f t="shared" si="28"/>
        <v>0</v>
      </c>
      <c r="G78" s="305">
        <f>IF($A$70='4. LISTAS'!$C$35,IF(V78="sim",AD78/(1-AG78),AD78/(1-AG78-(H78*(1+J78)))),IF($A$70='4. LISTAS'!$C$36,(AD78/(1-AG78-(H78*(1+J78)))),IF($A$70='4. LISTAS'!$C$37,(AB78/(1-AC78-AH78)),"Erro")))</f>
        <v>0</v>
      </c>
      <c r="H78" s="320">
        <f>IF(AND($A$70='4. LISTAS'!$C$35,'Fornec. TAGNA'!U78="Sim"),0,IF(OR($A$70='4. LISTAS'!$C$35, $A$70='4. LISTAS'!$C$36),(VLOOKUP('1.DASHBOARD'!$B$8,'4. LISTAS'!$F$2:$G$11,2,FALSE)),0))</f>
        <v>0.18</v>
      </c>
      <c r="I78" s="305">
        <f t="shared" si="25"/>
        <v>0</v>
      </c>
      <c r="J78" s="319">
        <f>VLOOKUP($A$70,'4. LISTAS'!$C$35:$F$37,4,0)</f>
        <v>0.1125</v>
      </c>
      <c r="K78" s="305">
        <f t="shared" si="26"/>
        <v>0</v>
      </c>
      <c r="L78" s="305">
        <f t="shared" si="27"/>
        <v>0</v>
      </c>
      <c r="M78" s="318"/>
      <c r="N78" s="296"/>
      <c r="O78" s="317"/>
      <c r="P78" s="317"/>
      <c r="Q78" s="320">
        <v>0.04</v>
      </c>
      <c r="R78" s="320">
        <v>0.15</v>
      </c>
      <c r="S78" s="320">
        <v>0</v>
      </c>
      <c r="T78" s="305"/>
      <c r="U78" s="316" t="str">
        <f t="shared" si="29"/>
        <v>Não</v>
      </c>
      <c r="V78" s="315" t="s">
        <v>454</v>
      </c>
      <c r="W78" s="296"/>
      <c r="X78" s="314">
        <f t="shared" si="30"/>
        <v>0</v>
      </c>
      <c r="Y78" s="312">
        <f t="shared" si="31"/>
        <v>0</v>
      </c>
      <c r="Z78" s="312">
        <f t="shared" si="32"/>
        <v>0</v>
      </c>
      <c r="AA78" s="294">
        <f>IF($A$70='4. LISTAS'!$C$35,(P78*B78+T78+Y78+Z78),IF($A$70='4. LISTAS'!$C$36,P78*B78+Y78,IF($A$70='4. LISTAS'!$C$37,P78*B78,"Erro")))</f>
        <v>0</v>
      </c>
      <c r="AB78" s="294">
        <f>IF($A$70='4. LISTAS'!$C$35,IF(V78="sim",AA78,AA78-X78),IF($A$70='4. LISTAS'!$C$36,IF(V78="Sim",AA78-X78,AA78-X78-Y78),IF($A$70='4. LISTAS'!$C$37,AA78,"erro")))</f>
        <v>0</v>
      </c>
      <c r="AC78" s="313">
        <f t="shared" si="36"/>
        <v>0.30349999999999999</v>
      </c>
      <c r="AD78" s="294">
        <f t="shared" si="33"/>
        <v>0</v>
      </c>
      <c r="AE78" s="312">
        <f t="shared" si="34"/>
        <v>0</v>
      </c>
      <c r="AF78" s="312">
        <f t="shared" si="35"/>
        <v>0</v>
      </c>
      <c r="AG78" s="311">
        <f>'4. LISTAS'!$M$6</f>
        <v>5.9299999999999999E-2</v>
      </c>
      <c r="AH78" s="310">
        <f>'4. LISTAS'!$M$5</f>
        <v>0.17</v>
      </c>
      <c r="AI78" s="296"/>
      <c r="AJ78" s="321"/>
      <c r="AK78" s="321"/>
      <c r="AL78" s="321"/>
    </row>
    <row r="79" spans="1:38" x14ac:dyDescent="0.2">
      <c r="A79" s="323" t="s">
        <v>673</v>
      </c>
      <c r="B79" s="323">
        <v>1</v>
      </c>
      <c r="C79" s="321"/>
      <c r="D79" s="321"/>
      <c r="E79" s="321"/>
      <c r="F79" s="306">
        <f t="shared" si="28"/>
        <v>0</v>
      </c>
      <c r="G79" s="305">
        <f>IF($A$70='4. LISTAS'!$C$35,IF(V79="sim",AD79/(1-AG79),AD79/(1-AG79-(H79*(1+J79)))),IF($A$70='4. LISTAS'!$C$36,(AD79/(1-AG79-(H79*(1+J79)))),IF($A$70='4. LISTAS'!$C$37,(AB79/(1-AC79-AH79)),"Erro")))</f>
        <v>0</v>
      </c>
      <c r="H79" s="320">
        <f>IF(AND($A$70='4. LISTAS'!$C$35,'Fornec. TAGNA'!U79="Sim"),0,IF(OR($A$70='4. LISTAS'!$C$35, $A$70='4. LISTAS'!$C$36),(VLOOKUP('1.DASHBOARD'!$B$8,'4. LISTAS'!$F$2:$G$11,2,FALSE)),0))</f>
        <v>0.18</v>
      </c>
      <c r="I79" s="305">
        <f t="shared" si="25"/>
        <v>0</v>
      </c>
      <c r="J79" s="319">
        <f>VLOOKUP($A$70,'4. LISTAS'!$C$35:$F$37,4,0)</f>
        <v>0.1125</v>
      </c>
      <c r="K79" s="305">
        <f t="shared" si="26"/>
        <v>0</v>
      </c>
      <c r="L79" s="305">
        <f t="shared" si="27"/>
        <v>0</v>
      </c>
      <c r="M79" s="318"/>
      <c r="N79" s="296"/>
      <c r="O79" s="317"/>
      <c r="P79" s="317"/>
      <c r="Q79" s="320">
        <v>0.04</v>
      </c>
      <c r="R79" s="320">
        <v>0.15</v>
      </c>
      <c r="S79" s="320">
        <v>0</v>
      </c>
      <c r="T79" s="305"/>
      <c r="U79" s="316" t="str">
        <f t="shared" si="29"/>
        <v>Não</v>
      </c>
      <c r="V79" s="315" t="s">
        <v>454</v>
      </c>
      <c r="W79" s="296"/>
      <c r="X79" s="314">
        <f t="shared" si="30"/>
        <v>0</v>
      </c>
      <c r="Y79" s="312">
        <f t="shared" si="31"/>
        <v>0</v>
      </c>
      <c r="Z79" s="312">
        <f t="shared" si="32"/>
        <v>0</v>
      </c>
      <c r="AA79" s="294">
        <f>IF($A$70='4. LISTAS'!$C$35,(P79*B79+T79+Y79+Z79),IF($A$70='4. LISTAS'!$C$36,P79*B79+Y79,IF($A$70='4. LISTAS'!$C$37,P79*B79,"Erro")))</f>
        <v>0</v>
      </c>
      <c r="AB79" s="294">
        <f>IF($A$70='4. LISTAS'!$C$35,IF(V79="sim",AA79,AA79-X79),IF($A$70='4. LISTAS'!$C$36,IF(V79="Sim",AA79-X79,AA79-X79-Y79),IF($A$70='4. LISTAS'!$C$37,AA79,"erro")))</f>
        <v>0</v>
      </c>
      <c r="AC79" s="313">
        <f t="shared" si="36"/>
        <v>0.30349999999999999</v>
      </c>
      <c r="AD79" s="294">
        <f t="shared" si="33"/>
        <v>0</v>
      </c>
      <c r="AE79" s="312">
        <f t="shared" si="34"/>
        <v>0</v>
      </c>
      <c r="AF79" s="312">
        <f t="shared" si="35"/>
        <v>0</v>
      </c>
      <c r="AG79" s="311">
        <f>'4. LISTAS'!$M$6</f>
        <v>5.9299999999999999E-2</v>
      </c>
      <c r="AH79" s="310">
        <f>'4. LISTAS'!$M$5</f>
        <v>0.17</v>
      </c>
      <c r="AI79" s="296"/>
      <c r="AJ79" s="321"/>
      <c r="AK79" s="321"/>
      <c r="AL79" s="321"/>
    </row>
    <row r="80" spans="1:38" x14ac:dyDescent="0.2">
      <c r="A80" s="323" t="s">
        <v>672</v>
      </c>
      <c r="B80" s="323">
        <v>1</v>
      </c>
      <c r="C80" s="321"/>
      <c r="D80" s="321"/>
      <c r="E80" s="321"/>
      <c r="F80" s="306">
        <f t="shared" si="28"/>
        <v>0</v>
      </c>
      <c r="G80" s="305">
        <f>IF($A$70='4. LISTAS'!$C$35,IF(V80="sim",AD80/(1-AG80),AD80/(1-AG80-(H80*(1+J80)))),IF($A$70='4. LISTAS'!$C$36,(AD80/(1-AG80-(H80*(1+J80)))),IF($A$70='4. LISTAS'!$C$37,(AB80/(1-AC80-AH80)),"Erro")))</f>
        <v>0</v>
      </c>
      <c r="H80" s="320">
        <f>IF(AND($A$70='4. LISTAS'!$C$35,'Fornec. TAGNA'!U80="Sim"),0,IF(OR($A$70='4. LISTAS'!$C$35, $A$70='4. LISTAS'!$C$36),(VLOOKUP('1.DASHBOARD'!$B$8,'4. LISTAS'!$F$2:$G$11,2,FALSE)),0))</f>
        <v>0.18</v>
      </c>
      <c r="I80" s="305">
        <f t="shared" si="25"/>
        <v>0</v>
      </c>
      <c r="J80" s="319">
        <f>VLOOKUP($A$70,'4. LISTAS'!$C$35:$F$37,4,0)</f>
        <v>0.1125</v>
      </c>
      <c r="K80" s="305">
        <f t="shared" si="26"/>
        <v>0</v>
      </c>
      <c r="L80" s="305">
        <f t="shared" si="27"/>
        <v>0</v>
      </c>
      <c r="M80" s="318"/>
      <c r="N80" s="296"/>
      <c r="O80" s="317"/>
      <c r="P80" s="317"/>
      <c r="Q80" s="320">
        <v>0.04</v>
      </c>
      <c r="R80" s="320">
        <v>0.15</v>
      </c>
      <c r="S80" s="320">
        <v>0</v>
      </c>
      <c r="T80" s="305"/>
      <c r="U80" s="316" t="str">
        <f t="shared" si="29"/>
        <v>Não</v>
      </c>
      <c r="V80" s="315" t="s">
        <v>454</v>
      </c>
      <c r="W80" s="296"/>
      <c r="X80" s="314">
        <f t="shared" si="30"/>
        <v>0</v>
      </c>
      <c r="Y80" s="312">
        <f t="shared" si="31"/>
        <v>0</v>
      </c>
      <c r="Z80" s="312">
        <f t="shared" si="32"/>
        <v>0</v>
      </c>
      <c r="AA80" s="294">
        <f>IF($A$70='4. LISTAS'!$C$35,(P80*B80+T80+Y80+Z80),IF($A$70='4. LISTAS'!$C$36,P80*B80+Y80,IF($A$70='4. LISTAS'!$C$37,P80*B80,"Erro")))</f>
        <v>0</v>
      </c>
      <c r="AB80" s="294">
        <f>IF($A$70='4. LISTAS'!$C$35,IF(V80="sim",AA80,AA80-X80),IF($A$70='4. LISTAS'!$C$36,IF(V80="Sim",AA80-X80,AA80-X80-Y80),IF($A$70='4. LISTAS'!$C$37,AA80,"erro")))</f>
        <v>0</v>
      </c>
      <c r="AC80" s="313">
        <f t="shared" si="36"/>
        <v>0.30349999999999999</v>
      </c>
      <c r="AD80" s="294">
        <f t="shared" si="33"/>
        <v>0</v>
      </c>
      <c r="AE80" s="312">
        <f t="shared" si="34"/>
        <v>0</v>
      </c>
      <c r="AF80" s="312">
        <f t="shared" si="35"/>
        <v>0</v>
      </c>
      <c r="AG80" s="311">
        <f>'4. LISTAS'!$M$6</f>
        <v>5.9299999999999999E-2</v>
      </c>
      <c r="AH80" s="310">
        <f>'4. LISTAS'!$M$5</f>
        <v>0.17</v>
      </c>
      <c r="AI80" s="296"/>
      <c r="AJ80" s="321"/>
      <c r="AK80" s="321"/>
      <c r="AL80" s="321"/>
    </row>
    <row r="81" spans="1:38" x14ac:dyDescent="0.2">
      <c r="A81" s="323" t="s">
        <v>671</v>
      </c>
      <c r="B81" s="323">
        <v>1</v>
      </c>
      <c r="C81" s="321"/>
      <c r="D81" s="321"/>
      <c r="E81" s="321"/>
      <c r="F81" s="306">
        <f t="shared" si="28"/>
        <v>0</v>
      </c>
      <c r="G81" s="305">
        <f>IF($A$70='4. LISTAS'!$C$35,IF(V81="sim",AD81/(1-AG81),AD81/(1-AG81-(H81*(1+J81)))),IF($A$70='4. LISTAS'!$C$36,(AD81/(1-AG81-(H81*(1+J81)))),IF($A$70='4. LISTAS'!$C$37,(AB81/(1-AC81-AH81)),"Erro")))</f>
        <v>0</v>
      </c>
      <c r="H81" s="320">
        <f>IF(AND($A$70='4. LISTAS'!$C$35,'Fornec. TAGNA'!U81="Sim"),0,IF(OR($A$70='4. LISTAS'!$C$35, $A$70='4. LISTAS'!$C$36),(VLOOKUP('1.DASHBOARD'!$B$8,'4. LISTAS'!$F$2:$G$11,2,FALSE)),0))</f>
        <v>0.18</v>
      </c>
      <c r="I81" s="305">
        <f t="shared" si="25"/>
        <v>0</v>
      </c>
      <c r="J81" s="319">
        <f>VLOOKUP($A$70,'4. LISTAS'!$C$35:$F$37,4,0)</f>
        <v>0.1125</v>
      </c>
      <c r="K81" s="305">
        <f t="shared" si="26"/>
        <v>0</v>
      </c>
      <c r="L81" s="305">
        <f t="shared" si="27"/>
        <v>0</v>
      </c>
      <c r="M81" s="318"/>
      <c r="N81" s="296"/>
      <c r="O81" s="317"/>
      <c r="P81" s="317"/>
      <c r="Q81" s="320">
        <v>0.04</v>
      </c>
      <c r="R81" s="320">
        <v>0.15</v>
      </c>
      <c r="S81" s="320">
        <v>0</v>
      </c>
      <c r="T81" s="305"/>
      <c r="U81" s="316" t="str">
        <f t="shared" si="29"/>
        <v>Não</v>
      </c>
      <c r="V81" s="315" t="s">
        <v>454</v>
      </c>
      <c r="W81" s="296"/>
      <c r="X81" s="314">
        <f t="shared" si="30"/>
        <v>0</v>
      </c>
      <c r="Y81" s="312">
        <f t="shared" si="31"/>
        <v>0</v>
      </c>
      <c r="Z81" s="312">
        <f t="shared" si="32"/>
        <v>0</v>
      </c>
      <c r="AA81" s="294">
        <f>IF($A$70='4. LISTAS'!$C$35,(P81*B81+T81+Y81+Z81),IF($A$70='4. LISTAS'!$C$36,P81*B81+Y81,IF($A$70='4. LISTAS'!$C$37,P81*B81,"Erro")))</f>
        <v>0</v>
      </c>
      <c r="AB81" s="294">
        <f>IF($A$70='4. LISTAS'!$C$35,IF(V81="sim",AA81,AA81-X81),IF($A$70='4. LISTAS'!$C$36,IF(V81="Sim",AA81-X81,AA81-X81-Y81),IF($A$70='4. LISTAS'!$C$37,AA81,"erro")))</f>
        <v>0</v>
      </c>
      <c r="AC81" s="313">
        <f t="shared" si="36"/>
        <v>0.30349999999999999</v>
      </c>
      <c r="AD81" s="294">
        <f t="shared" si="33"/>
        <v>0</v>
      </c>
      <c r="AE81" s="312">
        <f t="shared" si="34"/>
        <v>0</v>
      </c>
      <c r="AF81" s="312">
        <f t="shared" si="35"/>
        <v>0</v>
      </c>
      <c r="AG81" s="311">
        <f>'4. LISTAS'!$M$6</f>
        <v>5.9299999999999999E-2</v>
      </c>
      <c r="AH81" s="310">
        <f>'4. LISTAS'!$M$5</f>
        <v>0.17</v>
      </c>
      <c r="AI81" s="296"/>
      <c r="AJ81" s="321"/>
      <c r="AK81" s="321"/>
      <c r="AL81" s="321"/>
    </row>
    <row r="82" spans="1:38" x14ac:dyDescent="0.2">
      <c r="A82" s="323" t="s">
        <v>670</v>
      </c>
      <c r="B82" s="323">
        <v>1</v>
      </c>
      <c r="C82" s="321"/>
      <c r="D82" s="321"/>
      <c r="E82" s="321"/>
      <c r="F82" s="306">
        <f t="shared" si="28"/>
        <v>0</v>
      </c>
      <c r="G82" s="305">
        <f>IF($A$70='4. LISTAS'!$C$35,IF(V82="sim",AD82/(1-AG82),AD82/(1-AG82-(H82*(1+J82)))),IF($A$70='4. LISTAS'!$C$36,(AD82/(1-AG82-(H82*(1+J82)))),IF($A$70='4. LISTAS'!$C$37,(AB82/(1-AC82-AH82)),"Erro")))</f>
        <v>0</v>
      </c>
      <c r="H82" s="320">
        <f>IF(AND($A$70='4. LISTAS'!$C$35,'Fornec. TAGNA'!U82="Sim"),0,IF(OR($A$70='4. LISTAS'!$C$35, $A$70='4. LISTAS'!$C$36),(VLOOKUP('1.DASHBOARD'!$B$8,'4. LISTAS'!$F$2:$G$11,2,FALSE)),0))</f>
        <v>0.18</v>
      </c>
      <c r="I82" s="305">
        <f t="shared" si="25"/>
        <v>0</v>
      </c>
      <c r="J82" s="319">
        <f>VLOOKUP($A$70,'4. LISTAS'!$C$35:$F$37,4,0)</f>
        <v>0.1125</v>
      </c>
      <c r="K82" s="305">
        <f t="shared" si="26"/>
        <v>0</v>
      </c>
      <c r="L82" s="305">
        <f t="shared" si="27"/>
        <v>0</v>
      </c>
      <c r="M82" s="318"/>
      <c r="N82" s="296"/>
      <c r="O82" s="317"/>
      <c r="P82" s="317"/>
      <c r="Q82" s="320">
        <v>0.04</v>
      </c>
      <c r="R82" s="320">
        <v>0.15</v>
      </c>
      <c r="S82" s="320">
        <v>0</v>
      </c>
      <c r="T82" s="305"/>
      <c r="U82" s="316" t="str">
        <f t="shared" si="29"/>
        <v>Não</v>
      </c>
      <c r="V82" s="315" t="s">
        <v>454</v>
      </c>
      <c r="W82" s="296"/>
      <c r="X82" s="314">
        <f t="shared" si="30"/>
        <v>0</v>
      </c>
      <c r="Y82" s="312">
        <f t="shared" si="31"/>
        <v>0</v>
      </c>
      <c r="Z82" s="312">
        <f t="shared" si="32"/>
        <v>0</v>
      </c>
      <c r="AA82" s="294">
        <f>IF($A$70='4. LISTAS'!$C$35,(P82*B82+T82+Y82+Z82),IF($A$70='4. LISTAS'!$C$36,P82*B82+Y82,IF($A$70='4. LISTAS'!$C$37,P82*B82,"Erro")))</f>
        <v>0</v>
      </c>
      <c r="AB82" s="294">
        <f>IF($A$70='4. LISTAS'!$C$35,IF(V82="sim",AA82,AA82-X82),IF($A$70='4. LISTAS'!$C$36,IF(V82="Sim",AA82-X82,AA82-X82-Y82),IF($A$70='4. LISTAS'!$C$37,AA82,"erro")))</f>
        <v>0</v>
      </c>
      <c r="AC82" s="313">
        <f t="shared" si="36"/>
        <v>0.30349999999999999</v>
      </c>
      <c r="AD82" s="294">
        <f t="shared" si="33"/>
        <v>0</v>
      </c>
      <c r="AE82" s="312">
        <f t="shared" si="34"/>
        <v>0</v>
      </c>
      <c r="AF82" s="312">
        <f t="shared" si="35"/>
        <v>0</v>
      </c>
      <c r="AG82" s="311">
        <f>'4. LISTAS'!$M$6</f>
        <v>5.9299999999999999E-2</v>
      </c>
      <c r="AH82" s="310">
        <f>'4. LISTAS'!$M$5</f>
        <v>0.17</v>
      </c>
      <c r="AI82" s="296"/>
      <c r="AJ82" s="321"/>
      <c r="AK82" s="321"/>
      <c r="AL82" s="321"/>
    </row>
    <row r="83" spans="1:38" x14ac:dyDescent="0.2">
      <c r="A83" s="323" t="s">
        <v>669</v>
      </c>
      <c r="B83" s="323">
        <v>1</v>
      </c>
      <c r="C83" s="321"/>
      <c r="D83" s="321"/>
      <c r="E83" s="321"/>
      <c r="F83" s="306">
        <f t="shared" si="28"/>
        <v>0</v>
      </c>
      <c r="G83" s="305">
        <f>IF($A$70='4. LISTAS'!$C$35,IF(V83="sim",AD83/(1-AG83),AD83/(1-AG83-(H83*(1+J83)))),IF($A$70='4. LISTAS'!$C$36,(AD83/(1-AG83-(H83*(1+J83)))),IF($A$70='4. LISTAS'!$C$37,(AB83/(1-AC83-AH83)),"Erro")))</f>
        <v>0</v>
      </c>
      <c r="H83" s="320">
        <f>IF(AND($A$70='4. LISTAS'!$C$35,'Fornec. TAGNA'!U83="Sim"),0,IF(OR($A$70='4. LISTAS'!$C$35, $A$70='4. LISTAS'!$C$36),(VLOOKUP('1.DASHBOARD'!$B$8,'4. LISTAS'!$F$2:$G$11,2,FALSE)),0))</f>
        <v>0.18</v>
      </c>
      <c r="I83" s="305">
        <f t="shared" si="25"/>
        <v>0</v>
      </c>
      <c r="J83" s="319">
        <f>VLOOKUP($A$70,'4. LISTAS'!$C$35:$F$37,4,0)</f>
        <v>0.1125</v>
      </c>
      <c r="K83" s="305">
        <f t="shared" si="26"/>
        <v>0</v>
      </c>
      <c r="L83" s="305">
        <f t="shared" si="27"/>
        <v>0</v>
      </c>
      <c r="M83" s="318"/>
      <c r="N83" s="296"/>
      <c r="O83" s="317"/>
      <c r="P83" s="317"/>
      <c r="Q83" s="320">
        <v>0.04</v>
      </c>
      <c r="R83" s="320">
        <v>0.15</v>
      </c>
      <c r="S83" s="320">
        <v>0</v>
      </c>
      <c r="T83" s="305"/>
      <c r="U83" s="316" t="str">
        <f t="shared" si="29"/>
        <v>Não</v>
      </c>
      <c r="V83" s="315" t="s">
        <v>454</v>
      </c>
      <c r="W83" s="296"/>
      <c r="X83" s="314">
        <f t="shared" si="30"/>
        <v>0</v>
      </c>
      <c r="Y83" s="312">
        <f t="shared" si="31"/>
        <v>0</v>
      </c>
      <c r="Z83" s="312">
        <f t="shared" si="32"/>
        <v>0</v>
      </c>
      <c r="AA83" s="294">
        <f>IF($A$70='4. LISTAS'!$C$35,(P83*B83+T83+Y83+Z83),IF($A$70='4. LISTAS'!$C$36,P83*B83+Y83,IF($A$70='4. LISTAS'!$C$37,P83*B83,"Erro")))</f>
        <v>0</v>
      </c>
      <c r="AB83" s="294">
        <f>IF($A$70='4. LISTAS'!$C$35,IF(V83="sim",AA83,AA83-X83),IF($A$70='4. LISTAS'!$C$36,IF(V83="Sim",AA83-X83,AA83-X83-Y83),IF($A$70='4. LISTAS'!$C$37,AA83,"erro")))</f>
        <v>0</v>
      </c>
      <c r="AC83" s="313">
        <f t="shared" si="36"/>
        <v>0.30349999999999999</v>
      </c>
      <c r="AD83" s="294">
        <f t="shared" si="33"/>
        <v>0</v>
      </c>
      <c r="AE83" s="312">
        <f t="shared" si="34"/>
        <v>0</v>
      </c>
      <c r="AF83" s="312">
        <f t="shared" si="35"/>
        <v>0</v>
      </c>
      <c r="AG83" s="311">
        <f>'4. LISTAS'!$M$6</f>
        <v>5.9299999999999999E-2</v>
      </c>
      <c r="AH83" s="310">
        <f>'4. LISTAS'!$M$5</f>
        <v>0.17</v>
      </c>
      <c r="AI83" s="296"/>
      <c r="AJ83" s="321"/>
      <c r="AK83" s="321"/>
      <c r="AL83" s="321"/>
    </row>
    <row r="84" spans="1:38" x14ac:dyDescent="0.2">
      <c r="A84" s="323" t="s">
        <v>668</v>
      </c>
      <c r="B84" s="323">
        <v>1</v>
      </c>
      <c r="C84" s="321"/>
      <c r="D84" s="321"/>
      <c r="E84" s="321"/>
      <c r="F84" s="306">
        <f t="shared" si="28"/>
        <v>0</v>
      </c>
      <c r="G84" s="305">
        <f>IF($A$70='4. LISTAS'!$C$35,IF(V84="sim",AD84/(1-AG84),AD84/(1-AG84-(H84*(1+J84)))),IF($A$70='4. LISTAS'!$C$36,(AD84/(1-AG84-(H84*(1+J84)))),IF($A$70='4. LISTAS'!$C$37,(AB84/(1-AC84-AH84)),"Erro")))</f>
        <v>0</v>
      </c>
      <c r="H84" s="320">
        <f>IF(AND($A$70='4. LISTAS'!$C$35,'Fornec. TAGNA'!U84="Sim"),0,IF(OR($A$70='4. LISTAS'!$C$35, $A$70='4. LISTAS'!$C$36),(VLOOKUP('1.DASHBOARD'!$B$8,'4. LISTAS'!$F$2:$G$11,2,FALSE)),0))</f>
        <v>0.18</v>
      </c>
      <c r="I84" s="305">
        <f t="shared" si="25"/>
        <v>0</v>
      </c>
      <c r="J84" s="319">
        <f>VLOOKUP($A$70,'4. LISTAS'!$C$35:$F$37,4,0)</f>
        <v>0.1125</v>
      </c>
      <c r="K84" s="305">
        <f t="shared" si="26"/>
        <v>0</v>
      </c>
      <c r="L84" s="305">
        <f t="shared" si="27"/>
        <v>0</v>
      </c>
      <c r="M84" s="318"/>
      <c r="N84" s="296"/>
      <c r="O84" s="317"/>
      <c r="P84" s="317"/>
      <c r="Q84" s="320">
        <v>0.04</v>
      </c>
      <c r="R84" s="320">
        <v>0.15</v>
      </c>
      <c r="S84" s="320">
        <v>0</v>
      </c>
      <c r="T84" s="305"/>
      <c r="U84" s="316" t="str">
        <f t="shared" si="29"/>
        <v>Não</v>
      </c>
      <c r="V84" s="315" t="s">
        <v>454</v>
      </c>
      <c r="W84" s="296"/>
      <c r="X84" s="314">
        <f t="shared" si="30"/>
        <v>0</v>
      </c>
      <c r="Y84" s="312">
        <f t="shared" si="31"/>
        <v>0</v>
      </c>
      <c r="Z84" s="312">
        <f t="shared" si="32"/>
        <v>0</v>
      </c>
      <c r="AA84" s="294">
        <f>IF($A$70='4. LISTAS'!$C$35,(P84*B84+T84+Y84+Z84),IF($A$70='4. LISTAS'!$C$36,P84*B84+Y84,IF($A$70='4. LISTAS'!$C$37,P84*B84,"Erro")))</f>
        <v>0</v>
      </c>
      <c r="AB84" s="294">
        <f>IF($A$70='4. LISTAS'!$C$35,IF(V84="sim",AA84,AA84-X84),IF($A$70='4. LISTAS'!$C$36,IF(V84="Sim",AA84-X84,AA84-X84-Y84),IF($A$70='4. LISTAS'!$C$37,AA84,"erro")))</f>
        <v>0</v>
      </c>
      <c r="AC84" s="313">
        <f t="shared" si="36"/>
        <v>0.30349999999999999</v>
      </c>
      <c r="AD84" s="294">
        <f t="shared" si="33"/>
        <v>0</v>
      </c>
      <c r="AE84" s="312">
        <f t="shared" si="34"/>
        <v>0</v>
      </c>
      <c r="AF84" s="312">
        <f t="shared" si="35"/>
        <v>0</v>
      </c>
      <c r="AG84" s="311">
        <f>'4. LISTAS'!$M$6</f>
        <v>5.9299999999999999E-2</v>
      </c>
      <c r="AH84" s="310">
        <f>'4. LISTAS'!$M$5</f>
        <v>0.17</v>
      </c>
      <c r="AI84" s="296"/>
      <c r="AJ84" s="321"/>
      <c r="AK84" s="321"/>
      <c r="AL84" s="321"/>
    </row>
    <row r="85" spans="1:38" x14ac:dyDescent="0.2">
      <c r="A85" s="323" t="s">
        <v>667</v>
      </c>
      <c r="B85" s="323">
        <v>1</v>
      </c>
      <c r="C85" s="321"/>
      <c r="D85" s="321"/>
      <c r="E85" s="321"/>
      <c r="F85" s="306">
        <f t="shared" si="28"/>
        <v>0</v>
      </c>
      <c r="G85" s="305">
        <f>IF($A$70='4. LISTAS'!$C$35,IF(V85="sim",AD85/(1-AG85),AD85/(1-AG85-(H85*(1+J85)))),IF($A$70='4. LISTAS'!$C$36,(AD85/(1-AG85-(H85*(1+J85)))),IF($A$70='4. LISTAS'!$C$37,(AB85/(1-AC85-AH85)),"Erro")))</f>
        <v>0</v>
      </c>
      <c r="H85" s="320">
        <f>IF(AND($A$70='4. LISTAS'!$C$35,'Fornec. TAGNA'!U85="Sim"),0,IF(OR($A$70='4. LISTAS'!$C$35, $A$70='4. LISTAS'!$C$36),(VLOOKUP('1.DASHBOARD'!$B$8,'4. LISTAS'!$F$2:$G$11,2,FALSE)),0))</f>
        <v>0.18</v>
      </c>
      <c r="I85" s="305">
        <f t="shared" si="25"/>
        <v>0</v>
      </c>
      <c r="J85" s="319">
        <f>VLOOKUP($A$70,'4. LISTAS'!$C$35:$F$37,4,0)</f>
        <v>0.1125</v>
      </c>
      <c r="K85" s="305">
        <f t="shared" si="26"/>
        <v>0</v>
      </c>
      <c r="L85" s="305">
        <f t="shared" si="27"/>
        <v>0</v>
      </c>
      <c r="M85" s="318"/>
      <c r="N85" s="296"/>
      <c r="O85" s="317"/>
      <c r="P85" s="317"/>
      <c r="Q85" s="320">
        <v>0.04</v>
      </c>
      <c r="R85" s="320">
        <v>0.15</v>
      </c>
      <c r="S85" s="320">
        <v>0</v>
      </c>
      <c r="T85" s="305"/>
      <c r="U85" s="316" t="str">
        <f t="shared" si="29"/>
        <v>Não</v>
      </c>
      <c r="V85" s="315" t="s">
        <v>454</v>
      </c>
      <c r="W85" s="296"/>
      <c r="X85" s="314">
        <f t="shared" si="30"/>
        <v>0</v>
      </c>
      <c r="Y85" s="312">
        <f t="shared" si="31"/>
        <v>0</v>
      </c>
      <c r="Z85" s="312">
        <f t="shared" si="32"/>
        <v>0</v>
      </c>
      <c r="AA85" s="294">
        <f>IF($A$70='4. LISTAS'!$C$35,(P85*B85+T85+Y85+Z85),IF($A$70='4. LISTAS'!$C$36,P85*B85+Y85,IF($A$70='4. LISTAS'!$C$37,P85*B85,"Erro")))</f>
        <v>0</v>
      </c>
      <c r="AB85" s="294">
        <f>IF($A$70='4. LISTAS'!$C$35,IF(V85="sim",AA85,AA85-X85),IF($A$70='4. LISTAS'!$C$36,IF(V85="Sim",AA85-X85,AA85-X85-Y85),IF($A$70='4. LISTAS'!$C$37,AA85,"erro")))</f>
        <v>0</v>
      </c>
      <c r="AC85" s="313">
        <f t="shared" si="36"/>
        <v>0.30349999999999999</v>
      </c>
      <c r="AD85" s="294">
        <f t="shared" si="33"/>
        <v>0</v>
      </c>
      <c r="AE85" s="312">
        <f t="shared" si="34"/>
        <v>0</v>
      </c>
      <c r="AF85" s="312">
        <f t="shared" si="35"/>
        <v>0</v>
      </c>
      <c r="AG85" s="311">
        <f>'4. LISTAS'!$M$6</f>
        <v>5.9299999999999999E-2</v>
      </c>
      <c r="AH85" s="310">
        <f>'4. LISTAS'!$M$5</f>
        <v>0.17</v>
      </c>
      <c r="AI85" s="296"/>
      <c r="AJ85" s="321"/>
      <c r="AK85" s="321"/>
      <c r="AL85" s="321"/>
    </row>
    <row r="86" spans="1:38" x14ac:dyDescent="0.2">
      <c r="A86" s="323" t="s">
        <v>666</v>
      </c>
      <c r="B86" s="323">
        <v>1</v>
      </c>
      <c r="C86" s="321"/>
      <c r="D86" s="321"/>
      <c r="E86" s="321"/>
      <c r="F86" s="306">
        <f t="shared" si="28"/>
        <v>0</v>
      </c>
      <c r="G86" s="305">
        <f>IF($A$70='4. LISTAS'!$C$35,IF(V86="sim",AD86/(1-AG86),AD86/(1-AG86-(H86*(1+J86)))),IF($A$70='4. LISTAS'!$C$36,(AD86/(1-AG86-(H86*(1+J86)))),IF($A$70='4. LISTAS'!$C$37,(AB86/(1-AC86-AH86)),"Erro")))</f>
        <v>0</v>
      </c>
      <c r="H86" s="320">
        <f>IF(AND($A$70='4. LISTAS'!$C$35,'Fornec. TAGNA'!U86="Sim"),0,IF(OR($A$70='4. LISTAS'!$C$35, $A$70='4. LISTAS'!$C$36),(VLOOKUP('1.DASHBOARD'!$B$8,'4. LISTAS'!$F$2:$G$11,2,FALSE)),0))</f>
        <v>0.18</v>
      </c>
      <c r="I86" s="305">
        <f t="shared" si="25"/>
        <v>0</v>
      </c>
      <c r="J86" s="319">
        <f>VLOOKUP($A$70,'4. LISTAS'!$C$35:$F$37,4,0)</f>
        <v>0.1125</v>
      </c>
      <c r="K86" s="305">
        <f t="shared" si="26"/>
        <v>0</v>
      </c>
      <c r="L86" s="305">
        <f t="shared" si="27"/>
        <v>0</v>
      </c>
      <c r="M86" s="318"/>
      <c r="N86" s="296"/>
      <c r="O86" s="317"/>
      <c r="P86" s="317"/>
      <c r="Q86" s="320">
        <v>0.04</v>
      </c>
      <c r="R86" s="320">
        <v>0.15</v>
      </c>
      <c r="S86" s="320">
        <v>0</v>
      </c>
      <c r="T86" s="305"/>
      <c r="U86" s="316" t="str">
        <f t="shared" si="29"/>
        <v>Não</v>
      </c>
      <c r="V86" s="315" t="s">
        <v>454</v>
      </c>
      <c r="W86" s="296"/>
      <c r="X86" s="314">
        <f t="shared" si="30"/>
        <v>0</v>
      </c>
      <c r="Y86" s="312">
        <f t="shared" si="31"/>
        <v>0</v>
      </c>
      <c r="Z86" s="312">
        <f t="shared" si="32"/>
        <v>0</v>
      </c>
      <c r="AA86" s="294">
        <f>IF($A$70='4. LISTAS'!$C$35,(P86*B86+T86+Y86+Z86),IF($A$70='4. LISTAS'!$C$36,P86*B86+Y86,IF($A$70='4. LISTAS'!$C$37,P86*B86,"Erro")))</f>
        <v>0</v>
      </c>
      <c r="AB86" s="294">
        <f>IF($A$70='4. LISTAS'!$C$35,IF(V86="sim",AA86,AA86-X86),IF($A$70='4. LISTAS'!$C$36,IF(V86="Sim",AA86-X86,AA86-X86-Y86),IF($A$70='4. LISTAS'!$C$37,AA86,"erro")))</f>
        <v>0</v>
      </c>
      <c r="AC86" s="313">
        <f t="shared" si="36"/>
        <v>0.30349999999999999</v>
      </c>
      <c r="AD86" s="294">
        <f t="shared" si="33"/>
        <v>0</v>
      </c>
      <c r="AE86" s="312">
        <f t="shared" si="34"/>
        <v>0</v>
      </c>
      <c r="AF86" s="312">
        <f t="shared" si="35"/>
        <v>0</v>
      </c>
      <c r="AG86" s="311">
        <f>'4. LISTAS'!$M$6</f>
        <v>5.9299999999999999E-2</v>
      </c>
      <c r="AH86" s="310">
        <f>'4. LISTAS'!$M$5</f>
        <v>0.17</v>
      </c>
      <c r="AI86" s="296"/>
      <c r="AJ86" s="321"/>
      <c r="AK86" s="321"/>
      <c r="AL86" s="321"/>
    </row>
    <row r="87" spans="1:38" x14ac:dyDescent="0.2">
      <c r="A87" s="323" t="s">
        <v>665</v>
      </c>
      <c r="B87" s="323">
        <v>1</v>
      </c>
      <c r="C87" s="321"/>
      <c r="D87" s="321"/>
      <c r="E87" s="321"/>
      <c r="F87" s="306">
        <f t="shared" si="28"/>
        <v>0</v>
      </c>
      <c r="G87" s="305">
        <f>IF($A$70='4. LISTAS'!$C$35,IF(V87="sim",AD87/(1-AG87),AD87/(1-AG87-(H87*(1+J87)))),IF($A$70='4. LISTAS'!$C$36,(AD87/(1-AG87-(H87*(1+J87)))),IF($A$70='4. LISTAS'!$C$37,(AB87/(1-AC87-AH87)),"Erro")))</f>
        <v>0</v>
      </c>
      <c r="H87" s="320">
        <f>IF(AND($A$70='4. LISTAS'!$C$35,'Fornec. TAGNA'!U87="Sim"),0,IF(OR($A$70='4. LISTAS'!$C$35, $A$70='4. LISTAS'!$C$36),(VLOOKUP('1.DASHBOARD'!$B$8,'4. LISTAS'!$F$2:$G$11,2,FALSE)),0))</f>
        <v>0.18</v>
      </c>
      <c r="I87" s="305">
        <f t="shared" si="25"/>
        <v>0</v>
      </c>
      <c r="J87" s="319">
        <f>VLOOKUP($A$70,'4. LISTAS'!$C$35:$F$37,4,0)</f>
        <v>0.1125</v>
      </c>
      <c r="K87" s="305">
        <f t="shared" si="26"/>
        <v>0</v>
      </c>
      <c r="L87" s="305">
        <f t="shared" si="27"/>
        <v>0</v>
      </c>
      <c r="M87" s="318"/>
      <c r="N87" s="296"/>
      <c r="O87" s="317"/>
      <c r="P87" s="317"/>
      <c r="Q87" s="320">
        <v>0.04</v>
      </c>
      <c r="R87" s="320">
        <v>0.15</v>
      </c>
      <c r="S87" s="320">
        <v>0</v>
      </c>
      <c r="T87" s="305"/>
      <c r="U87" s="316" t="str">
        <f t="shared" si="29"/>
        <v>Não</v>
      </c>
      <c r="V87" s="315" t="s">
        <v>454</v>
      </c>
      <c r="W87" s="296"/>
      <c r="X87" s="314">
        <f t="shared" si="30"/>
        <v>0</v>
      </c>
      <c r="Y87" s="312">
        <f t="shared" si="31"/>
        <v>0</v>
      </c>
      <c r="Z87" s="312">
        <f t="shared" si="32"/>
        <v>0</v>
      </c>
      <c r="AA87" s="294">
        <f>IF($A$70='4. LISTAS'!$C$35,(P87*B87+T87+Y87+Z87),IF($A$70='4. LISTAS'!$C$36,P87*B87+Y87,IF($A$70='4. LISTAS'!$C$37,P87*B87,"Erro")))</f>
        <v>0</v>
      </c>
      <c r="AB87" s="294">
        <f>IF($A$70='4. LISTAS'!$C$35,IF(V87="sim",AA87,AA87-X87),IF($A$70='4. LISTAS'!$C$36,IF(V87="Sim",AA87-X87,AA87-X87-Y87),IF($A$70='4. LISTAS'!$C$37,AA87,"erro")))</f>
        <v>0</v>
      </c>
      <c r="AC87" s="313">
        <f t="shared" si="36"/>
        <v>0.30349999999999999</v>
      </c>
      <c r="AD87" s="294">
        <f t="shared" si="33"/>
        <v>0</v>
      </c>
      <c r="AE87" s="312">
        <f t="shared" si="34"/>
        <v>0</v>
      </c>
      <c r="AF87" s="312">
        <f t="shared" si="35"/>
        <v>0</v>
      </c>
      <c r="AG87" s="311">
        <f>'4. LISTAS'!$M$6</f>
        <v>5.9299999999999999E-2</v>
      </c>
      <c r="AH87" s="310">
        <f>'4. LISTAS'!$M$5</f>
        <v>0.17</v>
      </c>
      <c r="AI87" s="296"/>
      <c r="AJ87" s="321"/>
      <c r="AK87" s="321"/>
      <c r="AL87" s="321"/>
    </row>
    <row r="88" spans="1:38" x14ac:dyDescent="0.2">
      <c r="A88" s="323" t="s">
        <v>664</v>
      </c>
      <c r="B88" s="323">
        <v>1</v>
      </c>
      <c r="C88" s="321"/>
      <c r="D88" s="321"/>
      <c r="E88" s="321"/>
      <c r="F88" s="306">
        <f t="shared" si="28"/>
        <v>0</v>
      </c>
      <c r="G88" s="305">
        <f>IF($A$70='4. LISTAS'!$C$35,IF(V88="sim",AD88/(1-AG88),AD88/(1-AG88-(H88*(1+J88)))),IF($A$70='4. LISTAS'!$C$36,(AD88/(1-AG88-(H88*(1+J88)))),IF($A$70='4. LISTAS'!$C$37,(AB88/(1-AC88-AH88)),"Erro")))</f>
        <v>0</v>
      </c>
      <c r="H88" s="320">
        <f>IF(AND($A$70='4. LISTAS'!$C$35,'Fornec. TAGNA'!U88="Sim"),0,IF(OR($A$70='4. LISTAS'!$C$35, $A$70='4. LISTAS'!$C$36),(VLOOKUP('1.DASHBOARD'!$B$8,'4. LISTAS'!$F$2:$G$11,2,FALSE)),0))</f>
        <v>0.18</v>
      </c>
      <c r="I88" s="305">
        <f t="shared" si="25"/>
        <v>0</v>
      </c>
      <c r="J88" s="319">
        <f>VLOOKUP($A$70,'4. LISTAS'!$C$35:$F$37,4,0)</f>
        <v>0.1125</v>
      </c>
      <c r="K88" s="305">
        <f t="shared" si="26"/>
        <v>0</v>
      </c>
      <c r="L88" s="305">
        <f t="shared" si="27"/>
        <v>0</v>
      </c>
      <c r="M88" s="318"/>
      <c r="N88" s="296"/>
      <c r="O88" s="317"/>
      <c r="P88" s="317"/>
      <c r="Q88" s="320">
        <v>0.04</v>
      </c>
      <c r="R88" s="320">
        <v>0.15</v>
      </c>
      <c r="S88" s="320">
        <v>0</v>
      </c>
      <c r="T88" s="305"/>
      <c r="U88" s="316" t="str">
        <f t="shared" si="29"/>
        <v>Não</v>
      </c>
      <c r="V88" s="315" t="s">
        <v>454</v>
      </c>
      <c r="W88" s="296"/>
      <c r="X88" s="314">
        <f t="shared" si="30"/>
        <v>0</v>
      </c>
      <c r="Y88" s="312">
        <f t="shared" si="31"/>
        <v>0</v>
      </c>
      <c r="Z88" s="312">
        <f t="shared" si="32"/>
        <v>0</v>
      </c>
      <c r="AA88" s="294">
        <f>IF($A$70='4. LISTAS'!$C$35,(P88*B88+T88+Y88+Z88),IF($A$70='4. LISTAS'!$C$36,P88*B88+Y88,IF($A$70='4. LISTAS'!$C$37,P88*B88,"Erro")))</f>
        <v>0</v>
      </c>
      <c r="AB88" s="294">
        <f>IF($A$70='4. LISTAS'!$C$35,IF(V88="sim",AA88,AA88-X88),IF($A$70='4. LISTAS'!$C$36,IF(V88="Sim",AA88-X88,AA88-X88-Y88),IF($A$70='4. LISTAS'!$C$37,AA88,"erro")))</f>
        <v>0</v>
      </c>
      <c r="AC88" s="313">
        <f t="shared" si="36"/>
        <v>0.30349999999999999</v>
      </c>
      <c r="AD88" s="294">
        <f t="shared" si="33"/>
        <v>0</v>
      </c>
      <c r="AE88" s="312">
        <f t="shared" si="34"/>
        <v>0</v>
      </c>
      <c r="AF88" s="312">
        <f t="shared" si="35"/>
        <v>0</v>
      </c>
      <c r="AG88" s="311">
        <f>'4. LISTAS'!$M$6</f>
        <v>5.9299999999999999E-2</v>
      </c>
      <c r="AH88" s="310">
        <f>'4. LISTAS'!$M$5</f>
        <v>0.17</v>
      </c>
      <c r="AI88" s="296"/>
      <c r="AJ88" s="321"/>
      <c r="AK88" s="321"/>
      <c r="AL88" s="321"/>
    </row>
    <row r="89" spans="1:38" x14ac:dyDescent="0.2">
      <c r="A89" s="323" t="s">
        <v>663</v>
      </c>
      <c r="B89" s="323">
        <v>1</v>
      </c>
      <c r="C89" s="321"/>
      <c r="D89" s="321"/>
      <c r="E89" s="321"/>
      <c r="F89" s="306">
        <f t="shared" si="28"/>
        <v>0</v>
      </c>
      <c r="G89" s="305">
        <f>IF($A$70='4. LISTAS'!$C$35,IF(V89="sim",AD89/(1-AG89),AD89/(1-AG89-(H89*(1+J89)))),IF($A$70='4. LISTAS'!$C$36,(AD89/(1-AG89-(H89*(1+J89)))),IF($A$70='4. LISTAS'!$C$37,(AB89/(1-AC89-AH89)),"Erro")))</f>
        <v>0</v>
      </c>
      <c r="H89" s="320">
        <f>IF(AND($A$70='4. LISTAS'!$C$35,'Fornec. TAGNA'!U89="Sim"),0,IF(OR($A$70='4. LISTAS'!$C$35, $A$70='4. LISTAS'!$C$36),(VLOOKUP('1.DASHBOARD'!$B$8,'4. LISTAS'!$F$2:$G$11,2,FALSE)),0))</f>
        <v>0.18</v>
      </c>
      <c r="I89" s="305">
        <f t="shared" si="25"/>
        <v>0</v>
      </c>
      <c r="J89" s="319">
        <f>VLOOKUP($A$70,'4. LISTAS'!$C$35:$F$37,4,0)</f>
        <v>0.1125</v>
      </c>
      <c r="K89" s="305">
        <f t="shared" si="26"/>
        <v>0</v>
      </c>
      <c r="L89" s="305">
        <f t="shared" si="27"/>
        <v>0</v>
      </c>
      <c r="M89" s="318"/>
      <c r="N89" s="296"/>
      <c r="O89" s="317"/>
      <c r="P89" s="317"/>
      <c r="Q89" s="320">
        <v>0.04</v>
      </c>
      <c r="R89" s="320">
        <v>0.15</v>
      </c>
      <c r="S89" s="320">
        <v>0</v>
      </c>
      <c r="T89" s="305"/>
      <c r="U89" s="316" t="str">
        <f t="shared" si="29"/>
        <v>Não</v>
      </c>
      <c r="V89" s="315" t="s">
        <v>454</v>
      </c>
      <c r="W89" s="296"/>
      <c r="X89" s="314">
        <f t="shared" si="30"/>
        <v>0</v>
      </c>
      <c r="Y89" s="312">
        <f t="shared" si="31"/>
        <v>0</v>
      </c>
      <c r="Z89" s="312">
        <f t="shared" si="32"/>
        <v>0</v>
      </c>
      <c r="AA89" s="294">
        <f>IF($A$70='4. LISTAS'!$C$35,(P89*B89+T89+Y89+Z89),IF($A$70='4. LISTAS'!$C$36,P89*B89+Y89,IF($A$70='4. LISTAS'!$C$37,P89*B89,"Erro")))</f>
        <v>0</v>
      </c>
      <c r="AB89" s="294">
        <f>IF($A$70='4. LISTAS'!$C$35,IF(V89="sim",AA89,AA89-X89),IF($A$70='4. LISTAS'!$C$36,IF(V89="Sim",AA89-X89,AA89-X89-Y89),IF($A$70='4. LISTAS'!$C$37,AA89,"erro")))</f>
        <v>0</v>
      </c>
      <c r="AC89" s="313">
        <f t="shared" si="36"/>
        <v>0.30349999999999999</v>
      </c>
      <c r="AD89" s="294">
        <f t="shared" si="33"/>
        <v>0</v>
      </c>
      <c r="AE89" s="312">
        <f t="shared" si="34"/>
        <v>0</v>
      </c>
      <c r="AF89" s="312">
        <f t="shared" si="35"/>
        <v>0</v>
      </c>
      <c r="AG89" s="311">
        <f>'4. LISTAS'!$M$6</f>
        <v>5.9299999999999999E-2</v>
      </c>
      <c r="AH89" s="310">
        <f>'4. LISTAS'!$M$5</f>
        <v>0.17</v>
      </c>
      <c r="AI89" s="296"/>
      <c r="AJ89" s="321"/>
      <c r="AK89" s="321"/>
      <c r="AL89" s="321"/>
    </row>
    <row r="90" spans="1:38" x14ac:dyDescent="0.2">
      <c r="A90" s="323" t="s">
        <v>662</v>
      </c>
      <c r="B90" s="323">
        <v>1</v>
      </c>
      <c r="C90" s="321"/>
      <c r="D90" s="321"/>
      <c r="E90" s="321"/>
      <c r="F90" s="306">
        <f t="shared" si="28"/>
        <v>0</v>
      </c>
      <c r="G90" s="305">
        <f>IF($A$70='4. LISTAS'!$C$35,IF(V90="sim",AD90/(1-AG90),AD90/(1-AG90-(H90*(1+J90)))),IF($A$70='4. LISTAS'!$C$36,(AD90/(1-AG90-(H90*(1+J90)))),IF($A$70='4. LISTAS'!$C$37,(AB90/(1-AC90-AH90)),"Erro")))</f>
        <v>0</v>
      </c>
      <c r="H90" s="320">
        <f>IF(AND($A$70='4. LISTAS'!$C$35,'Fornec. TAGNA'!U90="Sim"),0,IF(OR($A$70='4. LISTAS'!$C$35, $A$70='4. LISTAS'!$C$36),(VLOOKUP('1.DASHBOARD'!$B$8,'4. LISTAS'!$F$2:$G$11,2,FALSE)),0))</f>
        <v>0.18</v>
      </c>
      <c r="I90" s="305">
        <f t="shared" si="25"/>
        <v>0</v>
      </c>
      <c r="J90" s="319">
        <f>VLOOKUP($A$70,'4. LISTAS'!$C$35:$F$37,4,0)</f>
        <v>0.1125</v>
      </c>
      <c r="K90" s="305">
        <f t="shared" si="26"/>
        <v>0</v>
      </c>
      <c r="L90" s="305">
        <f t="shared" si="27"/>
        <v>0</v>
      </c>
      <c r="M90" s="318"/>
      <c r="N90" s="296"/>
      <c r="O90" s="317"/>
      <c r="P90" s="317"/>
      <c r="Q90" s="320">
        <v>0.04</v>
      </c>
      <c r="R90" s="320">
        <v>0.15</v>
      </c>
      <c r="S90" s="320">
        <v>0</v>
      </c>
      <c r="T90" s="305"/>
      <c r="U90" s="316" t="str">
        <f t="shared" si="29"/>
        <v>Não</v>
      </c>
      <c r="V90" s="315" t="s">
        <v>454</v>
      </c>
      <c r="W90" s="296"/>
      <c r="X90" s="314">
        <f t="shared" si="30"/>
        <v>0</v>
      </c>
      <c r="Y90" s="312">
        <f t="shared" si="31"/>
        <v>0</v>
      </c>
      <c r="Z90" s="312">
        <f t="shared" si="32"/>
        <v>0</v>
      </c>
      <c r="AA90" s="294">
        <f>IF($A$70='4. LISTAS'!$C$35,(P90*B90+T90+Y90+Z90),IF($A$70='4. LISTAS'!$C$36,P90*B90+Y90,IF($A$70='4. LISTAS'!$C$37,P90*B90,"Erro")))</f>
        <v>0</v>
      </c>
      <c r="AB90" s="294">
        <f>IF($A$70='4. LISTAS'!$C$35,IF(V90="sim",AA90,AA90-X90),IF($A$70='4. LISTAS'!$C$36,IF(V90="Sim",AA90-X90,AA90-X90-Y90),IF($A$70='4. LISTAS'!$C$37,AA90,"erro")))</f>
        <v>0</v>
      </c>
      <c r="AC90" s="313">
        <f t="shared" si="36"/>
        <v>0.30349999999999999</v>
      </c>
      <c r="AD90" s="294">
        <f t="shared" si="33"/>
        <v>0</v>
      </c>
      <c r="AE90" s="312">
        <f t="shared" si="34"/>
        <v>0</v>
      </c>
      <c r="AF90" s="312">
        <f t="shared" si="35"/>
        <v>0</v>
      </c>
      <c r="AG90" s="311">
        <f>'4. LISTAS'!$M$6</f>
        <v>5.9299999999999999E-2</v>
      </c>
      <c r="AH90" s="310">
        <f>'4. LISTAS'!$M$5</f>
        <v>0.17</v>
      </c>
      <c r="AI90" s="296"/>
      <c r="AJ90" s="321"/>
      <c r="AK90" s="321"/>
      <c r="AL90" s="321"/>
    </row>
    <row r="91" spans="1:38" x14ac:dyDescent="0.2">
      <c r="A91" s="323" t="s">
        <v>661</v>
      </c>
      <c r="B91" s="323">
        <v>1</v>
      </c>
      <c r="C91" s="321"/>
      <c r="D91" s="321"/>
      <c r="E91" s="321"/>
      <c r="F91" s="306">
        <f t="shared" si="28"/>
        <v>0</v>
      </c>
      <c r="G91" s="305">
        <f>IF($A$70='4. LISTAS'!$C$35,IF(V91="sim",AD91/(1-AG91),AD91/(1-AG91-(H91*(1+J91)))),IF($A$70='4. LISTAS'!$C$36,(AD91/(1-AG91-(H91*(1+J91)))),IF($A$70='4. LISTAS'!$C$37,(AB91/(1-AC91-AH91)),"Erro")))</f>
        <v>0</v>
      </c>
      <c r="H91" s="320">
        <f>IF(AND($A$70='4. LISTAS'!$C$35,'Fornec. TAGNA'!U91="Sim"),0,IF(OR($A$70='4. LISTAS'!$C$35, $A$70='4. LISTAS'!$C$36),(VLOOKUP('1.DASHBOARD'!$B$8,'4. LISTAS'!$F$2:$G$11,2,FALSE)),0))</f>
        <v>0.18</v>
      </c>
      <c r="I91" s="305">
        <f t="shared" si="25"/>
        <v>0</v>
      </c>
      <c r="J91" s="319">
        <f>VLOOKUP($A$70,'4. LISTAS'!$C$35:$F$37,4,0)</f>
        <v>0.1125</v>
      </c>
      <c r="K91" s="305">
        <f t="shared" si="26"/>
        <v>0</v>
      </c>
      <c r="L91" s="305">
        <f t="shared" si="27"/>
        <v>0</v>
      </c>
      <c r="M91" s="318"/>
      <c r="N91" s="296"/>
      <c r="O91" s="317"/>
      <c r="P91" s="317"/>
      <c r="Q91" s="320">
        <v>0.04</v>
      </c>
      <c r="R91" s="320">
        <v>0.15</v>
      </c>
      <c r="S91" s="320">
        <v>0</v>
      </c>
      <c r="T91" s="305"/>
      <c r="U91" s="316" t="str">
        <f t="shared" si="29"/>
        <v>Não</v>
      </c>
      <c r="V91" s="315" t="s">
        <v>454</v>
      </c>
      <c r="W91" s="296"/>
      <c r="X91" s="314">
        <f t="shared" si="30"/>
        <v>0</v>
      </c>
      <c r="Y91" s="312">
        <f t="shared" si="31"/>
        <v>0</v>
      </c>
      <c r="Z91" s="312">
        <f t="shared" si="32"/>
        <v>0</v>
      </c>
      <c r="AA91" s="294">
        <f>IF($A$70='4. LISTAS'!$C$35,(P91*B91+T91+Y91+Z91),IF($A$70='4. LISTAS'!$C$36,P91*B91+Y91,IF($A$70='4. LISTAS'!$C$37,P91*B91,"Erro")))</f>
        <v>0</v>
      </c>
      <c r="AB91" s="294">
        <f>IF($A$70='4. LISTAS'!$C$35,IF(V91="sim",AA91,AA91-X91),IF($A$70='4. LISTAS'!$C$36,IF(V91="Sim",AA91-X91,AA91-X91-Y91),IF($A$70='4. LISTAS'!$C$37,AA91,"erro")))</f>
        <v>0</v>
      </c>
      <c r="AC91" s="313">
        <f t="shared" si="36"/>
        <v>0.30349999999999999</v>
      </c>
      <c r="AD91" s="294">
        <f t="shared" si="33"/>
        <v>0</v>
      </c>
      <c r="AE91" s="312">
        <f t="shared" si="34"/>
        <v>0</v>
      </c>
      <c r="AF91" s="312">
        <f t="shared" si="35"/>
        <v>0</v>
      </c>
      <c r="AG91" s="311">
        <f>'4. LISTAS'!$M$6</f>
        <v>5.9299999999999999E-2</v>
      </c>
      <c r="AH91" s="310">
        <f>'4. LISTAS'!$M$5</f>
        <v>0.17</v>
      </c>
      <c r="AI91" s="296"/>
      <c r="AJ91" s="321"/>
      <c r="AK91" s="321"/>
      <c r="AL91" s="321"/>
    </row>
    <row r="92" spans="1:38" x14ac:dyDescent="0.2">
      <c r="A92" s="323" t="s">
        <v>660</v>
      </c>
      <c r="B92" s="323">
        <v>1</v>
      </c>
      <c r="C92" s="321"/>
      <c r="D92" s="321"/>
      <c r="E92" s="321"/>
      <c r="F92" s="306">
        <f t="shared" si="28"/>
        <v>0</v>
      </c>
      <c r="G92" s="305">
        <f>IF($A$70='4. LISTAS'!$C$35,IF(V92="sim",AD92/(1-AG92),AD92/(1-AG92-(H92*(1+J92)))),IF($A$70='4. LISTAS'!$C$36,(AD92/(1-AG92-(H92*(1+J92)))),IF($A$70='4. LISTAS'!$C$37,(AB92/(1-AC92-AH92)),"Erro")))</f>
        <v>0</v>
      </c>
      <c r="H92" s="320">
        <f>IF(AND($A$70='4. LISTAS'!$C$35,'Fornec. TAGNA'!U92="Sim"),0,IF(OR($A$70='4. LISTAS'!$C$35, $A$70='4. LISTAS'!$C$36),(VLOOKUP('1.DASHBOARD'!$B$8,'4. LISTAS'!$F$2:$G$11,2,FALSE)),0))</f>
        <v>0.18</v>
      </c>
      <c r="I92" s="305">
        <f t="shared" si="25"/>
        <v>0</v>
      </c>
      <c r="J92" s="319">
        <f>VLOOKUP($A$70,'4. LISTAS'!$C$35:$F$37,4,0)</f>
        <v>0.1125</v>
      </c>
      <c r="K92" s="305">
        <f t="shared" si="26"/>
        <v>0</v>
      </c>
      <c r="L92" s="305">
        <f t="shared" si="27"/>
        <v>0</v>
      </c>
      <c r="M92" s="318"/>
      <c r="N92" s="296"/>
      <c r="O92" s="317"/>
      <c r="P92" s="317"/>
      <c r="Q92" s="320">
        <v>0.04</v>
      </c>
      <c r="R92" s="320">
        <v>0.15</v>
      </c>
      <c r="S92" s="320">
        <v>0</v>
      </c>
      <c r="T92" s="305"/>
      <c r="U92" s="316" t="str">
        <f t="shared" si="29"/>
        <v>Não</v>
      </c>
      <c r="V92" s="315" t="s">
        <v>454</v>
      </c>
      <c r="W92" s="296"/>
      <c r="X92" s="314">
        <f t="shared" si="30"/>
        <v>0</v>
      </c>
      <c r="Y92" s="312">
        <f t="shared" si="31"/>
        <v>0</v>
      </c>
      <c r="Z92" s="312">
        <f t="shared" si="32"/>
        <v>0</v>
      </c>
      <c r="AA92" s="294">
        <f>IF($A$70='4. LISTAS'!$C$35,(P92*B92+T92+Y92+Z92),IF($A$70='4. LISTAS'!$C$36,P92*B92+Y92,IF($A$70='4. LISTAS'!$C$37,P92*B92,"Erro")))</f>
        <v>0</v>
      </c>
      <c r="AB92" s="294">
        <f>IF($A$70='4. LISTAS'!$C$35,IF(V92="sim",AA92,AA92-X92),IF($A$70='4. LISTAS'!$C$36,IF(V92="Sim",AA92-X92,AA92-X92-Y92),IF($A$70='4. LISTAS'!$C$37,AA92,"erro")))</f>
        <v>0</v>
      </c>
      <c r="AC92" s="313">
        <f t="shared" si="36"/>
        <v>0.30349999999999999</v>
      </c>
      <c r="AD92" s="294">
        <f t="shared" si="33"/>
        <v>0</v>
      </c>
      <c r="AE92" s="312">
        <f t="shared" si="34"/>
        <v>0</v>
      </c>
      <c r="AF92" s="312">
        <f t="shared" si="35"/>
        <v>0</v>
      </c>
      <c r="AG92" s="311">
        <f>'4. LISTAS'!$M$6</f>
        <v>5.9299999999999999E-2</v>
      </c>
      <c r="AH92" s="310">
        <f>'4. LISTAS'!$M$5</f>
        <v>0.17</v>
      </c>
      <c r="AI92" s="296"/>
      <c r="AJ92" s="321"/>
      <c r="AK92" s="321"/>
      <c r="AL92" s="321"/>
    </row>
    <row r="93" spans="1:38" x14ac:dyDescent="0.2">
      <c r="A93" s="323" t="s">
        <v>659</v>
      </c>
      <c r="B93" s="323">
        <v>1</v>
      </c>
      <c r="C93" s="321"/>
      <c r="D93" s="321"/>
      <c r="E93" s="321"/>
      <c r="F93" s="306">
        <f t="shared" si="28"/>
        <v>0</v>
      </c>
      <c r="G93" s="305">
        <f>IF($A$70='4. LISTAS'!$C$35,IF(V93="sim",AD93/(1-AG93),AD93/(1-AG93-(H93*(1+J93)))),IF($A$70='4. LISTAS'!$C$36,(AD93/(1-AG93-(H93*(1+J93)))),IF($A$70='4. LISTAS'!$C$37,(AB93/(1-AC93-AH93)),"Erro")))</f>
        <v>0</v>
      </c>
      <c r="H93" s="320">
        <f>IF(AND($A$70='4. LISTAS'!$C$35,'Fornec. TAGNA'!U93="Sim"),0,IF(OR($A$70='4. LISTAS'!$C$35, $A$70='4. LISTAS'!$C$36),(VLOOKUP('1.DASHBOARD'!$B$8,'4. LISTAS'!$F$2:$G$11,2,FALSE)),0))</f>
        <v>0.18</v>
      </c>
      <c r="I93" s="305">
        <f t="shared" si="25"/>
        <v>0</v>
      </c>
      <c r="J93" s="319">
        <f>VLOOKUP($A$70,'4. LISTAS'!$C$35:$F$37,4,0)</f>
        <v>0.1125</v>
      </c>
      <c r="K93" s="305">
        <f t="shared" si="26"/>
        <v>0</v>
      </c>
      <c r="L93" s="305">
        <f t="shared" si="27"/>
        <v>0</v>
      </c>
      <c r="M93" s="318"/>
      <c r="N93" s="296"/>
      <c r="O93" s="317"/>
      <c r="P93" s="317"/>
      <c r="Q93" s="320">
        <v>0.04</v>
      </c>
      <c r="R93" s="320">
        <v>0.15</v>
      </c>
      <c r="S93" s="320">
        <v>0</v>
      </c>
      <c r="T93" s="305"/>
      <c r="U93" s="316" t="str">
        <f t="shared" si="29"/>
        <v>Não</v>
      </c>
      <c r="V93" s="315" t="s">
        <v>454</v>
      </c>
      <c r="W93" s="296"/>
      <c r="X93" s="314">
        <f t="shared" si="30"/>
        <v>0</v>
      </c>
      <c r="Y93" s="312">
        <f t="shared" si="31"/>
        <v>0</v>
      </c>
      <c r="Z93" s="312">
        <f t="shared" si="32"/>
        <v>0</v>
      </c>
      <c r="AA93" s="294">
        <f>IF($A$70='4. LISTAS'!$C$35,(P93*B93+T93+Y93+Z93),IF($A$70='4. LISTAS'!$C$36,P93*B93+Y93,IF($A$70='4. LISTAS'!$C$37,P93*B93,"Erro")))</f>
        <v>0</v>
      </c>
      <c r="AB93" s="294">
        <f>IF($A$70='4. LISTAS'!$C$35,IF(V93="sim",AA93,AA93-X93),IF($A$70='4. LISTAS'!$C$36,IF(V93="Sim",AA93-X93,AA93-X93-Y93),IF($A$70='4. LISTAS'!$C$37,AA93,"erro")))</f>
        <v>0</v>
      </c>
      <c r="AC93" s="313">
        <f t="shared" si="36"/>
        <v>0.30349999999999999</v>
      </c>
      <c r="AD93" s="294">
        <f t="shared" si="33"/>
        <v>0</v>
      </c>
      <c r="AE93" s="312">
        <f t="shared" si="34"/>
        <v>0</v>
      </c>
      <c r="AF93" s="312">
        <f t="shared" si="35"/>
        <v>0</v>
      </c>
      <c r="AG93" s="311">
        <f>'4. LISTAS'!$M$6</f>
        <v>5.9299999999999999E-2</v>
      </c>
      <c r="AH93" s="310">
        <f>'4. LISTAS'!$M$5</f>
        <v>0.17</v>
      </c>
      <c r="AI93" s="296"/>
      <c r="AJ93" s="321"/>
      <c r="AK93" s="321"/>
      <c r="AL93" s="321"/>
    </row>
    <row r="94" spans="1:38" x14ac:dyDescent="0.2">
      <c r="A94" s="323" t="s">
        <v>658</v>
      </c>
      <c r="B94" s="322">
        <f>B63</f>
        <v>0</v>
      </c>
      <c r="C94" s="321"/>
      <c r="D94" s="321" t="str">
        <f>D63</f>
        <v>Gestão + Compras</v>
      </c>
      <c r="E94" s="321"/>
      <c r="F94" s="306">
        <f>IF(B94&lt;&gt;0,G94/B94,0)</f>
        <v>0</v>
      </c>
      <c r="G94" s="305">
        <f>IF($A$70='4. LISTAS'!$C$35,IF(V94="sim",AD94/(1-AG94),AD94/(1-AG94-(H94*(1+J94)))),IF($A$70='4. LISTAS'!$C$36,(AD94/(1-AG94-(H94*(1+J94)))),IF($A$70='4. LISTAS'!$C$37,(AB94/(1-AC94-AH94)),"Erro")))</f>
        <v>0</v>
      </c>
      <c r="H94" s="320">
        <f>IF(AND($A$70='4. LISTAS'!$C$35,'Fornec. TAGNA'!U94="Sim"),0,IF(OR($A$70='4. LISTAS'!$C$35, $A$70='4. LISTAS'!$C$36),(VLOOKUP('1.DASHBOARD'!$B$8,'4. LISTAS'!$F$2:$G$11,2,FALSE)),0))</f>
        <v>0.18</v>
      </c>
      <c r="I94" s="305">
        <f t="shared" si="25"/>
        <v>0</v>
      </c>
      <c r="J94" s="319">
        <f>VLOOKUP($A$70,'4. LISTAS'!$C$35:$F$37,4,0)</f>
        <v>0.1125</v>
      </c>
      <c r="K94" s="305">
        <f t="shared" si="26"/>
        <v>0</v>
      </c>
      <c r="L94" s="305">
        <f t="shared" si="27"/>
        <v>0</v>
      </c>
      <c r="M94" s="318"/>
      <c r="N94" s="296"/>
      <c r="O94" s="317"/>
      <c r="P94" s="317">
        <f t="shared" ref="P94:S97" si="37">P63</f>
        <v>355.22537921211438</v>
      </c>
      <c r="Q94" s="306">
        <f t="shared" si="37"/>
        <v>0</v>
      </c>
      <c r="R94" s="306">
        <f t="shared" si="37"/>
        <v>0</v>
      </c>
      <c r="S94" s="306">
        <f t="shared" si="37"/>
        <v>0</v>
      </c>
      <c r="T94" s="305"/>
      <c r="U94" s="316" t="str">
        <f t="shared" si="29"/>
        <v>Não</v>
      </c>
      <c r="V94" s="315" t="s">
        <v>454</v>
      </c>
      <c r="W94" s="296"/>
      <c r="X94" s="314">
        <f t="shared" si="30"/>
        <v>0</v>
      </c>
      <c r="Y94" s="312">
        <f t="shared" si="31"/>
        <v>0</v>
      </c>
      <c r="Z94" s="312">
        <f t="shared" si="32"/>
        <v>0</v>
      </c>
      <c r="AA94" s="294">
        <f>IF($A$70='4. LISTAS'!$C$35,(P94*B94+T94+Y94+Z94),IF($A$70='4. LISTAS'!$C$36,P94*B94+Y94,IF($A$70='4. LISTAS'!$C$37,P94*B94,"Erro")))</f>
        <v>0</v>
      </c>
      <c r="AB94" s="294">
        <f>IF($A$70='4. LISTAS'!$C$35,IF(V94="sim",AA94,AA94-X94),IF($A$70='4. LISTAS'!$C$36,IF(V94="Sim",AA94-X94,AA94-X94-Y94),IF($A$70='4. LISTAS'!$C$37,AA94,"erro")))</f>
        <v>0</v>
      </c>
      <c r="AC94" s="313">
        <f>'1.DASHBOARD'!$B$11</f>
        <v>0.25</v>
      </c>
      <c r="AD94" s="294">
        <f t="shared" si="33"/>
        <v>0</v>
      </c>
      <c r="AE94" s="312">
        <f t="shared" si="34"/>
        <v>0</v>
      </c>
      <c r="AF94" s="312">
        <f t="shared" si="35"/>
        <v>0</v>
      </c>
      <c r="AG94" s="311">
        <f>'4. LISTAS'!$M$6</f>
        <v>5.9299999999999999E-2</v>
      </c>
      <c r="AH94" s="310">
        <f>'4. LISTAS'!$M$5</f>
        <v>0.17</v>
      </c>
      <c r="AI94" s="296"/>
      <c r="AJ94" s="321"/>
      <c r="AK94" s="321"/>
      <c r="AL94" s="321"/>
    </row>
    <row r="95" spans="1:38" x14ac:dyDescent="0.2">
      <c r="A95" s="323" t="s">
        <v>657</v>
      </c>
      <c r="B95" s="322">
        <f>B64</f>
        <v>0</v>
      </c>
      <c r="C95" s="321"/>
      <c r="D95" s="321" t="str">
        <f>D64</f>
        <v>Projeto</v>
      </c>
      <c r="E95" s="321"/>
      <c r="F95" s="306">
        <f>IF(B94&lt;&gt;0,G95/B95,0)</f>
        <v>0</v>
      </c>
      <c r="G95" s="305">
        <f>IF($A$70='4. LISTAS'!$C$35,IF(V95="sim",AD95/(1-AG95),AD95/(1-AG95-(H95*(1+J95)))),IF($A$70='4. LISTAS'!$C$36,(AD95/(1-AG95-(H95*(1+J95)))),IF($A$70='4. LISTAS'!$C$37,(AB95/(1-AC95-AH95)),"Erro")))</f>
        <v>0</v>
      </c>
      <c r="H95" s="320">
        <f>IF(AND($A$70='4. LISTAS'!$C$35,'Fornec. TAGNA'!U95="Sim"),0,IF(OR($A$70='4. LISTAS'!$C$35, $A$70='4. LISTAS'!$C$36),(VLOOKUP('1.DASHBOARD'!$B$8,'4. LISTAS'!$F$2:$G$11,2,FALSE)),0))</f>
        <v>0.18</v>
      </c>
      <c r="I95" s="305">
        <f t="shared" si="25"/>
        <v>0</v>
      </c>
      <c r="J95" s="319">
        <f>VLOOKUP($A$70,'4. LISTAS'!$C$35:$F$37,4,0)</f>
        <v>0.1125</v>
      </c>
      <c r="K95" s="305">
        <f t="shared" si="26"/>
        <v>0</v>
      </c>
      <c r="L95" s="305">
        <f t="shared" si="27"/>
        <v>0</v>
      </c>
      <c r="M95" s="318"/>
      <c r="N95" s="296"/>
      <c r="O95" s="317"/>
      <c r="P95" s="317">
        <f t="shared" si="37"/>
        <v>37.149026125714286</v>
      </c>
      <c r="Q95" s="306">
        <f t="shared" si="37"/>
        <v>0</v>
      </c>
      <c r="R95" s="306">
        <f t="shared" si="37"/>
        <v>0</v>
      </c>
      <c r="S95" s="306">
        <f t="shared" si="37"/>
        <v>0</v>
      </c>
      <c r="T95" s="305"/>
      <c r="U95" s="316" t="str">
        <f t="shared" si="29"/>
        <v>Não</v>
      </c>
      <c r="V95" s="315" t="s">
        <v>454</v>
      </c>
      <c r="W95" s="296"/>
      <c r="X95" s="314">
        <f t="shared" si="30"/>
        <v>0</v>
      </c>
      <c r="Y95" s="312">
        <f t="shared" si="31"/>
        <v>0</v>
      </c>
      <c r="Z95" s="312">
        <f t="shared" si="32"/>
        <v>0</v>
      </c>
      <c r="AA95" s="294">
        <f>IF($A$70='4. LISTAS'!$C$35,(P95*B95+T95+Y95+Z95),IF($A$70='4. LISTAS'!$C$36,P95*B95+Y95,IF($A$70='4. LISTAS'!$C$37,P95*B95,"Erro")))</f>
        <v>0</v>
      </c>
      <c r="AB95" s="294">
        <f>IF($A$70='4. LISTAS'!$C$35,IF(V95="sim",AA95,AA95-X95),IF($A$70='4. LISTAS'!$C$36,IF(V95="Sim",AA95-X95,AA95-X95-Y95),IF($A$70='4. LISTAS'!$C$37,AA95,"erro")))</f>
        <v>0</v>
      </c>
      <c r="AC95" s="313">
        <f>'1.DASHBOARD'!$B$11</f>
        <v>0.25</v>
      </c>
      <c r="AD95" s="294">
        <f t="shared" si="33"/>
        <v>0</v>
      </c>
      <c r="AE95" s="312">
        <f t="shared" si="34"/>
        <v>0</v>
      </c>
      <c r="AF95" s="312">
        <f t="shared" si="35"/>
        <v>0</v>
      </c>
      <c r="AG95" s="311">
        <f>'4. LISTAS'!$M$6</f>
        <v>5.9299999999999999E-2</v>
      </c>
      <c r="AH95" s="310">
        <f>'4. LISTAS'!$M$5</f>
        <v>0.17</v>
      </c>
      <c r="AI95" s="296"/>
      <c r="AJ95" s="324"/>
      <c r="AK95" s="324"/>
      <c r="AL95" s="324"/>
    </row>
    <row r="96" spans="1:38" x14ac:dyDescent="0.2">
      <c r="A96" s="323" t="s">
        <v>656</v>
      </c>
      <c r="B96" s="322">
        <f>B65</f>
        <v>0</v>
      </c>
      <c r="C96" s="321"/>
      <c r="D96" s="321" t="str">
        <f>D65</f>
        <v>Testes</v>
      </c>
      <c r="E96" s="321"/>
      <c r="F96" s="306">
        <f>IF(B94&lt;&gt;0,G96/B96,0)</f>
        <v>0</v>
      </c>
      <c r="G96" s="305">
        <f>IF($A$70='4. LISTAS'!$C$35,IF(V96="sim",AD96/(1-AG96),AD96/(1-AG96-(H96*(1+J96)))),IF($A$70='4. LISTAS'!$C$36,(AD96/(1-AG96-(H96*(1+J96)))),IF($A$70='4. LISTAS'!$C$37,(AB96/(1-AC96-AH96)),"Erro")))</f>
        <v>0</v>
      </c>
      <c r="H96" s="320">
        <f>IF(AND($A$70='4. LISTAS'!$C$35,'Fornec. TAGNA'!U96="Sim"),0,IF(OR($A$70='4. LISTAS'!$C$35, $A$70='4. LISTAS'!$C$36),(VLOOKUP('1.DASHBOARD'!$B$8,'4. LISTAS'!$F$2:$G$11,2,FALSE)),0))</f>
        <v>0.18</v>
      </c>
      <c r="I96" s="305">
        <f t="shared" si="25"/>
        <v>0</v>
      </c>
      <c r="J96" s="319">
        <f>VLOOKUP($A$70,'4. LISTAS'!$C$35:$F$37,4,0)</f>
        <v>0.1125</v>
      </c>
      <c r="K96" s="305">
        <f t="shared" si="26"/>
        <v>0</v>
      </c>
      <c r="L96" s="305">
        <f t="shared" si="27"/>
        <v>0</v>
      </c>
      <c r="M96" s="318"/>
      <c r="N96" s="296"/>
      <c r="O96" s="317"/>
      <c r="P96" s="317">
        <f t="shared" si="37"/>
        <v>129.56768445553286</v>
      </c>
      <c r="Q96" s="306">
        <f t="shared" si="37"/>
        <v>0</v>
      </c>
      <c r="R96" s="306">
        <f t="shared" si="37"/>
        <v>0</v>
      </c>
      <c r="S96" s="306">
        <f t="shared" si="37"/>
        <v>0</v>
      </c>
      <c r="T96" s="305"/>
      <c r="U96" s="316" t="str">
        <f t="shared" si="29"/>
        <v>Não</v>
      </c>
      <c r="V96" s="315" t="s">
        <v>454</v>
      </c>
      <c r="W96" s="296"/>
      <c r="X96" s="314">
        <f t="shared" si="30"/>
        <v>0</v>
      </c>
      <c r="Y96" s="312">
        <f t="shared" si="31"/>
        <v>0</v>
      </c>
      <c r="Z96" s="312">
        <f t="shared" si="32"/>
        <v>0</v>
      </c>
      <c r="AA96" s="294">
        <f>IF($A$70='4. LISTAS'!$C$35,(P96*B96+T96+Y96+Z96),IF($A$70='4. LISTAS'!$C$36,P96*B96+Y96,IF($A$70='4. LISTAS'!$C$37,P96*B96,"Erro")))</f>
        <v>0</v>
      </c>
      <c r="AB96" s="294">
        <f>IF($A$70='4. LISTAS'!$C$35,IF(V96="sim",AA96,AA96-X96),IF($A$70='4. LISTAS'!$C$36,IF(V96="Sim",AA96-X96,AA96-X96-Y96),IF($A$70='4. LISTAS'!$C$37,AA96,"erro")))</f>
        <v>0</v>
      </c>
      <c r="AC96" s="313">
        <f>'1.DASHBOARD'!$B$11</f>
        <v>0.25</v>
      </c>
      <c r="AD96" s="294">
        <f t="shared" si="33"/>
        <v>0</v>
      </c>
      <c r="AE96" s="312">
        <f t="shared" si="34"/>
        <v>0</v>
      </c>
      <c r="AF96" s="312">
        <f t="shared" si="35"/>
        <v>0</v>
      </c>
      <c r="AG96" s="311">
        <f>'4. LISTAS'!$M$6</f>
        <v>5.9299999999999999E-2</v>
      </c>
      <c r="AH96" s="310">
        <f>'4. LISTAS'!$M$5</f>
        <v>0.17</v>
      </c>
      <c r="AI96" s="296"/>
      <c r="AJ96" s="321"/>
      <c r="AK96" s="321"/>
      <c r="AL96" s="321"/>
    </row>
    <row r="97" spans="1:38" x14ac:dyDescent="0.2">
      <c r="A97" s="323" t="s">
        <v>655</v>
      </c>
      <c r="B97" s="322">
        <f>B66</f>
        <v>0</v>
      </c>
      <c r="C97" s="321"/>
      <c r="D97" s="321" t="str">
        <f>D66</f>
        <v>Frete</v>
      </c>
      <c r="E97" s="321"/>
      <c r="F97" s="306">
        <f>IF(B94&lt;&gt;0,G97/B97,0)</f>
        <v>0</v>
      </c>
      <c r="G97" s="305">
        <f>IF($A$70='4. LISTAS'!$C$35,IF(V97="sim",AD97/(1-AG97),AD97/(1-AG97-(H97*(1+J97)))),IF($A$70='4. LISTAS'!$C$36,(AD97/(1-AG97-(H97*(1+J97)))),IF($A$70='4. LISTAS'!$C$37,(AB97/(1-AC97-AH97)),"Erro")))</f>
        <v>0</v>
      </c>
      <c r="H97" s="320">
        <f>IF(AND($A$70='4. LISTAS'!$C$35,'Fornec. TAGNA'!U97="Sim"),0,IF(OR($A$70='4. LISTAS'!$C$35, $A$70='4. LISTAS'!$C$36),(VLOOKUP('1.DASHBOARD'!$B$8,'4. LISTAS'!$F$2:$G$11,2,FALSE)),0))</f>
        <v>0.18</v>
      </c>
      <c r="I97" s="305">
        <f t="shared" si="25"/>
        <v>0</v>
      </c>
      <c r="J97" s="319">
        <f>VLOOKUP($A$70,'4. LISTAS'!$C$35:$F$37,4,0)</f>
        <v>0.1125</v>
      </c>
      <c r="K97" s="305">
        <f t="shared" si="26"/>
        <v>0</v>
      </c>
      <c r="L97" s="305">
        <f t="shared" si="27"/>
        <v>0</v>
      </c>
      <c r="M97" s="318"/>
      <c r="N97" s="296"/>
      <c r="O97" s="317"/>
      <c r="P97" s="317">
        <f t="shared" si="37"/>
        <v>300</v>
      </c>
      <c r="Q97" s="306">
        <f t="shared" si="37"/>
        <v>0</v>
      </c>
      <c r="R97" s="306">
        <f t="shared" si="37"/>
        <v>0</v>
      </c>
      <c r="S97" s="306">
        <f t="shared" si="37"/>
        <v>0</v>
      </c>
      <c r="T97" s="305"/>
      <c r="U97" s="316" t="str">
        <f t="shared" si="29"/>
        <v>Não</v>
      </c>
      <c r="V97" s="315" t="s">
        <v>454</v>
      </c>
      <c r="W97" s="296"/>
      <c r="X97" s="314">
        <f t="shared" si="30"/>
        <v>0</v>
      </c>
      <c r="Y97" s="312">
        <f t="shared" si="31"/>
        <v>0</v>
      </c>
      <c r="Z97" s="312">
        <f t="shared" si="32"/>
        <v>0</v>
      </c>
      <c r="AA97" s="294">
        <f>IF($A$70='4. LISTAS'!$C$35,(P97*B97+T97+Y97+Z97),IF($A$70='4. LISTAS'!$C$36,P97*B97+Y97,IF($A$70='4. LISTAS'!$C$37,P97*B97,"Erro")))</f>
        <v>0</v>
      </c>
      <c r="AB97" s="294">
        <f>IF($A$70='4. LISTAS'!$C$35,IF(V97="sim",AA97,AA97-X97),IF($A$70='4. LISTAS'!$C$36,IF(V97="Sim",AA97-X97,AA97-X97-Y97),IF($A$70='4. LISTAS'!$C$37,AA97,"erro")))</f>
        <v>0</v>
      </c>
      <c r="AC97" s="313"/>
      <c r="AD97" s="294">
        <f t="shared" si="33"/>
        <v>0</v>
      </c>
      <c r="AE97" s="312">
        <f t="shared" si="34"/>
        <v>0</v>
      </c>
      <c r="AF97" s="312">
        <f t="shared" si="35"/>
        <v>0</v>
      </c>
      <c r="AG97" s="311">
        <f>'4. LISTAS'!$M$6</f>
        <v>5.9299999999999999E-2</v>
      </c>
      <c r="AH97" s="310">
        <f>'4. LISTAS'!$M$5</f>
        <v>0.17</v>
      </c>
      <c r="AI97" s="296"/>
      <c r="AJ97" s="321"/>
      <c r="AK97" s="321"/>
      <c r="AL97" s="321"/>
    </row>
    <row r="98" spans="1:38" x14ac:dyDescent="0.2">
      <c r="A98" s="362" t="s">
        <v>453</v>
      </c>
      <c r="B98" s="361"/>
      <c r="C98" s="359"/>
      <c r="D98" s="360"/>
      <c r="E98" s="359"/>
      <c r="F98" s="358"/>
      <c r="G98" s="282">
        <f>SUM(G74:G97)</f>
        <v>0</v>
      </c>
      <c r="H98" s="284" t="s">
        <v>319</v>
      </c>
      <c r="I98" s="282">
        <f>SUBTOTAL(9,I74:I97)</f>
        <v>0</v>
      </c>
      <c r="J98" s="283" t="s">
        <v>319</v>
      </c>
      <c r="K98" s="282">
        <f>SUM(K74:K97)</f>
        <v>0</v>
      </c>
      <c r="L98" s="282">
        <f>SUM(L74:L97)</f>
        <v>0</v>
      </c>
      <c r="M98" s="357"/>
      <c r="N98" s="327"/>
      <c r="O98" s="356"/>
      <c r="P98" s="356"/>
      <c r="Q98" s="277"/>
      <c r="R98" s="277"/>
      <c r="S98" s="277"/>
      <c r="T98" s="278"/>
      <c r="U98" s="277"/>
      <c r="V98" s="355"/>
      <c r="W98" s="327"/>
      <c r="X98" s="354">
        <f t="shared" si="30"/>
        <v>0</v>
      </c>
      <c r="Y98" s="278">
        <f t="shared" si="31"/>
        <v>0</v>
      </c>
      <c r="Z98" s="278">
        <f t="shared" si="32"/>
        <v>0</v>
      </c>
      <c r="AA98" s="277"/>
      <c r="AB98" s="277"/>
      <c r="AC98" s="277"/>
      <c r="AD98" s="277"/>
      <c r="AE98" s="277"/>
      <c r="AF98" s="277"/>
      <c r="AG98" s="277"/>
      <c r="AH98" s="277"/>
      <c r="AI98" s="327"/>
      <c r="AJ98" s="353"/>
      <c r="AK98" s="353"/>
      <c r="AL98" s="353"/>
    </row>
    <row r="99" spans="1:38" x14ac:dyDescent="0.2">
      <c r="G99" s="352"/>
      <c r="N99" s="327"/>
      <c r="W99" s="327"/>
      <c r="AI99" s="327"/>
    </row>
    <row r="100" spans="1:38" x14ac:dyDescent="0.2">
      <c r="B100" s="350"/>
      <c r="D100" s="348" t="s">
        <v>508</v>
      </c>
      <c r="E100" s="348"/>
      <c r="F100" s="347"/>
      <c r="G100" s="347"/>
      <c r="H100" s="347"/>
      <c r="I100" s="347"/>
      <c r="J100" s="347"/>
      <c r="K100" s="347"/>
      <c r="L100" s="347"/>
      <c r="M100" s="346"/>
      <c r="N100" s="327"/>
      <c r="O100" s="345"/>
      <c r="P100" s="345" t="s">
        <v>511</v>
      </c>
      <c r="Q100" s="345"/>
      <c r="R100" s="345"/>
      <c r="S100" s="345"/>
      <c r="T100" s="344"/>
      <c r="U100" s="345"/>
      <c r="V100" s="345"/>
      <c r="W100" s="327"/>
      <c r="X100" s="344" t="s">
        <v>510</v>
      </c>
      <c r="Y100" s="344"/>
      <c r="Z100" s="344"/>
      <c r="AA100" s="344"/>
      <c r="AB100" s="344"/>
      <c r="AC100" s="344"/>
      <c r="AD100" s="344"/>
      <c r="AE100" s="344"/>
      <c r="AF100" s="344"/>
      <c r="AG100" s="344"/>
      <c r="AH100" s="344"/>
      <c r="AI100" s="327"/>
      <c r="AJ100" s="349"/>
      <c r="AK100" s="349"/>
      <c r="AL100" s="349"/>
    </row>
    <row r="101" spans="1:38" x14ac:dyDescent="0.2">
      <c r="A101" s="698" t="s">
        <v>509</v>
      </c>
      <c r="B101" s="698"/>
      <c r="C101" s="698"/>
      <c r="D101" s="348" t="s">
        <v>508</v>
      </c>
      <c r="E101" s="348"/>
      <c r="F101" s="347"/>
      <c r="G101" s="347"/>
      <c r="H101" s="347"/>
      <c r="I101" s="347"/>
      <c r="J101" s="347"/>
      <c r="K101" s="347"/>
      <c r="L101" s="347"/>
      <c r="M101" s="346"/>
      <c r="N101" s="327"/>
      <c r="O101" s="345"/>
      <c r="P101" s="345"/>
      <c r="Q101" s="345"/>
      <c r="R101" s="345"/>
      <c r="S101" s="345"/>
      <c r="T101" s="344"/>
      <c r="U101" s="345"/>
      <c r="V101" s="345"/>
      <c r="W101" s="327"/>
      <c r="X101" s="344"/>
      <c r="Y101" s="344"/>
      <c r="Z101" s="344"/>
      <c r="AA101" s="344"/>
      <c r="AB101" s="344"/>
      <c r="AC101" s="344"/>
      <c r="AD101" s="344"/>
      <c r="AE101" s="344"/>
      <c r="AF101" s="344"/>
      <c r="AG101" s="344"/>
      <c r="AH101" s="344"/>
      <c r="AI101" s="327"/>
      <c r="AJ101" s="343" t="s">
        <v>507</v>
      </c>
      <c r="AK101" s="343" t="s">
        <v>506</v>
      </c>
      <c r="AL101" s="343" t="s">
        <v>505</v>
      </c>
    </row>
    <row r="102" spans="1:38" ht="15" customHeight="1" x14ac:dyDescent="0.2">
      <c r="A102" s="699" t="s">
        <v>321</v>
      </c>
      <c r="B102" s="699" t="s">
        <v>504</v>
      </c>
      <c r="C102" s="700" t="s">
        <v>320</v>
      </c>
      <c r="D102" s="700" t="s">
        <v>503</v>
      </c>
      <c r="E102" s="700" t="s">
        <v>502</v>
      </c>
      <c r="F102" s="701" t="s">
        <v>501</v>
      </c>
      <c r="G102" s="701" t="s">
        <v>500</v>
      </c>
      <c r="H102" s="701" t="s">
        <v>499</v>
      </c>
      <c r="I102" s="701"/>
      <c r="J102" s="701" t="s">
        <v>490</v>
      </c>
      <c r="K102" s="701"/>
      <c r="L102" s="701" t="s">
        <v>498</v>
      </c>
      <c r="M102" s="696" t="s">
        <v>497</v>
      </c>
      <c r="N102" s="327"/>
      <c r="O102" s="693" t="s">
        <v>496</v>
      </c>
      <c r="P102" s="694" t="s">
        <v>495</v>
      </c>
      <c r="Q102" s="342" t="s">
        <v>491</v>
      </c>
      <c r="R102" s="339" t="s">
        <v>490</v>
      </c>
      <c r="S102" s="339" t="s">
        <v>489</v>
      </c>
      <c r="T102" s="693" t="s">
        <v>494</v>
      </c>
      <c r="U102" s="691" t="s">
        <v>493</v>
      </c>
      <c r="V102" s="702" t="s">
        <v>492</v>
      </c>
      <c r="W102" s="327"/>
      <c r="X102" s="341" t="s">
        <v>491</v>
      </c>
      <c r="Y102" s="339" t="s">
        <v>490</v>
      </c>
      <c r="Z102" s="339" t="s">
        <v>489</v>
      </c>
      <c r="AA102" s="693" t="s">
        <v>488</v>
      </c>
      <c r="AB102" s="693" t="s">
        <v>487</v>
      </c>
      <c r="AC102" s="691" t="s">
        <v>486</v>
      </c>
      <c r="AD102" s="691" t="s">
        <v>485</v>
      </c>
      <c r="AE102" s="691" t="s">
        <v>484</v>
      </c>
      <c r="AF102" s="691" t="s">
        <v>483</v>
      </c>
      <c r="AG102" s="691" t="s">
        <v>482</v>
      </c>
      <c r="AH102" s="691" t="s">
        <v>481</v>
      </c>
      <c r="AI102" s="327"/>
      <c r="AJ102" s="693"/>
      <c r="AK102" s="693"/>
      <c r="AL102" s="693"/>
    </row>
    <row r="103" spans="1:38" ht="18" customHeight="1" x14ac:dyDescent="0.2">
      <c r="A103" s="699"/>
      <c r="B103" s="699"/>
      <c r="C103" s="700"/>
      <c r="D103" s="700"/>
      <c r="E103" s="700"/>
      <c r="F103" s="701"/>
      <c r="G103" s="701"/>
      <c r="H103" s="339" t="s">
        <v>480</v>
      </c>
      <c r="I103" s="339" t="s">
        <v>479</v>
      </c>
      <c r="J103" s="339" t="s">
        <v>480</v>
      </c>
      <c r="K103" s="339" t="s">
        <v>479</v>
      </c>
      <c r="L103" s="701"/>
      <c r="M103" s="697"/>
      <c r="N103" s="327"/>
      <c r="O103" s="693"/>
      <c r="P103" s="695"/>
      <c r="Q103" s="339" t="s">
        <v>480</v>
      </c>
      <c r="R103" s="339" t="s">
        <v>480</v>
      </c>
      <c r="S103" s="339" t="s">
        <v>480</v>
      </c>
      <c r="T103" s="693"/>
      <c r="U103" s="692"/>
      <c r="V103" s="703"/>
      <c r="W103" s="327"/>
      <c r="X103" s="340" t="s">
        <v>479</v>
      </c>
      <c r="Y103" s="339" t="s">
        <v>479</v>
      </c>
      <c r="Z103" s="339" t="s">
        <v>479</v>
      </c>
      <c r="AA103" s="693"/>
      <c r="AB103" s="693"/>
      <c r="AC103" s="692"/>
      <c r="AD103" s="692"/>
      <c r="AE103" s="692"/>
      <c r="AF103" s="692"/>
      <c r="AG103" s="692"/>
      <c r="AH103" s="692"/>
      <c r="AI103" s="327"/>
      <c r="AJ103" s="693"/>
      <c r="AK103" s="693"/>
      <c r="AL103" s="693"/>
    </row>
    <row r="104" spans="1:38" ht="18" customHeight="1" x14ac:dyDescent="0.2">
      <c r="A104" s="338">
        <v>4</v>
      </c>
      <c r="B104" s="338">
        <v>1</v>
      </c>
      <c r="C104" s="324"/>
      <c r="D104" s="324"/>
      <c r="E104" s="324"/>
      <c r="F104" s="337">
        <f>G129</f>
        <v>0</v>
      </c>
      <c r="G104" s="337">
        <f>F104*B104</f>
        <v>0</v>
      </c>
      <c r="H104" s="336">
        <f>IF(OR($A$101='4. LISTAS'!$C$35, $A$101='4. LISTAS'!$C$36),(VLOOKUP('1.DASHBOARD'!$B$8,'4. LISTAS'!$F$2:$G$11,2,FALSE)),0)</f>
        <v>0.18</v>
      </c>
      <c r="I104" s="334">
        <f t="shared" ref="I104:I128" si="38">H104*(G104+K104)</f>
        <v>0</v>
      </c>
      <c r="J104" s="335">
        <f>VLOOKUP($A$101,'4. LISTAS'!$C$35:$F$37,4,0)</f>
        <v>0.1125</v>
      </c>
      <c r="K104" s="334">
        <f t="shared" ref="K104:K128" si="39">J104*G104</f>
        <v>0</v>
      </c>
      <c r="L104" s="334">
        <f t="shared" ref="L104:L128" si="40">G104+K104</f>
        <v>0</v>
      </c>
      <c r="M104" s="333"/>
      <c r="N104" s="327"/>
      <c r="O104" s="332"/>
      <c r="P104" s="332"/>
      <c r="Q104" s="331"/>
      <c r="R104" s="331"/>
      <c r="S104" s="331"/>
      <c r="T104" s="328"/>
      <c r="U104" s="326"/>
      <c r="V104" s="330"/>
      <c r="W104" s="327"/>
      <c r="X104" s="326">
        <f>SUM(X105:X128)</f>
        <v>0</v>
      </c>
      <c r="Y104" s="326">
        <f>SUM(Y105:Y128)</f>
        <v>0</v>
      </c>
      <c r="Z104" s="326">
        <f>SUM(Z105:Z128)</f>
        <v>0</v>
      </c>
      <c r="AA104" s="326">
        <f>SUM(AA105:AA128)</f>
        <v>0</v>
      </c>
      <c r="AB104" s="326">
        <f>SUM(AB105:AB128)</f>
        <v>0</v>
      </c>
      <c r="AC104" s="328"/>
      <c r="AD104" s="328"/>
      <c r="AE104" s="328"/>
      <c r="AF104" s="328"/>
      <c r="AG104" s="329">
        <f>AG105</f>
        <v>5.9299999999999999E-2</v>
      </c>
      <c r="AH104" s="328"/>
      <c r="AI104" s="327"/>
      <c r="AJ104" s="326"/>
      <c r="AK104" s="326"/>
      <c r="AL104" s="326"/>
    </row>
    <row r="105" spans="1:38" x14ac:dyDescent="0.2">
      <c r="A105" s="323" t="s">
        <v>654</v>
      </c>
      <c r="B105" s="323">
        <v>1</v>
      </c>
      <c r="C105" s="321"/>
      <c r="D105" s="321"/>
      <c r="E105" s="321"/>
      <c r="F105" s="306">
        <f t="shared" ref="F105:F124" si="41">G105/B105</f>
        <v>0</v>
      </c>
      <c r="G105" s="305">
        <f>IF($A$101='4. LISTAS'!$C$35,IF(V105="sim",AD105/(1-AG105),AD105/(1-AG105-(H105*(1+J105)))),IF($A$101='4. LISTAS'!$C$36,(AD105/(1-AG105-(H105*(1+J105)))),IF($A$101='4. LISTAS'!$C$37,(AB105/(1-AC105-AH105)),"Erro")))</f>
        <v>0</v>
      </c>
      <c r="H105" s="320">
        <f>IF(AND($A$101='4. LISTAS'!$C$35,'Fornec. TAGNA'!U105="Sim"),0,IF(OR($A$101='4. LISTAS'!$C$35, $A$101='4. LISTAS'!$C$36),(VLOOKUP('1.DASHBOARD'!$B$8,'4. LISTAS'!$F$2:$G$11,2,FALSE)),0))</f>
        <v>0.18</v>
      </c>
      <c r="I105" s="305">
        <f t="shared" si="38"/>
        <v>0</v>
      </c>
      <c r="J105" s="319">
        <f>VLOOKUP($A$101,'4. LISTAS'!$C$35:$F$37,4,0)</f>
        <v>0.1125</v>
      </c>
      <c r="K105" s="305">
        <f t="shared" si="39"/>
        <v>0</v>
      </c>
      <c r="L105" s="305">
        <f t="shared" si="40"/>
        <v>0</v>
      </c>
      <c r="M105" s="318"/>
      <c r="N105" s="296"/>
      <c r="O105" s="317"/>
      <c r="P105" s="317"/>
      <c r="Q105" s="320">
        <v>0.04</v>
      </c>
      <c r="R105" s="320">
        <v>0.15</v>
      </c>
      <c r="S105" s="320">
        <v>0</v>
      </c>
      <c r="T105" s="305"/>
      <c r="U105" s="316" t="str">
        <f t="shared" ref="U105:U128" si="42">IF(T105="","Não","Sim")</f>
        <v>Não</v>
      </c>
      <c r="V105" s="315" t="s">
        <v>454</v>
      </c>
      <c r="W105" s="296"/>
      <c r="X105" s="314">
        <f t="shared" ref="X105:X129" si="43">B105*P105*Q105</f>
        <v>0</v>
      </c>
      <c r="Y105" s="312">
        <f t="shared" ref="Y105:Y129" si="44">B105*P105*R105</f>
        <v>0</v>
      </c>
      <c r="Z105" s="312">
        <f t="shared" ref="Z105:Z129" si="45">B105*P105*S105</f>
        <v>0</v>
      </c>
      <c r="AA105" s="294">
        <f>IF($A$101='4. LISTAS'!$C$35,(P105*B105+T105+Y105+Z105),IF($A$101='4. LISTAS'!$C$36,P105*B105+Y105,IF($A$101='4. LISTAS'!$C$37,P105*B105,"Erro")))</f>
        <v>0</v>
      </c>
      <c r="AB105" s="294">
        <f>IF($A$101='4. LISTAS'!$C$35,IF(V105="sim",AA105,AA105-X105),IF($A$101='4. LISTAS'!$C$36,IF(V105="Sim",AA105-X105,AA105-X105-Y105),IF($A$101='4. LISTAS'!$C$37,AA105,"erro")))</f>
        <v>0</v>
      </c>
      <c r="AC105" s="325">
        <f>'1.DASHBOARD'!$B$14+'1.DASHBOARD'!$B$16</f>
        <v>0.30349999999999999</v>
      </c>
      <c r="AD105" s="294">
        <f t="shared" ref="AD105:AD128" si="46">AB105/(1-AC105)</f>
        <v>0</v>
      </c>
      <c r="AE105" s="312">
        <f t="shared" ref="AE105:AE128" si="47">X105</f>
        <v>0</v>
      </c>
      <c r="AF105" s="312">
        <f t="shared" ref="AF105:AF128" si="48">Y105</f>
        <v>0</v>
      </c>
      <c r="AG105" s="311">
        <f>'4. LISTAS'!$M$6</f>
        <v>5.9299999999999999E-2</v>
      </c>
      <c r="AH105" s="310">
        <f>'4. LISTAS'!$M$5</f>
        <v>0.17</v>
      </c>
      <c r="AI105" s="296"/>
      <c r="AJ105" s="324"/>
      <c r="AK105" s="324"/>
      <c r="AL105" s="324"/>
    </row>
    <row r="106" spans="1:38" x14ac:dyDescent="0.2">
      <c r="A106" s="323" t="s">
        <v>653</v>
      </c>
      <c r="B106" s="323">
        <v>1</v>
      </c>
      <c r="C106" s="321"/>
      <c r="D106" s="321"/>
      <c r="E106" s="321"/>
      <c r="F106" s="306">
        <f t="shared" si="41"/>
        <v>0</v>
      </c>
      <c r="G106" s="305">
        <f>IF($A$101='4. LISTAS'!$C$35,IF(V106="sim",AD106/(1-AG106),AD106/(1-AG106-(H106*(1+J106)))),IF($A$101='4. LISTAS'!$C$36,(AD106/(1-AG106-(H106*(1+J106)))),IF($A$101='4. LISTAS'!$C$37,(AB106/(1-AC106-AH106)),"Erro")))</f>
        <v>0</v>
      </c>
      <c r="H106" s="320">
        <f>IF(AND($A$101='4. LISTAS'!$C$35,'Fornec. TAGNA'!U106="Sim"),0,IF(OR($A$101='4. LISTAS'!$C$35, $A$101='4. LISTAS'!$C$36),(VLOOKUP('1.DASHBOARD'!$B$8,'4. LISTAS'!$F$2:$G$11,2,FALSE)),0))</f>
        <v>0.18</v>
      </c>
      <c r="I106" s="305">
        <f t="shared" si="38"/>
        <v>0</v>
      </c>
      <c r="J106" s="319">
        <f>VLOOKUP($A$101,'4. LISTAS'!$C$35:$F$37,4,0)</f>
        <v>0.1125</v>
      </c>
      <c r="K106" s="305">
        <f t="shared" si="39"/>
        <v>0</v>
      </c>
      <c r="L106" s="305">
        <f t="shared" si="40"/>
        <v>0</v>
      </c>
      <c r="M106" s="318"/>
      <c r="N106" s="296"/>
      <c r="O106" s="317"/>
      <c r="P106" s="317"/>
      <c r="Q106" s="320">
        <v>0.04</v>
      </c>
      <c r="R106" s="320">
        <v>0.15</v>
      </c>
      <c r="S106" s="320">
        <v>0</v>
      </c>
      <c r="T106" s="305"/>
      <c r="U106" s="316" t="str">
        <f t="shared" si="42"/>
        <v>Não</v>
      </c>
      <c r="V106" s="315" t="s">
        <v>454</v>
      </c>
      <c r="W106" s="296"/>
      <c r="X106" s="314">
        <f t="shared" si="43"/>
        <v>0</v>
      </c>
      <c r="Y106" s="312">
        <f t="shared" si="44"/>
        <v>0</v>
      </c>
      <c r="Z106" s="312">
        <f t="shared" si="45"/>
        <v>0</v>
      </c>
      <c r="AA106" s="294">
        <f>IF($A$101='4. LISTAS'!$C$35,(P106*B106+T106+Y106+Z106),IF($A$101='4. LISTAS'!$C$36,P106*B106+Y106,IF($A$101='4. LISTAS'!$C$37,P106*B106,"Erro")))</f>
        <v>0</v>
      </c>
      <c r="AB106" s="294">
        <f>IF($A$101='4. LISTAS'!$C$35,IF(V106="sim",AA106,AA106-X106),IF($A$101='4. LISTAS'!$C$36,IF(V106="Sim",AA106-X106,AA106-X106-Y106),IF($A$101='4. LISTAS'!$C$37,AA106,"erro")))</f>
        <v>0</v>
      </c>
      <c r="AC106" s="313">
        <f t="shared" ref="AC106:AC124" si="49">AC105</f>
        <v>0.30349999999999999</v>
      </c>
      <c r="AD106" s="294">
        <f t="shared" si="46"/>
        <v>0</v>
      </c>
      <c r="AE106" s="312">
        <f t="shared" si="47"/>
        <v>0</v>
      </c>
      <c r="AF106" s="312">
        <f t="shared" si="48"/>
        <v>0</v>
      </c>
      <c r="AG106" s="311">
        <f>'4. LISTAS'!$M$6</f>
        <v>5.9299999999999999E-2</v>
      </c>
      <c r="AH106" s="310">
        <f>'4. LISTAS'!$M$5</f>
        <v>0.17</v>
      </c>
      <c r="AI106" s="296"/>
      <c r="AJ106" s="321"/>
      <c r="AK106" s="321"/>
      <c r="AL106" s="321"/>
    </row>
    <row r="107" spans="1:38" x14ac:dyDescent="0.2">
      <c r="A107" s="323" t="s">
        <v>652</v>
      </c>
      <c r="B107" s="323">
        <v>1</v>
      </c>
      <c r="C107" s="321"/>
      <c r="D107" s="321"/>
      <c r="E107" s="321"/>
      <c r="F107" s="306">
        <f t="shared" si="41"/>
        <v>0</v>
      </c>
      <c r="G107" s="305">
        <f>IF($A$101='4. LISTAS'!$C$35,IF(V107="sim",AD107/(1-AG107),AD107/(1-AG107-(H107*(1+J107)))),IF($A$101='4. LISTAS'!$C$36,(AD107/(1-AG107-(H107*(1+J107)))),IF($A$101='4. LISTAS'!$C$37,(AB107/(1-AC107-AH107)),"Erro")))</f>
        <v>0</v>
      </c>
      <c r="H107" s="320">
        <f>IF(AND($A$101='4. LISTAS'!$C$35,'Fornec. TAGNA'!U107="Sim"),0,IF(OR($A$101='4. LISTAS'!$C$35, $A$101='4. LISTAS'!$C$36),(VLOOKUP('1.DASHBOARD'!$B$8,'4. LISTAS'!$F$2:$G$11,2,FALSE)),0))</f>
        <v>0.18</v>
      </c>
      <c r="I107" s="305">
        <f t="shared" si="38"/>
        <v>0</v>
      </c>
      <c r="J107" s="319">
        <f>VLOOKUP($A$101,'4. LISTAS'!$C$35:$F$37,4,0)</f>
        <v>0.1125</v>
      </c>
      <c r="K107" s="305">
        <f t="shared" si="39"/>
        <v>0</v>
      </c>
      <c r="L107" s="305">
        <f t="shared" si="40"/>
        <v>0</v>
      </c>
      <c r="M107" s="318"/>
      <c r="N107" s="296"/>
      <c r="O107" s="317"/>
      <c r="P107" s="317"/>
      <c r="Q107" s="320">
        <v>0.04</v>
      </c>
      <c r="R107" s="320">
        <v>0.15</v>
      </c>
      <c r="S107" s="320">
        <v>0</v>
      </c>
      <c r="T107" s="305"/>
      <c r="U107" s="316" t="str">
        <f t="shared" si="42"/>
        <v>Não</v>
      </c>
      <c r="V107" s="315" t="s">
        <v>454</v>
      </c>
      <c r="W107" s="296"/>
      <c r="X107" s="314">
        <f t="shared" si="43"/>
        <v>0</v>
      </c>
      <c r="Y107" s="312">
        <f t="shared" si="44"/>
        <v>0</v>
      </c>
      <c r="Z107" s="312">
        <f t="shared" si="45"/>
        <v>0</v>
      </c>
      <c r="AA107" s="294">
        <f>IF($A$101='4. LISTAS'!$C$35,(P107*B107+T107+Y107+Z107),IF($A$101='4. LISTAS'!$C$36,P107*B107+Y107,IF($A$101='4. LISTAS'!$C$37,P107*B107,"Erro")))</f>
        <v>0</v>
      </c>
      <c r="AB107" s="294">
        <f>IF($A$101='4. LISTAS'!$C$35,IF(V107="sim",AA107,AA107-X107),IF($A$101='4. LISTAS'!$C$36,IF(V107="Sim",AA107-X107,AA107-X107-Y107),IF($A$101='4. LISTAS'!$C$37,AA107,"erro")))</f>
        <v>0</v>
      </c>
      <c r="AC107" s="313">
        <f t="shared" si="49"/>
        <v>0.30349999999999999</v>
      </c>
      <c r="AD107" s="294">
        <f t="shared" si="46"/>
        <v>0</v>
      </c>
      <c r="AE107" s="312">
        <f t="shared" si="47"/>
        <v>0</v>
      </c>
      <c r="AF107" s="312">
        <f t="shared" si="48"/>
        <v>0</v>
      </c>
      <c r="AG107" s="311">
        <f>'4. LISTAS'!$M$6</f>
        <v>5.9299999999999999E-2</v>
      </c>
      <c r="AH107" s="310">
        <f>'4. LISTAS'!$M$5</f>
        <v>0.17</v>
      </c>
      <c r="AI107" s="296"/>
      <c r="AJ107" s="321"/>
      <c r="AK107" s="321"/>
      <c r="AL107" s="321"/>
    </row>
    <row r="108" spans="1:38" x14ac:dyDescent="0.2">
      <c r="A108" s="323" t="s">
        <v>651</v>
      </c>
      <c r="B108" s="323">
        <v>1</v>
      </c>
      <c r="C108" s="321"/>
      <c r="D108" s="321"/>
      <c r="E108" s="321"/>
      <c r="F108" s="306">
        <f t="shared" si="41"/>
        <v>0</v>
      </c>
      <c r="G108" s="305">
        <f>IF($A$101='4. LISTAS'!$C$35,IF(V108="sim",AD108/(1-AG108),AD108/(1-AG108-(H108*(1+J108)))),IF($A$101='4. LISTAS'!$C$36,(AD108/(1-AG108-(H108*(1+J108)))),IF($A$101='4. LISTAS'!$C$37,(AB108/(1-AC108-AH108)),"Erro")))</f>
        <v>0</v>
      </c>
      <c r="H108" s="320">
        <f>IF(AND($A$101='4. LISTAS'!$C$35,'Fornec. TAGNA'!U108="Sim"),0,IF(OR($A$101='4. LISTAS'!$C$35, $A$101='4. LISTAS'!$C$36),(VLOOKUP('1.DASHBOARD'!$B$8,'4. LISTAS'!$F$2:$G$11,2,FALSE)),0))</f>
        <v>0.18</v>
      </c>
      <c r="I108" s="305">
        <f t="shared" si="38"/>
        <v>0</v>
      </c>
      <c r="J108" s="319">
        <f>VLOOKUP($A$101,'4. LISTAS'!$C$35:$F$37,4,0)</f>
        <v>0.1125</v>
      </c>
      <c r="K108" s="305">
        <f t="shared" si="39"/>
        <v>0</v>
      </c>
      <c r="L108" s="305">
        <f t="shared" si="40"/>
        <v>0</v>
      </c>
      <c r="M108" s="318"/>
      <c r="N108" s="296"/>
      <c r="O108" s="317"/>
      <c r="P108" s="317"/>
      <c r="Q108" s="320">
        <v>0.04</v>
      </c>
      <c r="R108" s="320">
        <v>0.15</v>
      </c>
      <c r="S108" s="320">
        <v>0</v>
      </c>
      <c r="T108" s="305"/>
      <c r="U108" s="316" t="str">
        <f t="shared" si="42"/>
        <v>Não</v>
      </c>
      <c r="V108" s="315" t="s">
        <v>454</v>
      </c>
      <c r="W108" s="296"/>
      <c r="X108" s="314">
        <f t="shared" si="43"/>
        <v>0</v>
      </c>
      <c r="Y108" s="312">
        <f t="shared" si="44"/>
        <v>0</v>
      </c>
      <c r="Z108" s="312">
        <f t="shared" si="45"/>
        <v>0</v>
      </c>
      <c r="AA108" s="294">
        <f>IF($A$101='4. LISTAS'!$C$35,(P108*B108+T108+Y108+Z108),IF($A$101='4. LISTAS'!$C$36,P108*B108+Y108,IF($A$101='4. LISTAS'!$C$37,P108*B108,"Erro")))</f>
        <v>0</v>
      </c>
      <c r="AB108" s="294">
        <f>IF($A$101='4. LISTAS'!$C$35,IF(V108="sim",AA108,AA108-X108),IF($A$101='4. LISTAS'!$C$36,IF(V108="Sim",AA108-X108,AA108-X108-Y108),IF($A$101='4. LISTAS'!$C$37,AA108,"erro")))</f>
        <v>0</v>
      </c>
      <c r="AC108" s="313">
        <f t="shared" si="49"/>
        <v>0.30349999999999999</v>
      </c>
      <c r="AD108" s="294">
        <f t="shared" si="46"/>
        <v>0</v>
      </c>
      <c r="AE108" s="312">
        <f t="shared" si="47"/>
        <v>0</v>
      </c>
      <c r="AF108" s="312">
        <f t="shared" si="48"/>
        <v>0</v>
      </c>
      <c r="AG108" s="311">
        <f>'4. LISTAS'!$M$6</f>
        <v>5.9299999999999999E-2</v>
      </c>
      <c r="AH108" s="310">
        <f>'4. LISTAS'!$M$5</f>
        <v>0.17</v>
      </c>
      <c r="AI108" s="296"/>
      <c r="AJ108" s="321"/>
      <c r="AK108" s="321"/>
      <c r="AL108" s="321"/>
    </row>
    <row r="109" spans="1:38" x14ac:dyDescent="0.2">
      <c r="A109" s="323" t="s">
        <v>650</v>
      </c>
      <c r="B109" s="323">
        <v>1</v>
      </c>
      <c r="C109" s="321"/>
      <c r="D109" s="321"/>
      <c r="E109" s="321"/>
      <c r="F109" s="306">
        <f t="shared" si="41"/>
        <v>0</v>
      </c>
      <c r="G109" s="305">
        <f>IF($A$101='4. LISTAS'!$C$35,IF(V109="sim",AD109/(1-AG109),AD109/(1-AG109-(H109*(1+J109)))),IF($A$101='4. LISTAS'!$C$36,(AD109/(1-AG109-(H109*(1+J109)))),IF($A$101='4. LISTAS'!$C$37,(AB109/(1-AC109-AH109)),"Erro")))</f>
        <v>0</v>
      </c>
      <c r="H109" s="320">
        <f>IF(AND($A$101='4. LISTAS'!$C$35,'Fornec. TAGNA'!U109="Sim"),0,IF(OR($A$101='4. LISTAS'!$C$35, $A$101='4. LISTAS'!$C$36),(VLOOKUP('1.DASHBOARD'!$B$8,'4. LISTAS'!$F$2:$G$11,2,FALSE)),0))</f>
        <v>0.18</v>
      </c>
      <c r="I109" s="305">
        <f t="shared" si="38"/>
        <v>0</v>
      </c>
      <c r="J109" s="319">
        <f>VLOOKUP($A$101,'4. LISTAS'!$C$35:$F$37,4,0)</f>
        <v>0.1125</v>
      </c>
      <c r="K109" s="305">
        <f t="shared" si="39"/>
        <v>0</v>
      </c>
      <c r="L109" s="305">
        <f t="shared" si="40"/>
        <v>0</v>
      </c>
      <c r="M109" s="318"/>
      <c r="N109" s="296"/>
      <c r="O109" s="317"/>
      <c r="P109" s="317"/>
      <c r="Q109" s="320">
        <v>0.04</v>
      </c>
      <c r="R109" s="320">
        <v>0.15</v>
      </c>
      <c r="S109" s="320">
        <v>0</v>
      </c>
      <c r="T109" s="305"/>
      <c r="U109" s="316" t="str">
        <f t="shared" si="42"/>
        <v>Não</v>
      </c>
      <c r="V109" s="315" t="s">
        <v>454</v>
      </c>
      <c r="W109" s="296"/>
      <c r="X109" s="314">
        <f t="shared" si="43"/>
        <v>0</v>
      </c>
      <c r="Y109" s="312">
        <f t="shared" si="44"/>
        <v>0</v>
      </c>
      <c r="Z109" s="312">
        <f t="shared" si="45"/>
        <v>0</v>
      </c>
      <c r="AA109" s="294">
        <f>IF($A$101='4. LISTAS'!$C$35,(P109*B109+T109+Y109+Z109),IF($A$101='4. LISTAS'!$C$36,P109*B109+Y109,IF($A$101='4. LISTAS'!$C$37,P109*B109,"Erro")))</f>
        <v>0</v>
      </c>
      <c r="AB109" s="294">
        <f>IF($A$101='4. LISTAS'!$C$35,IF(V109="sim",AA109,AA109-X109),IF($A$101='4. LISTAS'!$C$36,IF(V109="Sim",AA109-X109,AA109-X109-Y109),IF($A$101='4. LISTAS'!$C$37,AA109,"erro")))</f>
        <v>0</v>
      </c>
      <c r="AC109" s="313">
        <f t="shared" si="49"/>
        <v>0.30349999999999999</v>
      </c>
      <c r="AD109" s="294">
        <f t="shared" si="46"/>
        <v>0</v>
      </c>
      <c r="AE109" s="312">
        <f t="shared" si="47"/>
        <v>0</v>
      </c>
      <c r="AF109" s="312">
        <f t="shared" si="48"/>
        <v>0</v>
      </c>
      <c r="AG109" s="311">
        <f>'4. LISTAS'!$M$6</f>
        <v>5.9299999999999999E-2</v>
      </c>
      <c r="AH109" s="310">
        <f>'4. LISTAS'!$M$5</f>
        <v>0.17</v>
      </c>
      <c r="AI109" s="296"/>
      <c r="AJ109" s="321"/>
      <c r="AK109" s="321"/>
      <c r="AL109" s="321"/>
    </row>
    <row r="110" spans="1:38" x14ac:dyDescent="0.2">
      <c r="A110" s="323" t="s">
        <v>649</v>
      </c>
      <c r="B110" s="323">
        <v>1</v>
      </c>
      <c r="C110" s="321"/>
      <c r="D110" s="321"/>
      <c r="E110" s="321"/>
      <c r="F110" s="306">
        <f t="shared" si="41"/>
        <v>0</v>
      </c>
      <c r="G110" s="305">
        <f>IF($A$101='4. LISTAS'!$C$35,IF(V110="sim",AD110/(1-AG110),AD110/(1-AG110-(H110*(1+J110)))),IF($A$101='4. LISTAS'!$C$36,(AD110/(1-AG110-(H110*(1+J110)))),IF($A$101='4. LISTAS'!$C$37,(AB110/(1-AC110-AH110)),"Erro")))</f>
        <v>0</v>
      </c>
      <c r="H110" s="320">
        <f>IF(AND($A$101='4. LISTAS'!$C$35,'Fornec. TAGNA'!U110="Sim"),0,IF(OR($A$101='4. LISTAS'!$C$35, $A$101='4. LISTAS'!$C$36),(VLOOKUP('1.DASHBOARD'!$B$8,'4. LISTAS'!$F$2:$G$11,2,FALSE)),0))</f>
        <v>0.18</v>
      </c>
      <c r="I110" s="305">
        <f t="shared" si="38"/>
        <v>0</v>
      </c>
      <c r="J110" s="319">
        <f>VLOOKUP($A$101,'4. LISTAS'!$C$35:$F$37,4,0)</f>
        <v>0.1125</v>
      </c>
      <c r="K110" s="305">
        <f t="shared" si="39"/>
        <v>0</v>
      </c>
      <c r="L110" s="305">
        <f t="shared" si="40"/>
        <v>0</v>
      </c>
      <c r="M110" s="318"/>
      <c r="N110" s="296"/>
      <c r="O110" s="317"/>
      <c r="P110" s="317"/>
      <c r="Q110" s="320">
        <v>0.04</v>
      </c>
      <c r="R110" s="320">
        <v>0.15</v>
      </c>
      <c r="S110" s="320">
        <v>0</v>
      </c>
      <c r="T110" s="305"/>
      <c r="U110" s="316" t="str">
        <f t="shared" si="42"/>
        <v>Não</v>
      </c>
      <c r="V110" s="315" t="s">
        <v>454</v>
      </c>
      <c r="W110" s="296"/>
      <c r="X110" s="314">
        <f t="shared" si="43"/>
        <v>0</v>
      </c>
      <c r="Y110" s="312">
        <f t="shared" si="44"/>
        <v>0</v>
      </c>
      <c r="Z110" s="312">
        <f t="shared" si="45"/>
        <v>0</v>
      </c>
      <c r="AA110" s="294">
        <f>IF($A$101='4. LISTAS'!$C$35,(P110*B110+T110+Y110+Z110),IF($A$101='4. LISTAS'!$C$36,P110*B110+Y110,IF($A$101='4. LISTAS'!$C$37,P110*B110,"Erro")))</f>
        <v>0</v>
      </c>
      <c r="AB110" s="294">
        <f>IF($A$101='4. LISTAS'!$C$35,IF(V110="sim",AA110,AA110-X110),IF($A$101='4. LISTAS'!$C$36,IF(V110="Sim",AA110-X110,AA110-X110-Y110),IF($A$101='4. LISTAS'!$C$37,AA110,"erro")))</f>
        <v>0</v>
      </c>
      <c r="AC110" s="313">
        <f t="shared" si="49"/>
        <v>0.30349999999999999</v>
      </c>
      <c r="AD110" s="294">
        <f t="shared" si="46"/>
        <v>0</v>
      </c>
      <c r="AE110" s="312">
        <f t="shared" si="47"/>
        <v>0</v>
      </c>
      <c r="AF110" s="312">
        <f t="shared" si="48"/>
        <v>0</v>
      </c>
      <c r="AG110" s="311">
        <f>'4. LISTAS'!$M$6</f>
        <v>5.9299999999999999E-2</v>
      </c>
      <c r="AH110" s="310">
        <f>'4. LISTAS'!$M$5</f>
        <v>0.17</v>
      </c>
      <c r="AI110" s="296"/>
      <c r="AJ110" s="321"/>
      <c r="AK110" s="321"/>
      <c r="AL110" s="321"/>
    </row>
    <row r="111" spans="1:38" x14ac:dyDescent="0.2">
      <c r="A111" s="323" t="s">
        <v>648</v>
      </c>
      <c r="B111" s="323">
        <v>1</v>
      </c>
      <c r="C111" s="321"/>
      <c r="D111" s="321"/>
      <c r="E111" s="321"/>
      <c r="F111" s="306">
        <f t="shared" si="41"/>
        <v>0</v>
      </c>
      <c r="G111" s="305">
        <f>IF($A$101='4. LISTAS'!$C$35,IF(V111="sim",AD111/(1-AG111),AD111/(1-AG111-(H111*(1+J111)))),IF($A$101='4. LISTAS'!$C$36,(AD111/(1-AG111-(H111*(1+J111)))),IF($A$101='4. LISTAS'!$C$37,(AB111/(1-AC111-AH111)),"Erro")))</f>
        <v>0</v>
      </c>
      <c r="H111" s="320">
        <f>IF(AND($A$101='4. LISTAS'!$C$35,'Fornec. TAGNA'!U111="Sim"),0,IF(OR($A$101='4. LISTAS'!$C$35, $A$101='4. LISTAS'!$C$36),(VLOOKUP('1.DASHBOARD'!$B$8,'4. LISTAS'!$F$2:$G$11,2,FALSE)),0))</f>
        <v>0.18</v>
      </c>
      <c r="I111" s="305">
        <f t="shared" si="38"/>
        <v>0</v>
      </c>
      <c r="J111" s="319">
        <f>VLOOKUP($A$101,'4. LISTAS'!$C$35:$F$37,4,0)</f>
        <v>0.1125</v>
      </c>
      <c r="K111" s="305">
        <f t="shared" si="39"/>
        <v>0</v>
      </c>
      <c r="L111" s="305">
        <f t="shared" si="40"/>
        <v>0</v>
      </c>
      <c r="M111" s="318"/>
      <c r="N111" s="296"/>
      <c r="O111" s="317"/>
      <c r="P111" s="317"/>
      <c r="Q111" s="320">
        <v>0.04</v>
      </c>
      <c r="R111" s="320">
        <v>0.15</v>
      </c>
      <c r="S111" s="320">
        <v>0</v>
      </c>
      <c r="T111" s="305"/>
      <c r="U111" s="316" t="str">
        <f t="shared" si="42"/>
        <v>Não</v>
      </c>
      <c r="V111" s="315" t="s">
        <v>454</v>
      </c>
      <c r="W111" s="296"/>
      <c r="X111" s="314">
        <f t="shared" si="43"/>
        <v>0</v>
      </c>
      <c r="Y111" s="312">
        <f t="shared" si="44"/>
        <v>0</v>
      </c>
      <c r="Z111" s="312">
        <f t="shared" si="45"/>
        <v>0</v>
      </c>
      <c r="AA111" s="294">
        <f>IF($A$101='4. LISTAS'!$C$35,(P111*B111+T111+Y111+Z111),IF($A$101='4. LISTAS'!$C$36,P111*B111+Y111,IF($A$101='4. LISTAS'!$C$37,P111*B111,"Erro")))</f>
        <v>0</v>
      </c>
      <c r="AB111" s="294">
        <f>IF($A$101='4. LISTAS'!$C$35,IF(V111="sim",AA111,AA111-X111),IF($A$101='4. LISTAS'!$C$36,IF(V111="Sim",AA111-X111,AA111-X111-Y111),IF($A$101='4. LISTAS'!$C$37,AA111,"erro")))</f>
        <v>0</v>
      </c>
      <c r="AC111" s="313">
        <f t="shared" si="49"/>
        <v>0.30349999999999999</v>
      </c>
      <c r="AD111" s="294">
        <f t="shared" si="46"/>
        <v>0</v>
      </c>
      <c r="AE111" s="312">
        <f t="shared" si="47"/>
        <v>0</v>
      </c>
      <c r="AF111" s="312">
        <f t="shared" si="48"/>
        <v>0</v>
      </c>
      <c r="AG111" s="311">
        <f>'4. LISTAS'!$M$6</f>
        <v>5.9299999999999999E-2</v>
      </c>
      <c r="AH111" s="310">
        <f>'4. LISTAS'!$M$5</f>
        <v>0.17</v>
      </c>
      <c r="AI111" s="296"/>
      <c r="AJ111" s="321"/>
      <c r="AK111" s="321"/>
      <c r="AL111" s="321"/>
    </row>
    <row r="112" spans="1:38" x14ac:dyDescent="0.2">
      <c r="A112" s="323" t="s">
        <v>647</v>
      </c>
      <c r="B112" s="323">
        <v>1</v>
      </c>
      <c r="C112" s="321"/>
      <c r="D112" s="321"/>
      <c r="E112" s="321"/>
      <c r="F112" s="306">
        <f t="shared" si="41"/>
        <v>0</v>
      </c>
      <c r="G112" s="305">
        <f>IF($A$101='4. LISTAS'!$C$35,IF(V112="sim",AD112/(1-AG112),AD112/(1-AG112-(H112*(1+J112)))),IF($A$101='4. LISTAS'!$C$36,(AD112/(1-AG112-(H112*(1+J112)))),IF($A$101='4. LISTAS'!$C$37,(AB112/(1-AC112-AH112)),"Erro")))</f>
        <v>0</v>
      </c>
      <c r="H112" s="320">
        <f>IF(AND($A$101='4. LISTAS'!$C$35,'Fornec. TAGNA'!U112="Sim"),0,IF(OR($A$101='4. LISTAS'!$C$35, $A$101='4. LISTAS'!$C$36),(VLOOKUP('1.DASHBOARD'!$B$8,'4. LISTAS'!$F$2:$G$11,2,FALSE)),0))</f>
        <v>0.18</v>
      </c>
      <c r="I112" s="305">
        <f t="shared" si="38"/>
        <v>0</v>
      </c>
      <c r="J112" s="319">
        <f>VLOOKUP($A$101,'4. LISTAS'!$C$35:$F$37,4,0)</f>
        <v>0.1125</v>
      </c>
      <c r="K112" s="305">
        <f t="shared" si="39"/>
        <v>0</v>
      </c>
      <c r="L112" s="305">
        <f t="shared" si="40"/>
        <v>0</v>
      </c>
      <c r="M112" s="318"/>
      <c r="N112" s="296"/>
      <c r="O112" s="317"/>
      <c r="P112" s="317"/>
      <c r="Q112" s="320">
        <v>0.04</v>
      </c>
      <c r="R112" s="320">
        <v>0.15</v>
      </c>
      <c r="S112" s="320">
        <v>0</v>
      </c>
      <c r="T112" s="305"/>
      <c r="U112" s="316" t="str">
        <f t="shared" si="42"/>
        <v>Não</v>
      </c>
      <c r="V112" s="315" t="s">
        <v>454</v>
      </c>
      <c r="W112" s="296"/>
      <c r="X112" s="314">
        <f t="shared" si="43"/>
        <v>0</v>
      </c>
      <c r="Y112" s="312">
        <f t="shared" si="44"/>
        <v>0</v>
      </c>
      <c r="Z112" s="312">
        <f t="shared" si="45"/>
        <v>0</v>
      </c>
      <c r="AA112" s="294">
        <f>IF($A$101='4. LISTAS'!$C$35,(P112*B112+T112+Y112+Z112),IF($A$101='4. LISTAS'!$C$36,P112*B112+Y112,IF($A$101='4. LISTAS'!$C$37,P112*B112,"Erro")))</f>
        <v>0</v>
      </c>
      <c r="AB112" s="294">
        <f>IF($A$101='4. LISTAS'!$C$35,IF(V112="sim",AA112,AA112-X112),IF($A$101='4. LISTAS'!$C$36,IF(V112="Sim",AA112-X112,AA112-X112-Y112),IF($A$101='4. LISTAS'!$C$37,AA112,"erro")))</f>
        <v>0</v>
      </c>
      <c r="AC112" s="313">
        <f t="shared" si="49"/>
        <v>0.30349999999999999</v>
      </c>
      <c r="AD112" s="294">
        <f t="shared" si="46"/>
        <v>0</v>
      </c>
      <c r="AE112" s="312">
        <f t="shared" si="47"/>
        <v>0</v>
      </c>
      <c r="AF112" s="312">
        <f t="shared" si="48"/>
        <v>0</v>
      </c>
      <c r="AG112" s="311">
        <f>'4. LISTAS'!$M$6</f>
        <v>5.9299999999999999E-2</v>
      </c>
      <c r="AH112" s="310">
        <f>'4. LISTAS'!$M$5</f>
        <v>0.17</v>
      </c>
      <c r="AI112" s="296"/>
      <c r="AJ112" s="321"/>
      <c r="AK112" s="321"/>
      <c r="AL112" s="321"/>
    </row>
    <row r="113" spans="1:38" x14ac:dyDescent="0.2">
      <c r="A113" s="323" t="s">
        <v>646</v>
      </c>
      <c r="B113" s="323">
        <v>1</v>
      </c>
      <c r="C113" s="321"/>
      <c r="D113" s="321"/>
      <c r="E113" s="321"/>
      <c r="F113" s="306">
        <f t="shared" si="41"/>
        <v>0</v>
      </c>
      <c r="G113" s="305">
        <f>IF($A$101='4. LISTAS'!$C$35,IF(V113="sim",AD113/(1-AG113),AD113/(1-AG113-(H113*(1+J113)))),IF($A$101='4. LISTAS'!$C$36,(AD113/(1-AG113-(H113*(1+J113)))),IF($A$101='4. LISTAS'!$C$37,(AB113/(1-AC113-AH113)),"Erro")))</f>
        <v>0</v>
      </c>
      <c r="H113" s="320">
        <f>IF(AND($A$101='4. LISTAS'!$C$35,'Fornec. TAGNA'!U113="Sim"),0,IF(OR($A$101='4. LISTAS'!$C$35, $A$101='4. LISTAS'!$C$36),(VLOOKUP('1.DASHBOARD'!$B$8,'4. LISTAS'!$F$2:$G$11,2,FALSE)),0))</f>
        <v>0.18</v>
      </c>
      <c r="I113" s="305">
        <f t="shared" si="38"/>
        <v>0</v>
      </c>
      <c r="J113" s="319">
        <f>VLOOKUP($A$101,'4. LISTAS'!$C$35:$F$37,4,0)</f>
        <v>0.1125</v>
      </c>
      <c r="K113" s="305">
        <f t="shared" si="39"/>
        <v>0</v>
      </c>
      <c r="L113" s="305">
        <f t="shared" si="40"/>
        <v>0</v>
      </c>
      <c r="M113" s="318"/>
      <c r="N113" s="296"/>
      <c r="O113" s="317"/>
      <c r="P113" s="317"/>
      <c r="Q113" s="320">
        <v>0.04</v>
      </c>
      <c r="R113" s="320">
        <v>0.15</v>
      </c>
      <c r="S113" s="320">
        <v>0</v>
      </c>
      <c r="T113" s="305"/>
      <c r="U113" s="316" t="str">
        <f t="shared" si="42"/>
        <v>Não</v>
      </c>
      <c r="V113" s="315" t="s">
        <v>454</v>
      </c>
      <c r="W113" s="296"/>
      <c r="X113" s="314">
        <f t="shared" si="43"/>
        <v>0</v>
      </c>
      <c r="Y113" s="312">
        <f t="shared" si="44"/>
        <v>0</v>
      </c>
      <c r="Z113" s="312">
        <f t="shared" si="45"/>
        <v>0</v>
      </c>
      <c r="AA113" s="294">
        <f>IF($A$101='4. LISTAS'!$C$35,(P113*B113+T113+Y113+Z113),IF($A$101='4. LISTAS'!$C$36,P113*B113+Y113,IF($A$101='4. LISTAS'!$C$37,P113*B113,"Erro")))</f>
        <v>0</v>
      </c>
      <c r="AB113" s="294">
        <f>IF($A$101='4. LISTAS'!$C$35,IF(V113="sim",AA113,AA113-X113),IF($A$101='4. LISTAS'!$C$36,IF(V113="Sim",AA113-X113,AA113-X113-Y113),IF($A$101='4. LISTAS'!$C$37,AA113,"erro")))</f>
        <v>0</v>
      </c>
      <c r="AC113" s="313">
        <f t="shared" si="49"/>
        <v>0.30349999999999999</v>
      </c>
      <c r="AD113" s="294">
        <f t="shared" si="46"/>
        <v>0</v>
      </c>
      <c r="AE113" s="312">
        <f t="shared" si="47"/>
        <v>0</v>
      </c>
      <c r="AF113" s="312">
        <f t="shared" si="48"/>
        <v>0</v>
      </c>
      <c r="AG113" s="311">
        <f>'4. LISTAS'!$M$6</f>
        <v>5.9299999999999999E-2</v>
      </c>
      <c r="AH113" s="310">
        <f>'4. LISTAS'!$M$5</f>
        <v>0.17</v>
      </c>
      <c r="AI113" s="296"/>
      <c r="AJ113" s="321"/>
      <c r="AK113" s="321"/>
      <c r="AL113" s="321"/>
    </row>
    <row r="114" spans="1:38" x14ac:dyDescent="0.2">
      <c r="A114" s="323" t="s">
        <v>645</v>
      </c>
      <c r="B114" s="323">
        <v>1</v>
      </c>
      <c r="C114" s="321"/>
      <c r="D114" s="321"/>
      <c r="E114" s="321"/>
      <c r="F114" s="306">
        <f t="shared" si="41"/>
        <v>0</v>
      </c>
      <c r="G114" s="305">
        <f>IF($A$101='4. LISTAS'!$C$35,IF(V114="sim",AD114/(1-AG114),AD114/(1-AG114-(H114*(1+J114)))),IF($A$101='4. LISTAS'!$C$36,(AD114/(1-AG114-(H114*(1+J114)))),IF($A$101='4. LISTAS'!$C$37,(AB114/(1-AC114-AH114)),"Erro")))</f>
        <v>0</v>
      </c>
      <c r="H114" s="320">
        <f>IF(AND($A$101='4. LISTAS'!$C$35,'Fornec. TAGNA'!U114="Sim"),0,IF(OR($A$101='4. LISTAS'!$C$35, $A$101='4. LISTAS'!$C$36),(VLOOKUP('1.DASHBOARD'!$B$8,'4. LISTAS'!$F$2:$G$11,2,FALSE)),0))</f>
        <v>0.18</v>
      </c>
      <c r="I114" s="305">
        <f t="shared" si="38"/>
        <v>0</v>
      </c>
      <c r="J114" s="319">
        <f>VLOOKUP($A$101,'4. LISTAS'!$C$35:$F$37,4,0)</f>
        <v>0.1125</v>
      </c>
      <c r="K114" s="305">
        <f t="shared" si="39"/>
        <v>0</v>
      </c>
      <c r="L114" s="305">
        <f t="shared" si="40"/>
        <v>0</v>
      </c>
      <c r="M114" s="318"/>
      <c r="N114" s="296"/>
      <c r="O114" s="317"/>
      <c r="P114" s="317"/>
      <c r="Q114" s="320">
        <v>0.04</v>
      </c>
      <c r="R114" s="320">
        <v>0.15</v>
      </c>
      <c r="S114" s="320">
        <v>0</v>
      </c>
      <c r="T114" s="305"/>
      <c r="U114" s="316" t="str">
        <f t="shared" si="42"/>
        <v>Não</v>
      </c>
      <c r="V114" s="315" t="s">
        <v>454</v>
      </c>
      <c r="W114" s="296"/>
      <c r="X114" s="314">
        <f t="shared" si="43"/>
        <v>0</v>
      </c>
      <c r="Y114" s="312">
        <f t="shared" si="44"/>
        <v>0</v>
      </c>
      <c r="Z114" s="312">
        <f t="shared" si="45"/>
        <v>0</v>
      </c>
      <c r="AA114" s="294">
        <f>IF($A$101='4. LISTAS'!$C$35,(P114*B114+T114+Y114+Z114),IF($A$101='4. LISTAS'!$C$36,P114*B114+Y114,IF($A$101='4. LISTAS'!$C$37,P114*B114,"Erro")))</f>
        <v>0</v>
      </c>
      <c r="AB114" s="294">
        <f>IF($A$101='4. LISTAS'!$C$35,IF(V114="sim",AA114,AA114-X114),IF($A$101='4. LISTAS'!$C$36,IF(V114="Sim",AA114-X114,AA114-X114-Y114),IF($A$101='4. LISTAS'!$C$37,AA114,"erro")))</f>
        <v>0</v>
      </c>
      <c r="AC114" s="313">
        <f t="shared" si="49"/>
        <v>0.30349999999999999</v>
      </c>
      <c r="AD114" s="294">
        <f t="shared" si="46"/>
        <v>0</v>
      </c>
      <c r="AE114" s="312">
        <f t="shared" si="47"/>
        <v>0</v>
      </c>
      <c r="AF114" s="312">
        <f t="shared" si="48"/>
        <v>0</v>
      </c>
      <c r="AG114" s="311">
        <f>'4. LISTAS'!$M$6</f>
        <v>5.9299999999999999E-2</v>
      </c>
      <c r="AH114" s="310">
        <f>'4. LISTAS'!$M$5</f>
        <v>0.17</v>
      </c>
      <c r="AI114" s="296"/>
      <c r="AJ114" s="321"/>
      <c r="AK114" s="321"/>
      <c r="AL114" s="321"/>
    </row>
    <row r="115" spans="1:38" x14ac:dyDescent="0.2">
      <c r="A115" s="323" t="s">
        <v>644</v>
      </c>
      <c r="B115" s="323">
        <v>1</v>
      </c>
      <c r="C115" s="321"/>
      <c r="D115" s="321"/>
      <c r="E115" s="321"/>
      <c r="F115" s="306">
        <f t="shared" si="41"/>
        <v>0</v>
      </c>
      <c r="G115" s="305">
        <f>IF($A$101='4. LISTAS'!$C$35,IF(V115="sim",AD115/(1-AG115),AD115/(1-AG115-(H115*(1+J115)))),IF($A$101='4. LISTAS'!$C$36,(AD115/(1-AG115-(H115*(1+J115)))),IF($A$101='4. LISTAS'!$C$37,(AB115/(1-AC115-AH115)),"Erro")))</f>
        <v>0</v>
      </c>
      <c r="H115" s="320">
        <f>IF(AND($A$101='4. LISTAS'!$C$35,'Fornec. TAGNA'!U115="Sim"),0,IF(OR($A$101='4. LISTAS'!$C$35, $A$101='4. LISTAS'!$C$36),(VLOOKUP('1.DASHBOARD'!$B$8,'4. LISTAS'!$F$2:$G$11,2,FALSE)),0))</f>
        <v>0.18</v>
      </c>
      <c r="I115" s="305">
        <f t="shared" si="38"/>
        <v>0</v>
      </c>
      <c r="J115" s="319">
        <f>VLOOKUP($A$101,'4. LISTAS'!$C$35:$F$37,4,0)</f>
        <v>0.1125</v>
      </c>
      <c r="K115" s="305">
        <f t="shared" si="39"/>
        <v>0</v>
      </c>
      <c r="L115" s="305">
        <f t="shared" si="40"/>
        <v>0</v>
      </c>
      <c r="M115" s="318"/>
      <c r="N115" s="296"/>
      <c r="O115" s="317"/>
      <c r="P115" s="317"/>
      <c r="Q115" s="320">
        <v>0.04</v>
      </c>
      <c r="R115" s="320">
        <v>0.15</v>
      </c>
      <c r="S115" s="320">
        <v>0</v>
      </c>
      <c r="T115" s="305"/>
      <c r="U115" s="316" t="str">
        <f t="shared" si="42"/>
        <v>Não</v>
      </c>
      <c r="V115" s="315" t="s">
        <v>454</v>
      </c>
      <c r="W115" s="296"/>
      <c r="X115" s="314">
        <f t="shared" si="43"/>
        <v>0</v>
      </c>
      <c r="Y115" s="312">
        <f t="shared" si="44"/>
        <v>0</v>
      </c>
      <c r="Z115" s="312">
        <f t="shared" si="45"/>
        <v>0</v>
      </c>
      <c r="AA115" s="294">
        <f>IF($A$101='4. LISTAS'!$C$35,(P115*B115+T115+Y115+Z115),IF($A$101='4. LISTAS'!$C$36,P115*B115+Y115,IF($A$101='4. LISTAS'!$C$37,P115*B115,"Erro")))</f>
        <v>0</v>
      </c>
      <c r="AB115" s="294">
        <f>IF($A$101='4. LISTAS'!$C$35,IF(V115="sim",AA115,AA115-X115),IF($A$101='4. LISTAS'!$C$36,IF(V115="Sim",AA115-X115,AA115-X115-Y115),IF($A$101='4. LISTAS'!$C$37,AA115,"erro")))</f>
        <v>0</v>
      </c>
      <c r="AC115" s="313">
        <f t="shared" si="49"/>
        <v>0.30349999999999999</v>
      </c>
      <c r="AD115" s="294">
        <f t="shared" si="46"/>
        <v>0</v>
      </c>
      <c r="AE115" s="312">
        <f t="shared" si="47"/>
        <v>0</v>
      </c>
      <c r="AF115" s="312">
        <f t="shared" si="48"/>
        <v>0</v>
      </c>
      <c r="AG115" s="311">
        <f>'4. LISTAS'!$M$6</f>
        <v>5.9299999999999999E-2</v>
      </c>
      <c r="AH115" s="310">
        <f>'4. LISTAS'!$M$5</f>
        <v>0.17</v>
      </c>
      <c r="AI115" s="296"/>
      <c r="AJ115" s="321"/>
      <c r="AK115" s="321"/>
      <c r="AL115" s="321"/>
    </row>
    <row r="116" spans="1:38" x14ac:dyDescent="0.2">
      <c r="A116" s="323" t="s">
        <v>643</v>
      </c>
      <c r="B116" s="323">
        <v>1</v>
      </c>
      <c r="C116" s="321"/>
      <c r="D116" s="321"/>
      <c r="E116" s="321"/>
      <c r="F116" s="306">
        <f t="shared" si="41"/>
        <v>0</v>
      </c>
      <c r="G116" s="305">
        <f>IF($A$101='4. LISTAS'!$C$35,IF(V116="sim",AD116/(1-AG116),AD116/(1-AG116-(H116*(1+J116)))),IF($A$101='4. LISTAS'!$C$36,(AD116/(1-AG116-(H116*(1+J116)))),IF($A$101='4. LISTAS'!$C$37,(AB116/(1-AC116-AH116)),"Erro")))</f>
        <v>0</v>
      </c>
      <c r="H116" s="320">
        <f>IF(AND($A$101='4. LISTAS'!$C$35,'Fornec. TAGNA'!U116="Sim"),0,IF(OR($A$101='4. LISTAS'!$C$35, $A$101='4. LISTAS'!$C$36),(VLOOKUP('1.DASHBOARD'!$B$8,'4. LISTAS'!$F$2:$G$11,2,FALSE)),0))</f>
        <v>0.18</v>
      </c>
      <c r="I116" s="305">
        <f t="shared" si="38"/>
        <v>0</v>
      </c>
      <c r="J116" s="319">
        <f>VLOOKUP($A$101,'4. LISTAS'!$C$35:$F$37,4,0)</f>
        <v>0.1125</v>
      </c>
      <c r="K116" s="305">
        <f t="shared" si="39"/>
        <v>0</v>
      </c>
      <c r="L116" s="305">
        <f t="shared" si="40"/>
        <v>0</v>
      </c>
      <c r="M116" s="318"/>
      <c r="N116" s="296"/>
      <c r="O116" s="317"/>
      <c r="P116" s="317"/>
      <c r="Q116" s="320">
        <v>0.04</v>
      </c>
      <c r="R116" s="320">
        <v>0.15</v>
      </c>
      <c r="S116" s="320">
        <v>0</v>
      </c>
      <c r="T116" s="305"/>
      <c r="U116" s="316" t="str">
        <f t="shared" si="42"/>
        <v>Não</v>
      </c>
      <c r="V116" s="315" t="s">
        <v>454</v>
      </c>
      <c r="W116" s="296"/>
      <c r="X116" s="314">
        <f t="shared" si="43"/>
        <v>0</v>
      </c>
      <c r="Y116" s="312">
        <f t="shared" si="44"/>
        <v>0</v>
      </c>
      <c r="Z116" s="312">
        <f t="shared" si="45"/>
        <v>0</v>
      </c>
      <c r="AA116" s="294">
        <f>IF($A$101='4. LISTAS'!$C$35,(P116*B116+T116+Y116+Z116),IF($A$101='4. LISTAS'!$C$36,P116*B116+Y116,IF($A$101='4. LISTAS'!$C$37,P116*B116,"Erro")))</f>
        <v>0</v>
      </c>
      <c r="AB116" s="294">
        <f>IF($A$101='4. LISTAS'!$C$35,IF(V116="sim",AA116,AA116-X116),IF($A$101='4. LISTAS'!$C$36,IF(V116="Sim",AA116-X116,AA116-X116-Y116),IF($A$101='4. LISTAS'!$C$37,AA116,"erro")))</f>
        <v>0</v>
      </c>
      <c r="AC116" s="313">
        <f t="shared" si="49"/>
        <v>0.30349999999999999</v>
      </c>
      <c r="AD116" s="294">
        <f t="shared" si="46"/>
        <v>0</v>
      </c>
      <c r="AE116" s="312">
        <f t="shared" si="47"/>
        <v>0</v>
      </c>
      <c r="AF116" s="312">
        <f t="shared" si="48"/>
        <v>0</v>
      </c>
      <c r="AG116" s="311">
        <f>'4. LISTAS'!$M$6</f>
        <v>5.9299999999999999E-2</v>
      </c>
      <c r="AH116" s="310">
        <f>'4. LISTAS'!$M$5</f>
        <v>0.17</v>
      </c>
      <c r="AI116" s="296"/>
      <c r="AJ116" s="321"/>
      <c r="AK116" s="321"/>
      <c r="AL116" s="321"/>
    </row>
    <row r="117" spans="1:38" x14ac:dyDescent="0.2">
      <c r="A117" s="323" t="s">
        <v>642</v>
      </c>
      <c r="B117" s="323">
        <v>1</v>
      </c>
      <c r="C117" s="321"/>
      <c r="D117" s="321"/>
      <c r="E117" s="321"/>
      <c r="F117" s="306">
        <f t="shared" si="41"/>
        <v>0</v>
      </c>
      <c r="G117" s="305">
        <f>IF($A$101='4. LISTAS'!$C$35,IF(V117="sim",AD117/(1-AG117),AD117/(1-AG117-(H117*(1+J117)))),IF($A$101='4. LISTAS'!$C$36,(AD117/(1-AG117-(H117*(1+J117)))),IF($A$101='4. LISTAS'!$C$37,(AB117/(1-AC117-AH117)),"Erro")))</f>
        <v>0</v>
      </c>
      <c r="H117" s="320">
        <f>IF(AND($A$101='4. LISTAS'!$C$35,'Fornec. TAGNA'!U117="Sim"),0,IF(OR($A$101='4. LISTAS'!$C$35, $A$101='4. LISTAS'!$C$36),(VLOOKUP('1.DASHBOARD'!$B$8,'4. LISTAS'!$F$2:$G$11,2,FALSE)),0))</f>
        <v>0.18</v>
      </c>
      <c r="I117" s="305">
        <f t="shared" si="38"/>
        <v>0</v>
      </c>
      <c r="J117" s="319">
        <f>VLOOKUP($A$101,'4. LISTAS'!$C$35:$F$37,4,0)</f>
        <v>0.1125</v>
      </c>
      <c r="K117" s="305">
        <f t="shared" si="39"/>
        <v>0</v>
      </c>
      <c r="L117" s="305">
        <f t="shared" si="40"/>
        <v>0</v>
      </c>
      <c r="M117" s="318"/>
      <c r="N117" s="296"/>
      <c r="O117" s="317"/>
      <c r="P117" s="317"/>
      <c r="Q117" s="320">
        <v>0.04</v>
      </c>
      <c r="R117" s="320">
        <v>0.15</v>
      </c>
      <c r="S117" s="320">
        <v>0</v>
      </c>
      <c r="T117" s="305"/>
      <c r="U117" s="316" t="str">
        <f t="shared" si="42"/>
        <v>Não</v>
      </c>
      <c r="V117" s="315" t="s">
        <v>454</v>
      </c>
      <c r="W117" s="296"/>
      <c r="X117" s="314">
        <f t="shared" si="43"/>
        <v>0</v>
      </c>
      <c r="Y117" s="312">
        <f t="shared" si="44"/>
        <v>0</v>
      </c>
      <c r="Z117" s="312">
        <f t="shared" si="45"/>
        <v>0</v>
      </c>
      <c r="AA117" s="294">
        <f>IF($A$101='4. LISTAS'!$C$35,(P117*B117+T117+Y117+Z117),IF($A$101='4. LISTAS'!$C$36,P117*B117+Y117,IF($A$101='4. LISTAS'!$C$37,P117*B117,"Erro")))</f>
        <v>0</v>
      </c>
      <c r="AB117" s="294">
        <f>IF($A$101='4. LISTAS'!$C$35,IF(V117="sim",AA117,AA117-X117),IF($A$101='4. LISTAS'!$C$36,IF(V117="Sim",AA117-X117,AA117-X117-Y117),IF($A$101='4. LISTAS'!$C$37,AA117,"erro")))</f>
        <v>0</v>
      </c>
      <c r="AC117" s="313">
        <f t="shared" si="49"/>
        <v>0.30349999999999999</v>
      </c>
      <c r="AD117" s="294">
        <f t="shared" si="46"/>
        <v>0</v>
      </c>
      <c r="AE117" s="312">
        <f t="shared" si="47"/>
        <v>0</v>
      </c>
      <c r="AF117" s="312">
        <f t="shared" si="48"/>
        <v>0</v>
      </c>
      <c r="AG117" s="311">
        <f>'4. LISTAS'!$M$6</f>
        <v>5.9299999999999999E-2</v>
      </c>
      <c r="AH117" s="310">
        <f>'4. LISTAS'!$M$5</f>
        <v>0.17</v>
      </c>
      <c r="AI117" s="296"/>
      <c r="AJ117" s="321"/>
      <c r="AK117" s="321"/>
      <c r="AL117" s="321"/>
    </row>
    <row r="118" spans="1:38" x14ac:dyDescent="0.2">
      <c r="A118" s="323" t="s">
        <v>641</v>
      </c>
      <c r="B118" s="323">
        <v>1</v>
      </c>
      <c r="C118" s="321"/>
      <c r="D118" s="321"/>
      <c r="E118" s="321"/>
      <c r="F118" s="306">
        <f t="shared" si="41"/>
        <v>0</v>
      </c>
      <c r="G118" s="305">
        <f>IF($A$101='4. LISTAS'!$C$35,IF(V118="sim",AD118/(1-AG118),AD118/(1-AG118-(H118*(1+J118)))),IF($A$101='4. LISTAS'!$C$36,(AD118/(1-AG118-(H118*(1+J118)))),IF($A$101='4. LISTAS'!$C$37,(AB118/(1-AC118-AH118)),"Erro")))</f>
        <v>0</v>
      </c>
      <c r="H118" s="320">
        <f>IF(AND($A$101='4. LISTAS'!$C$35,'Fornec. TAGNA'!U118="Sim"),0,IF(OR($A$101='4. LISTAS'!$C$35, $A$101='4. LISTAS'!$C$36),(VLOOKUP('1.DASHBOARD'!$B$8,'4. LISTAS'!$F$2:$G$11,2,FALSE)),0))</f>
        <v>0.18</v>
      </c>
      <c r="I118" s="305">
        <f t="shared" si="38"/>
        <v>0</v>
      </c>
      <c r="J118" s="319">
        <f>VLOOKUP($A$101,'4. LISTAS'!$C$35:$F$37,4,0)</f>
        <v>0.1125</v>
      </c>
      <c r="K118" s="305">
        <f t="shared" si="39"/>
        <v>0</v>
      </c>
      <c r="L118" s="305">
        <f t="shared" si="40"/>
        <v>0</v>
      </c>
      <c r="M118" s="318"/>
      <c r="N118" s="296"/>
      <c r="O118" s="317"/>
      <c r="P118" s="317"/>
      <c r="Q118" s="320">
        <v>0.04</v>
      </c>
      <c r="R118" s="320">
        <v>0.15</v>
      </c>
      <c r="S118" s="320">
        <v>0</v>
      </c>
      <c r="T118" s="305"/>
      <c r="U118" s="316" t="str">
        <f t="shared" si="42"/>
        <v>Não</v>
      </c>
      <c r="V118" s="315" t="s">
        <v>454</v>
      </c>
      <c r="W118" s="296"/>
      <c r="X118" s="314">
        <f t="shared" si="43"/>
        <v>0</v>
      </c>
      <c r="Y118" s="312">
        <f t="shared" si="44"/>
        <v>0</v>
      </c>
      <c r="Z118" s="312">
        <f t="shared" si="45"/>
        <v>0</v>
      </c>
      <c r="AA118" s="294">
        <f>IF($A$101='4. LISTAS'!$C$35,(P118*B118+T118+Y118+Z118),IF($A$101='4. LISTAS'!$C$36,P118*B118+Y118,IF($A$101='4. LISTAS'!$C$37,P118*B118,"Erro")))</f>
        <v>0</v>
      </c>
      <c r="AB118" s="294">
        <f>IF($A$101='4. LISTAS'!$C$35,IF(V118="sim",AA118,AA118-X118),IF($A$101='4. LISTAS'!$C$36,IF(V118="Sim",AA118-X118,AA118-X118-Y118),IF($A$101='4. LISTAS'!$C$37,AA118,"erro")))</f>
        <v>0</v>
      </c>
      <c r="AC118" s="313">
        <f t="shared" si="49"/>
        <v>0.30349999999999999</v>
      </c>
      <c r="AD118" s="294">
        <f t="shared" si="46"/>
        <v>0</v>
      </c>
      <c r="AE118" s="312">
        <f t="shared" si="47"/>
        <v>0</v>
      </c>
      <c r="AF118" s="312">
        <f t="shared" si="48"/>
        <v>0</v>
      </c>
      <c r="AG118" s="311">
        <f>'4. LISTAS'!$M$6</f>
        <v>5.9299999999999999E-2</v>
      </c>
      <c r="AH118" s="310">
        <f>'4. LISTAS'!$M$5</f>
        <v>0.17</v>
      </c>
      <c r="AI118" s="296"/>
      <c r="AJ118" s="321"/>
      <c r="AK118" s="321"/>
      <c r="AL118" s="321"/>
    </row>
    <row r="119" spans="1:38" x14ac:dyDescent="0.2">
      <c r="A119" s="323" t="s">
        <v>640</v>
      </c>
      <c r="B119" s="323">
        <v>1</v>
      </c>
      <c r="C119" s="321"/>
      <c r="D119" s="321"/>
      <c r="E119" s="321"/>
      <c r="F119" s="306">
        <f t="shared" si="41"/>
        <v>0</v>
      </c>
      <c r="G119" s="305">
        <f>IF($A$101='4. LISTAS'!$C$35,IF(V119="sim",AD119/(1-AG119),AD119/(1-AG119-(H119*(1+J119)))),IF($A$101='4. LISTAS'!$C$36,(AD119/(1-AG119-(H119*(1+J119)))),IF($A$101='4. LISTAS'!$C$37,(AB119/(1-AC119-AH119)),"Erro")))</f>
        <v>0</v>
      </c>
      <c r="H119" s="320">
        <f>IF(AND($A$101='4. LISTAS'!$C$35,'Fornec. TAGNA'!U119="Sim"),0,IF(OR($A$101='4. LISTAS'!$C$35, $A$101='4. LISTAS'!$C$36),(VLOOKUP('1.DASHBOARD'!$B$8,'4. LISTAS'!$F$2:$G$11,2,FALSE)),0))</f>
        <v>0.18</v>
      </c>
      <c r="I119" s="305">
        <f t="shared" si="38"/>
        <v>0</v>
      </c>
      <c r="J119" s="319">
        <f>VLOOKUP($A$101,'4. LISTAS'!$C$35:$F$37,4,0)</f>
        <v>0.1125</v>
      </c>
      <c r="K119" s="305">
        <f t="shared" si="39"/>
        <v>0</v>
      </c>
      <c r="L119" s="305">
        <f t="shared" si="40"/>
        <v>0</v>
      </c>
      <c r="M119" s="318"/>
      <c r="N119" s="296"/>
      <c r="O119" s="317"/>
      <c r="P119" s="317"/>
      <c r="Q119" s="320">
        <v>0.04</v>
      </c>
      <c r="R119" s="320">
        <v>0.15</v>
      </c>
      <c r="S119" s="320">
        <v>0</v>
      </c>
      <c r="T119" s="305"/>
      <c r="U119" s="316" t="str">
        <f t="shared" si="42"/>
        <v>Não</v>
      </c>
      <c r="V119" s="315" t="s">
        <v>454</v>
      </c>
      <c r="W119" s="296"/>
      <c r="X119" s="314">
        <f t="shared" si="43"/>
        <v>0</v>
      </c>
      <c r="Y119" s="312">
        <f t="shared" si="44"/>
        <v>0</v>
      </c>
      <c r="Z119" s="312">
        <f t="shared" si="45"/>
        <v>0</v>
      </c>
      <c r="AA119" s="294">
        <f>IF($A$101='4. LISTAS'!$C$35,(P119*B119+T119+Y119+Z119),IF($A$101='4. LISTAS'!$C$36,P119*B119+Y119,IF($A$101='4. LISTAS'!$C$37,P119*B119,"Erro")))</f>
        <v>0</v>
      </c>
      <c r="AB119" s="294">
        <f>IF($A$101='4. LISTAS'!$C$35,IF(V119="sim",AA119,AA119-X119),IF($A$101='4. LISTAS'!$C$36,IF(V119="Sim",AA119-X119,AA119-X119-Y119),IF($A$101='4. LISTAS'!$C$37,AA119,"erro")))</f>
        <v>0</v>
      </c>
      <c r="AC119" s="313">
        <f t="shared" si="49"/>
        <v>0.30349999999999999</v>
      </c>
      <c r="AD119" s="294">
        <f t="shared" si="46"/>
        <v>0</v>
      </c>
      <c r="AE119" s="312">
        <f t="shared" si="47"/>
        <v>0</v>
      </c>
      <c r="AF119" s="312">
        <f t="shared" si="48"/>
        <v>0</v>
      </c>
      <c r="AG119" s="311">
        <f>'4. LISTAS'!$M$6</f>
        <v>5.9299999999999999E-2</v>
      </c>
      <c r="AH119" s="310">
        <f>'4. LISTAS'!$M$5</f>
        <v>0.17</v>
      </c>
      <c r="AI119" s="296"/>
      <c r="AJ119" s="321"/>
      <c r="AK119" s="321"/>
      <c r="AL119" s="321"/>
    </row>
    <row r="120" spans="1:38" x14ac:dyDescent="0.2">
      <c r="A120" s="323" t="s">
        <v>639</v>
      </c>
      <c r="B120" s="323">
        <v>1</v>
      </c>
      <c r="C120" s="321"/>
      <c r="D120" s="321"/>
      <c r="E120" s="321"/>
      <c r="F120" s="306">
        <f t="shared" si="41"/>
        <v>0</v>
      </c>
      <c r="G120" s="305">
        <f>IF($A$101='4. LISTAS'!$C$35,IF(V120="sim",AD120/(1-AG120),AD120/(1-AG120-(H120*(1+J120)))),IF($A$101='4. LISTAS'!$C$36,(AD120/(1-AG120-(H120*(1+J120)))),IF($A$101='4. LISTAS'!$C$37,(AB120/(1-AC120-AH120)),"Erro")))</f>
        <v>0</v>
      </c>
      <c r="H120" s="320">
        <f>IF(AND($A$101='4. LISTAS'!$C$35,'Fornec. TAGNA'!U120="Sim"),0,IF(OR($A$101='4. LISTAS'!$C$35, $A$101='4. LISTAS'!$C$36),(VLOOKUP('1.DASHBOARD'!$B$8,'4. LISTAS'!$F$2:$G$11,2,FALSE)),0))</f>
        <v>0.18</v>
      </c>
      <c r="I120" s="305">
        <f t="shared" si="38"/>
        <v>0</v>
      </c>
      <c r="J120" s="319">
        <f>VLOOKUP($A$101,'4. LISTAS'!$C$35:$F$37,4,0)</f>
        <v>0.1125</v>
      </c>
      <c r="K120" s="305">
        <f t="shared" si="39"/>
        <v>0</v>
      </c>
      <c r="L120" s="305">
        <f t="shared" si="40"/>
        <v>0</v>
      </c>
      <c r="M120" s="318"/>
      <c r="N120" s="296"/>
      <c r="O120" s="317"/>
      <c r="P120" s="317"/>
      <c r="Q120" s="320">
        <v>0.04</v>
      </c>
      <c r="R120" s="320">
        <v>0.15</v>
      </c>
      <c r="S120" s="320">
        <v>0</v>
      </c>
      <c r="T120" s="305"/>
      <c r="U120" s="316" t="str">
        <f t="shared" si="42"/>
        <v>Não</v>
      </c>
      <c r="V120" s="315" t="s">
        <v>454</v>
      </c>
      <c r="W120" s="296"/>
      <c r="X120" s="314">
        <f t="shared" si="43"/>
        <v>0</v>
      </c>
      <c r="Y120" s="312">
        <f t="shared" si="44"/>
        <v>0</v>
      </c>
      <c r="Z120" s="312">
        <f t="shared" si="45"/>
        <v>0</v>
      </c>
      <c r="AA120" s="294">
        <f>IF($A$101='4. LISTAS'!$C$35,(P120*B120+T120+Y120+Z120),IF($A$101='4. LISTAS'!$C$36,P120*B120+Y120,IF($A$101='4. LISTAS'!$C$37,P120*B120,"Erro")))</f>
        <v>0</v>
      </c>
      <c r="AB120" s="294">
        <f>IF($A$101='4. LISTAS'!$C$35,IF(V120="sim",AA120,AA120-X120),IF($A$101='4. LISTAS'!$C$36,IF(V120="Sim",AA120-X120,AA120-X120-Y120),IF($A$101='4. LISTAS'!$C$37,AA120,"erro")))</f>
        <v>0</v>
      </c>
      <c r="AC120" s="313">
        <f t="shared" si="49"/>
        <v>0.30349999999999999</v>
      </c>
      <c r="AD120" s="294">
        <f t="shared" si="46"/>
        <v>0</v>
      </c>
      <c r="AE120" s="312">
        <f t="shared" si="47"/>
        <v>0</v>
      </c>
      <c r="AF120" s="312">
        <f t="shared" si="48"/>
        <v>0</v>
      </c>
      <c r="AG120" s="311">
        <f>'4. LISTAS'!$M$6</f>
        <v>5.9299999999999999E-2</v>
      </c>
      <c r="AH120" s="310">
        <f>'4. LISTAS'!$M$5</f>
        <v>0.17</v>
      </c>
      <c r="AI120" s="296"/>
      <c r="AJ120" s="321"/>
      <c r="AK120" s="321"/>
      <c r="AL120" s="321"/>
    </row>
    <row r="121" spans="1:38" x14ac:dyDescent="0.2">
      <c r="A121" s="323" t="s">
        <v>638</v>
      </c>
      <c r="B121" s="323">
        <v>1</v>
      </c>
      <c r="C121" s="321"/>
      <c r="D121" s="321"/>
      <c r="E121" s="321"/>
      <c r="F121" s="306">
        <f t="shared" si="41"/>
        <v>0</v>
      </c>
      <c r="G121" s="305">
        <f>IF($A$101='4. LISTAS'!$C$35,IF(V121="sim",AD121/(1-AG121),AD121/(1-AG121-(H121*(1+J121)))),IF($A$101='4. LISTAS'!$C$36,(AD121/(1-AG121-(H121*(1+J121)))),IF($A$101='4. LISTAS'!$C$37,(AB121/(1-AC121-AH121)),"Erro")))</f>
        <v>0</v>
      </c>
      <c r="H121" s="320">
        <f>IF(AND($A$101='4. LISTAS'!$C$35,'Fornec. TAGNA'!U121="Sim"),0,IF(OR($A$101='4. LISTAS'!$C$35, $A$101='4. LISTAS'!$C$36),(VLOOKUP('1.DASHBOARD'!$B$8,'4. LISTAS'!$F$2:$G$11,2,FALSE)),0))</f>
        <v>0.18</v>
      </c>
      <c r="I121" s="305">
        <f t="shared" si="38"/>
        <v>0</v>
      </c>
      <c r="J121" s="319">
        <f>VLOOKUP($A$101,'4. LISTAS'!$C$35:$F$37,4,0)</f>
        <v>0.1125</v>
      </c>
      <c r="K121" s="305">
        <f t="shared" si="39"/>
        <v>0</v>
      </c>
      <c r="L121" s="305">
        <f t="shared" si="40"/>
        <v>0</v>
      </c>
      <c r="M121" s="318"/>
      <c r="N121" s="296"/>
      <c r="O121" s="317"/>
      <c r="P121" s="317"/>
      <c r="Q121" s="320">
        <v>0.04</v>
      </c>
      <c r="R121" s="320">
        <v>0.15</v>
      </c>
      <c r="S121" s="320">
        <v>0</v>
      </c>
      <c r="T121" s="305"/>
      <c r="U121" s="316" t="str">
        <f t="shared" si="42"/>
        <v>Não</v>
      </c>
      <c r="V121" s="315" t="s">
        <v>454</v>
      </c>
      <c r="W121" s="296"/>
      <c r="X121" s="314">
        <f t="shared" si="43"/>
        <v>0</v>
      </c>
      <c r="Y121" s="312">
        <f t="shared" si="44"/>
        <v>0</v>
      </c>
      <c r="Z121" s="312">
        <f t="shared" si="45"/>
        <v>0</v>
      </c>
      <c r="AA121" s="294">
        <f>IF($A$101='4. LISTAS'!$C$35,(P121*B121+T121+Y121+Z121),IF($A$101='4. LISTAS'!$C$36,P121*B121+Y121,IF($A$101='4. LISTAS'!$C$37,P121*B121,"Erro")))</f>
        <v>0</v>
      </c>
      <c r="AB121" s="294">
        <f>IF($A$101='4. LISTAS'!$C$35,IF(V121="sim",AA121,AA121-X121),IF($A$101='4. LISTAS'!$C$36,IF(V121="Sim",AA121-X121,AA121-X121-Y121),IF($A$101='4. LISTAS'!$C$37,AA121,"erro")))</f>
        <v>0</v>
      </c>
      <c r="AC121" s="313">
        <f t="shared" si="49"/>
        <v>0.30349999999999999</v>
      </c>
      <c r="AD121" s="294">
        <f t="shared" si="46"/>
        <v>0</v>
      </c>
      <c r="AE121" s="312">
        <f t="shared" si="47"/>
        <v>0</v>
      </c>
      <c r="AF121" s="312">
        <f t="shared" si="48"/>
        <v>0</v>
      </c>
      <c r="AG121" s="311">
        <f>'4. LISTAS'!$M$6</f>
        <v>5.9299999999999999E-2</v>
      </c>
      <c r="AH121" s="310">
        <f>'4. LISTAS'!$M$5</f>
        <v>0.17</v>
      </c>
      <c r="AI121" s="296"/>
      <c r="AJ121" s="321"/>
      <c r="AK121" s="321"/>
      <c r="AL121" s="321"/>
    </row>
    <row r="122" spans="1:38" x14ac:dyDescent="0.2">
      <c r="A122" s="323" t="s">
        <v>637</v>
      </c>
      <c r="B122" s="323">
        <v>1</v>
      </c>
      <c r="C122" s="321"/>
      <c r="D122" s="321"/>
      <c r="E122" s="321"/>
      <c r="F122" s="306">
        <f t="shared" si="41"/>
        <v>0</v>
      </c>
      <c r="G122" s="305">
        <f>IF($A$101='4. LISTAS'!$C$35,IF(V122="sim",AD122/(1-AG122),AD122/(1-AG122-(H122*(1+J122)))),IF($A$101='4. LISTAS'!$C$36,(AD122/(1-AG122-(H122*(1+J122)))),IF($A$101='4. LISTAS'!$C$37,(AB122/(1-AC122-AH122)),"Erro")))</f>
        <v>0</v>
      </c>
      <c r="H122" s="320">
        <f>IF(AND($A$101='4. LISTAS'!$C$35,'Fornec. TAGNA'!U122="Sim"),0,IF(OR($A$101='4. LISTAS'!$C$35, $A$101='4. LISTAS'!$C$36),(VLOOKUP('1.DASHBOARD'!$B$8,'4. LISTAS'!$F$2:$G$11,2,FALSE)),0))</f>
        <v>0.18</v>
      </c>
      <c r="I122" s="305">
        <f t="shared" si="38"/>
        <v>0</v>
      </c>
      <c r="J122" s="319">
        <f>VLOOKUP($A$101,'4. LISTAS'!$C$35:$F$37,4,0)</f>
        <v>0.1125</v>
      </c>
      <c r="K122" s="305">
        <f t="shared" si="39"/>
        <v>0</v>
      </c>
      <c r="L122" s="305">
        <f t="shared" si="40"/>
        <v>0</v>
      </c>
      <c r="M122" s="318"/>
      <c r="N122" s="296"/>
      <c r="O122" s="317"/>
      <c r="P122" s="317"/>
      <c r="Q122" s="320">
        <v>0.04</v>
      </c>
      <c r="R122" s="320">
        <v>0.15</v>
      </c>
      <c r="S122" s="320">
        <v>0</v>
      </c>
      <c r="T122" s="305"/>
      <c r="U122" s="316" t="str">
        <f t="shared" si="42"/>
        <v>Não</v>
      </c>
      <c r="V122" s="315" t="s">
        <v>454</v>
      </c>
      <c r="W122" s="296"/>
      <c r="X122" s="314">
        <f t="shared" si="43"/>
        <v>0</v>
      </c>
      <c r="Y122" s="312">
        <f t="shared" si="44"/>
        <v>0</v>
      </c>
      <c r="Z122" s="312">
        <f t="shared" si="45"/>
        <v>0</v>
      </c>
      <c r="AA122" s="294">
        <f>IF($A$101='4. LISTAS'!$C$35,(P122*B122+T122+Y122+Z122),IF($A$101='4. LISTAS'!$C$36,P122*B122+Y122,IF($A$101='4. LISTAS'!$C$37,P122*B122,"Erro")))</f>
        <v>0</v>
      </c>
      <c r="AB122" s="294">
        <f>IF($A$101='4. LISTAS'!$C$35,IF(V122="sim",AA122,AA122-X122),IF($A$101='4. LISTAS'!$C$36,IF(V122="Sim",AA122-X122,AA122-X122-Y122),IF($A$101='4. LISTAS'!$C$37,AA122,"erro")))</f>
        <v>0</v>
      </c>
      <c r="AC122" s="313">
        <f t="shared" si="49"/>
        <v>0.30349999999999999</v>
      </c>
      <c r="AD122" s="294">
        <f t="shared" si="46"/>
        <v>0</v>
      </c>
      <c r="AE122" s="312">
        <f t="shared" si="47"/>
        <v>0</v>
      </c>
      <c r="AF122" s="312">
        <f t="shared" si="48"/>
        <v>0</v>
      </c>
      <c r="AG122" s="311">
        <f>'4. LISTAS'!$M$6</f>
        <v>5.9299999999999999E-2</v>
      </c>
      <c r="AH122" s="310">
        <f>'4. LISTAS'!$M$5</f>
        <v>0.17</v>
      </c>
      <c r="AI122" s="296"/>
      <c r="AJ122" s="321"/>
      <c r="AK122" s="321"/>
      <c r="AL122" s="321"/>
    </row>
    <row r="123" spans="1:38" x14ac:dyDescent="0.2">
      <c r="A123" s="323" t="s">
        <v>636</v>
      </c>
      <c r="B123" s="323">
        <v>1</v>
      </c>
      <c r="C123" s="321"/>
      <c r="D123" s="321"/>
      <c r="E123" s="321"/>
      <c r="F123" s="306">
        <f t="shared" si="41"/>
        <v>0</v>
      </c>
      <c r="G123" s="305">
        <f>IF($A$101='4. LISTAS'!$C$35,IF(V123="sim",AD123/(1-AG123),AD123/(1-AG123-(H123*(1+J123)))),IF($A$101='4. LISTAS'!$C$36,(AD123/(1-AG123-(H123*(1+J123)))),IF($A$101='4. LISTAS'!$C$37,(AB123/(1-AC123-AH123)),"Erro")))</f>
        <v>0</v>
      </c>
      <c r="H123" s="320">
        <f>IF(AND($A$101='4. LISTAS'!$C$35,'Fornec. TAGNA'!U123="Sim"),0,IF(OR($A$101='4. LISTAS'!$C$35, $A$101='4. LISTAS'!$C$36),(VLOOKUP('1.DASHBOARD'!$B$8,'4. LISTAS'!$F$2:$G$11,2,FALSE)),0))</f>
        <v>0.18</v>
      </c>
      <c r="I123" s="305">
        <f t="shared" si="38"/>
        <v>0</v>
      </c>
      <c r="J123" s="319">
        <f>VLOOKUP($A$101,'4. LISTAS'!$C$35:$F$37,4,0)</f>
        <v>0.1125</v>
      </c>
      <c r="K123" s="305">
        <f t="shared" si="39"/>
        <v>0</v>
      </c>
      <c r="L123" s="305">
        <f t="shared" si="40"/>
        <v>0</v>
      </c>
      <c r="M123" s="318"/>
      <c r="N123" s="296"/>
      <c r="O123" s="317"/>
      <c r="P123" s="317"/>
      <c r="Q123" s="320">
        <v>0.04</v>
      </c>
      <c r="R123" s="320">
        <v>0.15</v>
      </c>
      <c r="S123" s="320">
        <v>0</v>
      </c>
      <c r="T123" s="305"/>
      <c r="U123" s="316" t="str">
        <f t="shared" si="42"/>
        <v>Não</v>
      </c>
      <c r="V123" s="315" t="s">
        <v>454</v>
      </c>
      <c r="W123" s="296"/>
      <c r="X123" s="314">
        <f t="shared" si="43"/>
        <v>0</v>
      </c>
      <c r="Y123" s="312">
        <f t="shared" si="44"/>
        <v>0</v>
      </c>
      <c r="Z123" s="312">
        <f t="shared" si="45"/>
        <v>0</v>
      </c>
      <c r="AA123" s="294">
        <f>IF($A$101='4. LISTAS'!$C$35,(P123*B123+T123+Y123+Z123),IF($A$101='4. LISTAS'!$C$36,P123*B123+Y123,IF($A$101='4. LISTAS'!$C$37,P123*B123,"Erro")))</f>
        <v>0</v>
      </c>
      <c r="AB123" s="294">
        <f>IF($A$101='4. LISTAS'!$C$35,IF(V123="sim",AA123,AA123-X123),IF($A$101='4. LISTAS'!$C$36,IF(V123="Sim",AA123-X123,AA123-X123-Y123),IF($A$101='4. LISTAS'!$C$37,AA123,"erro")))</f>
        <v>0</v>
      </c>
      <c r="AC123" s="313">
        <f t="shared" si="49"/>
        <v>0.30349999999999999</v>
      </c>
      <c r="AD123" s="294">
        <f t="shared" si="46"/>
        <v>0</v>
      </c>
      <c r="AE123" s="312">
        <f t="shared" si="47"/>
        <v>0</v>
      </c>
      <c r="AF123" s="312">
        <f t="shared" si="48"/>
        <v>0</v>
      </c>
      <c r="AG123" s="311">
        <f>'4. LISTAS'!$M$6</f>
        <v>5.9299999999999999E-2</v>
      </c>
      <c r="AH123" s="310">
        <f>'4. LISTAS'!$M$5</f>
        <v>0.17</v>
      </c>
      <c r="AI123" s="296"/>
      <c r="AJ123" s="321"/>
      <c r="AK123" s="321"/>
      <c r="AL123" s="321"/>
    </row>
    <row r="124" spans="1:38" x14ac:dyDescent="0.2">
      <c r="A124" s="323" t="s">
        <v>635</v>
      </c>
      <c r="B124" s="323">
        <v>1</v>
      </c>
      <c r="C124" s="321"/>
      <c r="D124" s="321"/>
      <c r="E124" s="321"/>
      <c r="F124" s="306">
        <f t="shared" si="41"/>
        <v>0</v>
      </c>
      <c r="G124" s="305">
        <f>IF($A$101='4. LISTAS'!$C$35,IF(V124="sim",AD124/(1-AG124),AD124/(1-AG124-(H124*(1+J124)))),IF($A$101='4. LISTAS'!$C$36,(AD124/(1-AG124-(H124*(1+J124)))),IF($A$101='4. LISTAS'!$C$37,(AB124/(1-AC124-AH124)),"Erro")))</f>
        <v>0</v>
      </c>
      <c r="H124" s="320">
        <f>IF(AND($A$101='4. LISTAS'!$C$35,'Fornec. TAGNA'!U124="Sim"),0,IF(OR($A$101='4. LISTAS'!$C$35, $A$101='4. LISTAS'!$C$36),(VLOOKUP('1.DASHBOARD'!$B$8,'4. LISTAS'!$F$2:$G$11,2,FALSE)),0))</f>
        <v>0.18</v>
      </c>
      <c r="I124" s="305">
        <f t="shared" si="38"/>
        <v>0</v>
      </c>
      <c r="J124" s="319">
        <f>VLOOKUP($A$101,'4. LISTAS'!$C$35:$F$37,4,0)</f>
        <v>0.1125</v>
      </c>
      <c r="K124" s="305">
        <f t="shared" si="39"/>
        <v>0</v>
      </c>
      <c r="L124" s="305">
        <f t="shared" si="40"/>
        <v>0</v>
      </c>
      <c r="M124" s="318"/>
      <c r="N124" s="296"/>
      <c r="O124" s="317"/>
      <c r="P124" s="317"/>
      <c r="Q124" s="320">
        <v>0.04</v>
      </c>
      <c r="R124" s="320">
        <v>0.15</v>
      </c>
      <c r="S124" s="320">
        <v>0</v>
      </c>
      <c r="T124" s="305"/>
      <c r="U124" s="316" t="str">
        <f t="shared" si="42"/>
        <v>Não</v>
      </c>
      <c r="V124" s="315" t="s">
        <v>454</v>
      </c>
      <c r="W124" s="296"/>
      <c r="X124" s="314">
        <f t="shared" si="43"/>
        <v>0</v>
      </c>
      <c r="Y124" s="312">
        <f t="shared" si="44"/>
        <v>0</v>
      </c>
      <c r="Z124" s="312">
        <f t="shared" si="45"/>
        <v>0</v>
      </c>
      <c r="AA124" s="294">
        <f>IF($A$101='4. LISTAS'!$C$35,(P124*B124+T124+Y124+Z124),IF($A$101='4. LISTAS'!$C$36,P124*B124+Y124,IF($A$101='4. LISTAS'!$C$37,P124*B124,"Erro")))</f>
        <v>0</v>
      </c>
      <c r="AB124" s="294">
        <f>IF($A$101='4. LISTAS'!$C$35,IF(V124="sim",AA124,AA124-X124),IF($A$101='4. LISTAS'!$C$36,IF(V124="Sim",AA124-X124,AA124-X124-Y124),IF($A$101='4. LISTAS'!$C$37,AA124,"erro")))</f>
        <v>0</v>
      </c>
      <c r="AC124" s="313">
        <f t="shared" si="49"/>
        <v>0.30349999999999999</v>
      </c>
      <c r="AD124" s="294">
        <f t="shared" si="46"/>
        <v>0</v>
      </c>
      <c r="AE124" s="312">
        <f t="shared" si="47"/>
        <v>0</v>
      </c>
      <c r="AF124" s="312">
        <f t="shared" si="48"/>
        <v>0</v>
      </c>
      <c r="AG124" s="311">
        <f>'4. LISTAS'!$M$6</f>
        <v>5.9299999999999999E-2</v>
      </c>
      <c r="AH124" s="310">
        <f>'4. LISTAS'!$M$5</f>
        <v>0.17</v>
      </c>
      <c r="AI124" s="296"/>
      <c r="AJ124" s="321"/>
      <c r="AK124" s="321"/>
      <c r="AL124" s="321"/>
    </row>
    <row r="125" spans="1:38" x14ac:dyDescent="0.2">
      <c r="A125" s="323" t="s">
        <v>634</v>
      </c>
      <c r="B125" s="322">
        <f>B94</f>
        <v>0</v>
      </c>
      <c r="C125" s="321"/>
      <c r="D125" s="321" t="str">
        <f>D94</f>
        <v>Gestão + Compras</v>
      </c>
      <c r="E125" s="321"/>
      <c r="F125" s="306">
        <f>IF(B125&lt;&gt;0,G125/B125,0)</f>
        <v>0</v>
      </c>
      <c r="G125" s="305">
        <f>IF($A$101='4. LISTAS'!$C$35,IF(V125="sim",AD125/(1-AG125),AD125/(1-AG125-(H125*(1+J125)))),IF($A$101='4. LISTAS'!$C$36,(AD125/(1-AG125-(H125*(1+J125)))),IF($A$101='4. LISTAS'!$C$37,(AB125/(1-AC125-AH125)),"Erro")))</f>
        <v>0</v>
      </c>
      <c r="H125" s="320">
        <f>IF(AND($A$101='4. LISTAS'!$C$35,'Fornec. TAGNA'!U125="Sim"),0,IF(OR($A$101='4. LISTAS'!$C$35, $A$101='4. LISTAS'!$C$36),(VLOOKUP('1.DASHBOARD'!$B$8,'4. LISTAS'!$F$2:$G$11,2,FALSE)),0))</f>
        <v>0.18</v>
      </c>
      <c r="I125" s="305">
        <f t="shared" si="38"/>
        <v>0</v>
      </c>
      <c r="J125" s="319">
        <f>VLOOKUP($A$101,'4. LISTAS'!$C$35:$F$37,4,0)</f>
        <v>0.1125</v>
      </c>
      <c r="K125" s="305">
        <f t="shared" si="39"/>
        <v>0</v>
      </c>
      <c r="L125" s="305">
        <f t="shared" si="40"/>
        <v>0</v>
      </c>
      <c r="M125" s="318"/>
      <c r="N125" s="296"/>
      <c r="O125" s="317"/>
      <c r="P125" s="317">
        <f t="shared" ref="P125:S128" si="50">P94</f>
        <v>355.22537921211438</v>
      </c>
      <c r="Q125" s="306">
        <f t="shared" si="50"/>
        <v>0</v>
      </c>
      <c r="R125" s="306">
        <f t="shared" si="50"/>
        <v>0</v>
      </c>
      <c r="S125" s="306">
        <f t="shared" si="50"/>
        <v>0</v>
      </c>
      <c r="T125" s="305"/>
      <c r="U125" s="316" t="str">
        <f t="shared" si="42"/>
        <v>Não</v>
      </c>
      <c r="V125" s="315" t="s">
        <v>454</v>
      </c>
      <c r="W125" s="296"/>
      <c r="X125" s="314">
        <f t="shared" si="43"/>
        <v>0</v>
      </c>
      <c r="Y125" s="312">
        <f t="shared" si="44"/>
        <v>0</v>
      </c>
      <c r="Z125" s="312">
        <f t="shared" si="45"/>
        <v>0</v>
      </c>
      <c r="AA125" s="294">
        <f>IF($A$101='4. LISTAS'!$C$35,(P125*B125+T125+Y125+Z125),IF($A$101='4. LISTAS'!$C$36,P125*B125+Y125,IF($A$101='4. LISTAS'!$C$37,P125*B125,"Erro")))</f>
        <v>0</v>
      </c>
      <c r="AB125" s="294">
        <f>IF($A$101='4. LISTAS'!$C$35,IF(V125="sim",AA125,AA125-X125),IF($A$101='4. LISTAS'!$C$36,IF(V125="Sim",AA125-X125,AA125-X125-Y125),IF($A$101='4. LISTAS'!$C$37,AA125,"erro")))</f>
        <v>0</v>
      </c>
      <c r="AC125" s="313">
        <f>'1.DASHBOARD'!$B$11</f>
        <v>0.25</v>
      </c>
      <c r="AD125" s="294">
        <f t="shared" si="46"/>
        <v>0</v>
      </c>
      <c r="AE125" s="312">
        <f t="shared" si="47"/>
        <v>0</v>
      </c>
      <c r="AF125" s="312">
        <f t="shared" si="48"/>
        <v>0</v>
      </c>
      <c r="AG125" s="311">
        <f>'4. LISTAS'!$M$6</f>
        <v>5.9299999999999999E-2</v>
      </c>
      <c r="AH125" s="310">
        <f>'4. LISTAS'!$M$5</f>
        <v>0.17</v>
      </c>
      <c r="AI125" s="296"/>
      <c r="AJ125" s="321"/>
      <c r="AK125" s="321"/>
      <c r="AL125" s="321"/>
    </row>
    <row r="126" spans="1:38" x14ac:dyDescent="0.2">
      <c r="A126" s="323" t="s">
        <v>633</v>
      </c>
      <c r="B126" s="322">
        <f>B95</f>
        <v>0</v>
      </c>
      <c r="C126" s="321"/>
      <c r="D126" s="321" t="str">
        <f>D95</f>
        <v>Projeto</v>
      </c>
      <c r="E126" s="321"/>
      <c r="F126" s="306">
        <f>IF(B125&lt;&gt;0,G126/B126,0)</f>
        <v>0</v>
      </c>
      <c r="G126" s="305">
        <f>IF($A$101='4. LISTAS'!$C$35,IF(V126="sim",AD126/(1-AG126),AD126/(1-AG126-(H126*(1+J126)))),IF($A$101='4. LISTAS'!$C$36,(AD126/(1-AG126-(H126*(1+J126)))),IF($A$101='4. LISTAS'!$C$37,(AB126/(1-AC126-AH126)),"Erro")))</f>
        <v>0</v>
      </c>
      <c r="H126" s="320">
        <f>IF(AND($A$101='4. LISTAS'!$C$35,'Fornec. TAGNA'!U126="Sim"),0,IF(OR($A$101='4. LISTAS'!$C$35, $A$101='4. LISTAS'!$C$36),(VLOOKUP('1.DASHBOARD'!$B$8,'4. LISTAS'!$F$2:$G$11,2,FALSE)),0))</f>
        <v>0.18</v>
      </c>
      <c r="I126" s="305">
        <f t="shared" si="38"/>
        <v>0</v>
      </c>
      <c r="J126" s="319">
        <f>VLOOKUP($A$101,'4. LISTAS'!$C$35:$F$37,4,0)</f>
        <v>0.1125</v>
      </c>
      <c r="K126" s="305">
        <f t="shared" si="39"/>
        <v>0</v>
      </c>
      <c r="L126" s="305">
        <f t="shared" si="40"/>
        <v>0</v>
      </c>
      <c r="M126" s="318"/>
      <c r="N126" s="296"/>
      <c r="O126" s="317"/>
      <c r="P126" s="317">
        <f t="shared" si="50"/>
        <v>37.149026125714286</v>
      </c>
      <c r="Q126" s="306">
        <f t="shared" si="50"/>
        <v>0</v>
      </c>
      <c r="R126" s="306">
        <f t="shared" si="50"/>
        <v>0</v>
      </c>
      <c r="S126" s="306">
        <f t="shared" si="50"/>
        <v>0</v>
      </c>
      <c r="T126" s="305"/>
      <c r="U126" s="316" t="str">
        <f t="shared" si="42"/>
        <v>Não</v>
      </c>
      <c r="V126" s="315" t="s">
        <v>454</v>
      </c>
      <c r="W126" s="296"/>
      <c r="X126" s="314">
        <f t="shared" si="43"/>
        <v>0</v>
      </c>
      <c r="Y126" s="312">
        <f t="shared" si="44"/>
        <v>0</v>
      </c>
      <c r="Z126" s="312">
        <f t="shared" si="45"/>
        <v>0</v>
      </c>
      <c r="AA126" s="294">
        <f>IF($A$101='4. LISTAS'!$C$35,(P126*B126+T126+Y126+Z126),IF($A$101='4. LISTAS'!$C$36,P126*B126+Y126,IF($A$101='4. LISTAS'!$C$37,P126*B126,"Erro")))</f>
        <v>0</v>
      </c>
      <c r="AB126" s="294">
        <f>IF($A$101='4. LISTAS'!$C$35,IF(V126="sim",AA126,AA126-X126),IF($A$101='4. LISTAS'!$C$36,IF(V126="Sim",AA126-X126,AA126-X126-Y126),IF($A$101='4. LISTAS'!$C$37,AA126,"erro")))</f>
        <v>0</v>
      </c>
      <c r="AC126" s="313">
        <f>'1.DASHBOARD'!$B$11</f>
        <v>0.25</v>
      </c>
      <c r="AD126" s="294">
        <f t="shared" si="46"/>
        <v>0</v>
      </c>
      <c r="AE126" s="312">
        <f t="shared" si="47"/>
        <v>0</v>
      </c>
      <c r="AF126" s="312">
        <f t="shared" si="48"/>
        <v>0</v>
      </c>
      <c r="AG126" s="311">
        <f>'4. LISTAS'!$M$6</f>
        <v>5.9299999999999999E-2</v>
      </c>
      <c r="AH126" s="310">
        <f>'4. LISTAS'!$M$5</f>
        <v>0.17</v>
      </c>
      <c r="AI126" s="296"/>
      <c r="AJ126" s="324"/>
      <c r="AK126" s="324"/>
      <c r="AL126" s="324"/>
    </row>
    <row r="127" spans="1:38" x14ac:dyDescent="0.2">
      <c r="A127" s="323" t="s">
        <v>632</v>
      </c>
      <c r="B127" s="322">
        <f>B96</f>
        <v>0</v>
      </c>
      <c r="C127" s="321"/>
      <c r="D127" s="321" t="str">
        <f>D96</f>
        <v>Testes</v>
      </c>
      <c r="E127" s="321"/>
      <c r="F127" s="306">
        <f>IF(B125&lt;&gt;0,G127/B127,0)</f>
        <v>0</v>
      </c>
      <c r="G127" s="305">
        <f>IF($A$101='4. LISTAS'!$C$35,IF(V127="sim",AD127/(1-AG127),AD127/(1-AG127-(H127*(1+J127)))),IF($A$101='4. LISTAS'!$C$36,(AD127/(1-AG127-(H127*(1+J127)))),IF($A$101='4. LISTAS'!$C$37,(AB127/(1-AC127-AH127)),"Erro")))</f>
        <v>0</v>
      </c>
      <c r="H127" s="320">
        <f>IF(AND($A$101='4. LISTAS'!$C$35,'Fornec. TAGNA'!U127="Sim"),0,IF(OR($A$101='4. LISTAS'!$C$35, $A$101='4. LISTAS'!$C$36),(VLOOKUP('1.DASHBOARD'!$B$8,'4. LISTAS'!$F$2:$G$11,2,FALSE)),0))</f>
        <v>0.18</v>
      </c>
      <c r="I127" s="305">
        <f t="shared" si="38"/>
        <v>0</v>
      </c>
      <c r="J127" s="319">
        <f>VLOOKUP($A$101,'4. LISTAS'!$C$35:$F$37,4,0)</f>
        <v>0.1125</v>
      </c>
      <c r="K127" s="305">
        <f t="shared" si="39"/>
        <v>0</v>
      </c>
      <c r="L127" s="305">
        <f t="shared" si="40"/>
        <v>0</v>
      </c>
      <c r="M127" s="318"/>
      <c r="N127" s="296"/>
      <c r="O127" s="317"/>
      <c r="P127" s="317">
        <f t="shared" si="50"/>
        <v>129.56768445553286</v>
      </c>
      <c r="Q127" s="306">
        <f t="shared" si="50"/>
        <v>0</v>
      </c>
      <c r="R127" s="306">
        <f t="shared" si="50"/>
        <v>0</v>
      </c>
      <c r="S127" s="306">
        <f t="shared" si="50"/>
        <v>0</v>
      </c>
      <c r="T127" s="305"/>
      <c r="U127" s="316" t="str">
        <f t="shared" si="42"/>
        <v>Não</v>
      </c>
      <c r="V127" s="315" t="s">
        <v>454</v>
      </c>
      <c r="W127" s="296"/>
      <c r="X127" s="314">
        <f t="shared" si="43"/>
        <v>0</v>
      </c>
      <c r="Y127" s="312">
        <f t="shared" si="44"/>
        <v>0</v>
      </c>
      <c r="Z127" s="312">
        <f t="shared" si="45"/>
        <v>0</v>
      </c>
      <c r="AA127" s="294">
        <f>IF($A$101='4. LISTAS'!$C$35,(P127*B127+T127+Y127+Z127),IF($A$101='4. LISTAS'!$C$36,P127*B127+Y127,IF($A$101='4. LISTAS'!$C$37,P127*B127,"Erro")))</f>
        <v>0</v>
      </c>
      <c r="AB127" s="294">
        <f>IF($A$101='4. LISTAS'!$C$35,IF(V127="sim",AA127,AA127-X127),IF($A$101='4. LISTAS'!$C$36,IF(V127="Sim",AA127-X127,AA127-X127-Y127),IF($A$101='4. LISTAS'!$C$37,AA127,"erro")))</f>
        <v>0</v>
      </c>
      <c r="AC127" s="313">
        <f>'1.DASHBOARD'!$B$11</f>
        <v>0.25</v>
      </c>
      <c r="AD127" s="294">
        <f t="shared" si="46"/>
        <v>0</v>
      </c>
      <c r="AE127" s="312">
        <f t="shared" si="47"/>
        <v>0</v>
      </c>
      <c r="AF127" s="312">
        <f t="shared" si="48"/>
        <v>0</v>
      </c>
      <c r="AG127" s="311">
        <f>'4. LISTAS'!$M$6</f>
        <v>5.9299999999999999E-2</v>
      </c>
      <c r="AH127" s="310">
        <f>'4. LISTAS'!$M$5</f>
        <v>0.17</v>
      </c>
      <c r="AI127" s="296"/>
      <c r="AJ127" s="321"/>
      <c r="AK127" s="321"/>
      <c r="AL127" s="321"/>
    </row>
    <row r="128" spans="1:38" x14ac:dyDescent="0.2">
      <c r="A128" s="323" t="s">
        <v>631</v>
      </c>
      <c r="B128" s="322"/>
      <c r="C128" s="321"/>
      <c r="D128" s="321" t="str">
        <f>D97</f>
        <v>Frete</v>
      </c>
      <c r="E128" s="321"/>
      <c r="F128" s="306">
        <f>IF(B125&lt;&gt;0,G128/B128,0)</f>
        <v>0</v>
      </c>
      <c r="G128" s="305">
        <f>IF($A$101='4. LISTAS'!$C$35,IF(V128="sim",AD128/(1-AG128),AD128/(1-AG128-(H128*(1+J128)))),IF($A$101='4. LISTAS'!$C$36,(AD128/(1-AG128-(H128*(1+J128)))),IF($A$101='4. LISTAS'!$C$37,(AB128/(1-AC128-AH128)),"Erro")))</f>
        <v>0</v>
      </c>
      <c r="H128" s="320">
        <f>IF(AND($A$101='4. LISTAS'!$C$35,'Fornec. TAGNA'!U128="Sim"),0,IF(OR($A$101='4. LISTAS'!$C$35, $A$101='4. LISTAS'!$C$36),(VLOOKUP('1.DASHBOARD'!$B$8,'4. LISTAS'!$F$2:$G$11,2,FALSE)),0))</f>
        <v>0.18</v>
      </c>
      <c r="I128" s="305">
        <f t="shared" si="38"/>
        <v>0</v>
      </c>
      <c r="J128" s="319">
        <f>VLOOKUP($A$101,'4. LISTAS'!$C$35:$F$37,4,0)</f>
        <v>0.1125</v>
      </c>
      <c r="K128" s="305">
        <f t="shared" si="39"/>
        <v>0</v>
      </c>
      <c r="L128" s="305">
        <f t="shared" si="40"/>
        <v>0</v>
      </c>
      <c r="M128" s="318"/>
      <c r="N128" s="296"/>
      <c r="O128" s="317"/>
      <c r="P128" s="317">
        <f t="shared" si="50"/>
        <v>300</v>
      </c>
      <c r="Q128" s="306">
        <f t="shared" si="50"/>
        <v>0</v>
      </c>
      <c r="R128" s="306">
        <f t="shared" si="50"/>
        <v>0</v>
      </c>
      <c r="S128" s="306">
        <f t="shared" si="50"/>
        <v>0</v>
      </c>
      <c r="T128" s="305"/>
      <c r="U128" s="316" t="str">
        <f t="shared" si="42"/>
        <v>Não</v>
      </c>
      <c r="V128" s="315" t="s">
        <v>454</v>
      </c>
      <c r="W128" s="296"/>
      <c r="X128" s="314">
        <f t="shared" si="43"/>
        <v>0</v>
      </c>
      <c r="Y128" s="312">
        <f t="shared" si="44"/>
        <v>0</v>
      </c>
      <c r="Z128" s="312">
        <f t="shared" si="45"/>
        <v>0</v>
      </c>
      <c r="AA128" s="294">
        <f>IF($A$101='4. LISTAS'!$C$35,(P128*B128+T128+Y128+Z128),IF($A$101='4. LISTAS'!$C$36,P128*B128+Y128,IF($A$101='4. LISTAS'!$C$37,P128*B128,"Erro")))</f>
        <v>0</v>
      </c>
      <c r="AB128" s="294">
        <f>IF($A$101='4. LISTAS'!$C$35,IF(V128="sim",AA128,AA128-X128),IF($A$101='4. LISTAS'!$C$36,IF(V128="Sim",AA128-X128,AA128-X128-Y128),IF($A$101='4. LISTAS'!$C$37,AA128,"erro")))</f>
        <v>0</v>
      </c>
      <c r="AC128" s="313"/>
      <c r="AD128" s="294">
        <f t="shared" si="46"/>
        <v>0</v>
      </c>
      <c r="AE128" s="312">
        <f t="shared" si="47"/>
        <v>0</v>
      </c>
      <c r="AF128" s="312">
        <f t="shared" si="48"/>
        <v>0</v>
      </c>
      <c r="AG128" s="311">
        <f>'4. LISTAS'!$M$6</f>
        <v>5.9299999999999999E-2</v>
      </c>
      <c r="AH128" s="310">
        <f>'4. LISTAS'!$M$5</f>
        <v>0.17</v>
      </c>
      <c r="AI128" s="296"/>
      <c r="AJ128" s="321"/>
      <c r="AK128" s="321"/>
      <c r="AL128" s="321"/>
    </row>
    <row r="129" spans="1:38" x14ac:dyDescent="0.2">
      <c r="A129" s="362" t="s">
        <v>453</v>
      </c>
      <c r="B129" s="361" t="s">
        <v>397</v>
      </c>
      <c r="C129" s="359"/>
      <c r="D129" s="360"/>
      <c r="E129" s="359"/>
      <c r="F129" s="358"/>
      <c r="G129" s="282">
        <f>SUM(G105:G128)</f>
        <v>0</v>
      </c>
      <c r="H129" s="284" t="s">
        <v>319</v>
      </c>
      <c r="I129" s="282">
        <f>SUBTOTAL(9,I105:I128)</f>
        <v>0</v>
      </c>
      <c r="J129" s="283" t="s">
        <v>319</v>
      </c>
      <c r="K129" s="282">
        <f>SUM(K105:K128)</f>
        <v>0</v>
      </c>
      <c r="L129" s="282">
        <f>SUM(L105:L128)</f>
        <v>0</v>
      </c>
      <c r="M129" s="357"/>
      <c r="N129" s="327"/>
      <c r="O129" s="356"/>
      <c r="P129" s="356"/>
      <c r="Q129" s="277"/>
      <c r="R129" s="277"/>
      <c r="S129" s="277"/>
      <c r="T129" s="278"/>
      <c r="U129" s="277"/>
      <c r="V129" s="355"/>
      <c r="W129" s="327"/>
      <c r="X129" s="354" t="e">
        <f t="shared" si="43"/>
        <v>#VALUE!</v>
      </c>
      <c r="Y129" s="278" t="e">
        <f t="shared" si="44"/>
        <v>#VALUE!</v>
      </c>
      <c r="Z129" s="278" t="e">
        <f t="shared" si="45"/>
        <v>#VALUE!</v>
      </c>
      <c r="AA129" s="277"/>
      <c r="AB129" s="277"/>
      <c r="AC129" s="277"/>
      <c r="AD129" s="277"/>
      <c r="AE129" s="277"/>
      <c r="AF129" s="277"/>
      <c r="AG129" s="277"/>
      <c r="AH129" s="277"/>
      <c r="AI129" s="327"/>
      <c r="AJ129" s="353"/>
      <c r="AK129" s="353"/>
      <c r="AL129" s="353"/>
    </row>
    <row r="130" spans="1:38" x14ac:dyDescent="0.2">
      <c r="G130" s="352"/>
      <c r="N130" s="327"/>
      <c r="W130" s="327"/>
      <c r="AI130" s="327"/>
    </row>
    <row r="131" spans="1:38" x14ac:dyDescent="0.2">
      <c r="B131" s="350"/>
      <c r="D131" s="348" t="s">
        <v>508</v>
      </c>
      <c r="E131" s="348"/>
      <c r="F131" s="347"/>
      <c r="G131" s="347"/>
      <c r="H131" s="347"/>
      <c r="I131" s="347"/>
      <c r="J131" s="347"/>
      <c r="K131" s="347"/>
      <c r="L131" s="347"/>
      <c r="M131" s="346"/>
      <c r="N131" s="327"/>
      <c r="O131" s="345"/>
      <c r="P131" s="345" t="s">
        <v>511</v>
      </c>
      <c r="Q131" s="345"/>
      <c r="R131" s="345"/>
      <c r="S131" s="345"/>
      <c r="T131" s="344"/>
      <c r="U131" s="345"/>
      <c r="V131" s="345"/>
      <c r="W131" s="327"/>
      <c r="X131" s="344" t="s">
        <v>510</v>
      </c>
      <c r="Y131" s="344"/>
      <c r="Z131" s="344"/>
      <c r="AA131" s="344"/>
      <c r="AB131" s="344"/>
      <c r="AC131" s="344"/>
      <c r="AD131" s="344"/>
      <c r="AE131" s="344"/>
      <c r="AF131" s="344"/>
      <c r="AG131" s="344"/>
      <c r="AH131" s="344"/>
      <c r="AI131" s="327"/>
      <c r="AJ131" s="349"/>
      <c r="AK131" s="349"/>
      <c r="AL131" s="349"/>
    </row>
    <row r="132" spans="1:38" x14ac:dyDescent="0.2">
      <c r="A132" s="698" t="s">
        <v>509</v>
      </c>
      <c r="B132" s="698"/>
      <c r="C132" s="698"/>
      <c r="D132" s="348" t="s">
        <v>508</v>
      </c>
      <c r="E132" s="348"/>
      <c r="F132" s="347"/>
      <c r="G132" s="347"/>
      <c r="H132" s="347"/>
      <c r="I132" s="347"/>
      <c r="J132" s="347"/>
      <c r="K132" s="347"/>
      <c r="L132" s="347"/>
      <c r="M132" s="346"/>
      <c r="N132" s="327"/>
      <c r="O132" s="345"/>
      <c r="P132" s="345"/>
      <c r="Q132" s="345"/>
      <c r="R132" s="345"/>
      <c r="S132" s="345"/>
      <c r="T132" s="344"/>
      <c r="U132" s="345"/>
      <c r="V132" s="345"/>
      <c r="W132" s="327"/>
      <c r="X132" s="344"/>
      <c r="Y132" s="344"/>
      <c r="Z132" s="344"/>
      <c r="AA132" s="344"/>
      <c r="AB132" s="344"/>
      <c r="AC132" s="344"/>
      <c r="AD132" s="344"/>
      <c r="AE132" s="344"/>
      <c r="AF132" s="344"/>
      <c r="AG132" s="344"/>
      <c r="AH132" s="344"/>
      <c r="AI132" s="327"/>
      <c r="AJ132" s="343" t="s">
        <v>507</v>
      </c>
      <c r="AK132" s="343" t="s">
        <v>506</v>
      </c>
      <c r="AL132" s="343" t="s">
        <v>505</v>
      </c>
    </row>
    <row r="133" spans="1:38" ht="15" customHeight="1" x14ac:dyDescent="0.2">
      <c r="A133" s="699" t="s">
        <v>321</v>
      </c>
      <c r="B133" s="699" t="s">
        <v>504</v>
      </c>
      <c r="C133" s="700" t="s">
        <v>320</v>
      </c>
      <c r="D133" s="700" t="s">
        <v>503</v>
      </c>
      <c r="E133" s="700" t="s">
        <v>502</v>
      </c>
      <c r="F133" s="701" t="s">
        <v>501</v>
      </c>
      <c r="G133" s="701" t="s">
        <v>500</v>
      </c>
      <c r="H133" s="701" t="s">
        <v>499</v>
      </c>
      <c r="I133" s="701"/>
      <c r="J133" s="701" t="s">
        <v>490</v>
      </c>
      <c r="K133" s="701"/>
      <c r="L133" s="701" t="s">
        <v>498</v>
      </c>
      <c r="M133" s="696" t="s">
        <v>497</v>
      </c>
      <c r="N133" s="327"/>
      <c r="O133" s="693" t="s">
        <v>496</v>
      </c>
      <c r="P133" s="694" t="s">
        <v>495</v>
      </c>
      <c r="Q133" s="342" t="s">
        <v>491</v>
      </c>
      <c r="R133" s="339" t="s">
        <v>490</v>
      </c>
      <c r="S133" s="339" t="s">
        <v>489</v>
      </c>
      <c r="T133" s="693" t="s">
        <v>494</v>
      </c>
      <c r="U133" s="691" t="s">
        <v>493</v>
      </c>
      <c r="V133" s="702" t="s">
        <v>492</v>
      </c>
      <c r="W133" s="327"/>
      <c r="X133" s="341" t="s">
        <v>491</v>
      </c>
      <c r="Y133" s="339" t="s">
        <v>490</v>
      </c>
      <c r="Z133" s="339" t="s">
        <v>489</v>
      </c>
      <c r="AA133" s="693" t="s">
        <v>488</v>
      </c>
      <c r="AB133" s="693" t="s">
        <v>487</v>
      </c>
      <c r="AC133" s="691" t="s">
        <v>486</v>
      </c>
      <c r="AD133" s="691" t="s">
        <v>485</v>
      </c>
      <c r="AE133" s="691" t="s">
        <v>484</v>
      </c>
      <c r="AF133" s="691" t="s">
        <v>483</v>
      </c>
      <c r="AG133" s="691" t="s">
        <v>482</v>
      </c>
      <c r="AH133" s="691" t="s">
        <v>481</v>
      </c>
      <c r="AI133" s="327"/>
      <c r="AJ133" s="693"/>
      <c r="AK133" s="693"/>
      <c r="AL133" s="693"/>
    </row>
    <row r="134" spans="1:38" ht="18" customHeight="1" x14ac:dyDescent="0.2">
      <c r="A134" s="699"/>
      <c r="B134" s="699"/>
      <c r="C134" s="700"/>
      <c r="D134" s="700"/>
      <c r="E134" s="700"/>
      <c r="F134" s="701"/>
      <c r="G134" s="701"/>
      <c r="H134" s="339" t="s">
        <v>480</v>
      </c>
      <c r="I134" s="339" t="s">
        <v>479</v>
      </c>
      <c r="J134" s="339" t="s">
        <v>480</v>
      </c>
      <c r="K134" s="339" t="s">
        <v>479</v>
      </c>
      <c r="L134" s="701"/>
      <c r="M134" s="697"/>
      <c r="N134" s="327"/>
      <c r="O134" s="693"/>
      <c r="P134" s="695"/>
      <c r="Q134" s="339" t="s">
        <v>480</v>
      </c>
      <c r="R134" s="339" t="s">
        <v>480</v>
      </c>
      <c r="S134" s="339" t="s">
        <v>480</v>
      </c>
      <c r="T134" s="693"/>
      <c r="U134" s="692"/>
      <c r="V134" s="703"/>
      <c r="W134" s="327"/>
      <c r="X134" s="340" t="s">
        <v>479</v>
      </c>
      <c r="Y134" s="339" t="s">
        <v>479</v>
      </c>
      <c r="Z134" s="339" t="s">
        <v>479</v>
      </c>
      <c r="AA134" s="693"/>
      <c r="AB134" s="693"/>
      <c r="AC134" s="692"/>
      <c r="AD134" s="692"/>
      <c r="AE134" s="692"/>
      <c r="AF134" s="692"/>
      <c r="AG134" s="692"/>
      <c r="AH134" s="692"/>
      <c r="AI134" s="327"/>
      <c r="AJ134" s="693"/>
      <c r="AK134" s="693"/>
      <c r="AL134" s="693"/>
    </row>
    <row r="135" spans="1:38" ht="18" customHeight="1" x14ac:dyDescent="0.2">
      <c r="A135" s="338">
        <v>5</v>
      </c>
      <c r="B135" s="338">
        <v>1</v>
      </c>
      <c r="C135" s="324"/>
      <c r="D135" s="324"/>
      <c r="E135" s="324"/>
      <c r="F135" s="337">
        <f>G160</f>
        <v>0</v>
      </c>
      <c r="G135" s="337">
        <f>F135*B135</f>
        <v>0</v>
      </c>
      <c r="H135" s="336">
        <f>IF(OR($A$132='4. LISTAS'!$C$35, $A$132='4. LISTAS'!$C$36),(VLOOKUP('1.DASHBOARD'!$B$8,'4. LISTAS'!$F$2:$G$11,2,FALSE)),0)</f>
        <v>0.18</v>
      </c>
      <c r="I135" s="334">
        <f t="shared" ref="I135:I159" si="51">H135*(G135+K135)</f>
        <v>0</v>
      </c>
      <c r="J135" s="335">
        <f>VLOOKUP($A$132,'4. LISTAS'!$C$35:$F$37,4,0)</f>
        <v>0.1125</v>
      </c>
      <c r="K135" s="334">
        <f t="shared" ref="K135:K159" si="52">J135*G135</f>
        <v>0</v>
      </c>
      <c r="L135" s="334">
        <f t="shared" ref="L135:L159" si="53">G135+K135</f>
        <v>0</v>
      </c>
      <c r="M135" s="333"/>
      <c r="N135" s="327"/>
      <c r="O135" s="332"/>
      <c r="P135" s="332"/>
      <c r="Q135" s="331"/>
      <c r="R135" s="331"/>
      <c r="S135" s="331"/>
      <c r="T135" s="328"/>
      <c r="U135" s="326"/>
      <c r="V135" s="330"/>
      <c r="W135" s="327"/>
      <c r="X135" s="326">
        <f>SUM(X136:X159)</f>
        <v>0</v>
      </c>
      <c r="Y135" s="326">
        <f>SUM(Y136:Y159)</f>
        <v>0</v>
      </c>
      <c r="Z135" s="326">
        <f>SUM(Z136:Z159)</f>
        <v>0</v>
      </c>
      <c r="AA135" s="326">
        <f>SUM(AA136:AA159)</f>
        <v>0</v>
      </c>
      <c r="AB135" s="326">
        <f>SUM(AB136:AB159)</f>
        <v>0</v>
      </c>
      <c r="AC135" s="328"/>
      <c r="AD135" s="328"/>
      <c r="AE135" s="328"/>
      <c r="AF135" s="328"/>
      <c r="AG135" s="329">
        <f>AG136</f>
        <v>5.9299999999999999E-2</v>
      </c>
      <c r="AH135" s="328"/>
    </row>
    <row r="136" spans="1:38" x14ac:dyDescent="0.2">
      <c r="A136" s="323" t="s">
        <v>630</v>
      </c>
      <c r="B136" s="323">
        <v>1</v>
      </c>
      <c r="C136" s="321"/>
      <c r="D136" s="321"/>
      <c r="E136" s="321"/>
      <c r="F136" s="306">
        <f t="shared" ref="F136:F155" si="54">G136/B136</f>
        <v>0</v>
      </c>
      <c r="G136" s="305">
        <f>IF($A$132='4. LISTAS'!$C$35,IF(V136="sim",AD136/(1-AG136),AD136/(1-AG136-(H136*(1+J136)))),IF($A$132='4. LISTAS'!$C$36,(AD136/(1-AG136-(H136*(1+J136)))),IF($A$132='4. LISTAS'!$C$37,(AB136/(1-AC136-AH136)),"Erro")))</f>
        <v>0</v>
      </c>
      <c r="H136" s="320">
        <f>IF(AND($A$132='4. LISTAS'!$C$35,'Fornec. TAGNA'!U136="Sim"),0,IF(OR($A$132='4. LISTAS'!$C$35, $A$132='4. LISTAS'!$C$36),(VLOOKUP('1.DASHBOARD'!$B$8,'4. LISTAS'!$F$2:$G$11,2,FALSE)),0))</f>
        <v>0.18</v>
      </c>
      <c r="I136" s="305">
        <f t="shared" si="51"/>
        <v>0</v>
      </c>
      <c r="J136" s="319">
        <f>VLOOKUP($A$132,'4. LISTAS'!$C$35:$F$37,4,0)</f>
        <v>0.1125</v>
      </c>
      <c r="K136" s="305">
        <f t="shared" si="52"/>
        <v>0</v>
      </c>
      <c r="L136" s="305">
        <f t="shared" si="53"/>
        <v>0</v>
      </c>
      <c r="M136" s="318"/>
      <c r="N136" s="296"/>
      <c r="O136" s="317"/>
      <c r="P136" s="317"/>
      <c r="Q136" s="320">
        <v>0.04</v>
      </c>
      <c r="R136" s="320">
        <v>0.15</v>
      </c>
      <c r="S136" s="320">
        <v>0</v>
      </c>
      <c r="T136" s="305"/>
      <c r="U136" s="316" t="str">
        <f t="shared" ref="U136:U159" si="55">IF(T136="","Não","Sim")</f>
        <v>Não</v>
      </c>
      <c r="V136" s="315" t="s">
        <v>454</v>
      </c>
      <c r="W136" s="296"/>
      <c r="X136" s="314">
        <f t="shared" ref="X136:X160" si="56">B136*P136*Q136</f>
        <v>0</v>
      </c>
      <c r="Y136" s="312">
        <f t="shared" ref="Y136:Y160" si="57">B136*P136*R136</f>
        <v>0</v>
      </c>
      <c r="Z136" s="312">
        <f t="shared" ref="Z136:Z160" si="58">B136*P136*S136</f>
        <v>0</v>
      </c>
      <c r="AA136" s="294">
        <f>IF($A$132='4. LISTAS'!$C$35,(P136*B136+T136+Y136+Z136),IF($A$132='4. LISTAS'!$C$36,P136*B136+Y136,IF($A$132='4. LISTAS'!$C$37,P136*B136,"Erro")))</f>
        <v>0</v>
      </c>
      <c r="AB136" s="294">
        <f>IF($A$132='4. LISTAS'!$C$35,IF(V136="sim",AA136,AA136-X136),IF($A$132='4. LISTAS'!$C$36,IF(V136="Sim",AA136-X136,AA136-X136-Y136),IF($A$132='4. LISTAS'!$C$37,AA136,"erro")))</f>
        <v>0</v>
      </c>
      <c r="AC136" s="325">
        <f>'1.DASHBOARD'!$B$14+'1.DASHBOARD'!$B$16</f>
        <v>0.30349999999999999</v>
      </c>
      <c r="AD136" s="294">
        <f t="shared" ref="AD136:AD159" si="59">AB136/(1-AC136)</f>
        <v>0</v>
      </c>
      <c r="AE136" s="312">
        <f t="shared" ref="AE136:AE159" si="60">X136</f>
        <v>0</v>
      </c>
      <c r="AF136" s="312">
        <f t="shared" ref="AF136:AF159" si="61">Y136</f>
        <v>0</v>
      </c>
      <c r="AG136" s="311">
        <f>'4. LISTAS'!$M$6</f>
        <v>5.9299999999999999E-2</v>
      </c>
      <c r="AH136" s="310">
        <f>'4. LISTAS'!$M$5</f>
        <v>0.17</v>
      </c>
    </row>
    <row r="137" spans="1:38" x14ac:dyDescent="0.2">
      <c r="A137" s="323" t="s">
        <v>629</v>
      </c>
      <c r="B137" s="323">
        <v>1</v>
      </c>
      <c r="C137" s="321"/>
      <c r="D137" s="321"/>
      <c r="E137" s="321"/>
      <c r="F137" s="306">
        <f t="shared" si="54"/>
        <v>0</v>
      </c>
      <c r="G137" s="305">
        <f>IF($A$132='4. LISTAS'!$C$35,IF(V137="sim",AD137/(1-AG137),AD137/(1-AG137-(H137*(1+J137)))),IF($A$132='4. LISTAS'!$C$36,(AD137/(1-AG137-(H137*(1+J137)))),IF($A$132='4. LISTAS'!$C$37,(AB137/(1-AC137-AH137)),"Erro")))</f>
        <v>0</v>
      </c>
      <c r="H137" s="320">
        <f>IF(AND($A$132='4. LISTAS'!$C$35,'Fornec. TAGNA'!U137="Sim"),0,IF(OR($A$132='4. LISTAS'!$C$35, $A$132='4. LISTAS'!$C$36),(VLOOKUP('1.DASHBOARD'!$B$8,'4. LISTAS'!$F$2:$G$11,2,FALSE)),0))</f>
        <v>0.18</v>
      </c>
      <c r="I137" s="305">
        <f t="shared" si="51"/>
        <v>0</v>
      </c>
      <c r="J137" s="319">
        <f>VLOOKUP($A$132,'4. LISTAS'!$C$35:$F$37,4,0)</f>
        <v>0.1125</v>
      </c>
      <c r="K137" s="305">
        <f t="shared" si="52"/>
        <v>0</v>
      </c>
      <c r="L137" s="305">
        <f t="shared" si="53"/>
        <v>0</v>
      </c>
      <c r="M137" s="318"/>
      <c r="N137" s="296"/>
      <c r="O137" s="317"/>
      <c r="P137" s="317"/>
      <c r="Q137" s="320">
        <v>0.04</v>
      </c>
      <c r="R137" s="320">
        <v>0.15</v>
      </c>
      <c r="S137" s="320">
        <v>0</v>
      </c>
      <c r="T137" s="305"/>
      <c r="U137" s="316" t="str">
        <f t="shared" si="55"/>
        <v>Não</v>
      </c>
      <c r="V137" s="315" t="s">
        <v>454</v>
      </c>
      <c r="W137" s="296"/>
      <c r="X137" s="314">
        <f t="shared" si="56"/>
        <v>0</v>
      </c>
      <c r="Y137" s="312">
        <f t="shared" si="57"/>
        <v>0</v>
      </c>
      <c r="Z137" s="312">
        <f t="shared" si="58"/>
        <v>0</v>
      </c>
      <c r="AA137" s="294">
        <f>IF($A$132='4. LISTAS'!$C$35,(P137*B137+T137+Y137+Z137),IF($A$132='4. LISTAS'!$C$36,P137*B137+Y137,IF($A$132='4. LISTAS'!$C$37,P137*B137,"Erro")))</f>
        <v>0</v>
      </c>
      <c r="AB137" s="294">
        <f>IF($A$132='4. LISTAS'!$C$35,IF(V137="sim",AA137,AA137-X137),IF($A$132='4. LISTAS'!$C$36,IF(V137="Sim",AA137-X137,AA137-X137-Y137),IF($A$132='4. LISTAS'!$C$37,AA137,"erro")))</f>
        <v>0</v>
      </c>
      <c r="AC137" s="313">
        <f t="shared" ref="AC137:AC155" si="62">AC136</f>
        <v>0.30349999999999999</v>
      </c>
      <c r="AD137" s="294">
        <f t="shared" si="59"/>
        <v>0</v>
      </c>
      <c r="AE137" s="312">
        <f t="shared" si="60"/>
        <v>0</v>
      </c>
      <c r="AF137" s="312">
        <f t="shared" si="61"/>
        <v>0</v>
      </c>
      <c r="AG137" s="311">
        <f>'4. LISTAS'!$M$6</f>
        <v>5.9299999999999999E-2</v>
      </c>
      <c r="AH137" s="310">
        <f>'4. LISTAS'!$M$5</f>
        <v>0.17</v>
      </c>
    </row>
    <row r="138" spans="1:38" x14ac:dyDescent="0.2">
      <c r="A138" s="323" t="s">
        <v>628</v>
      </c>
      <c r="B138" s="323">
        <v>1</v>
      </c>
      <c r="C138" s="321"/>
      <c r="D138" s="321"/>
      <c r="E138" s="321"/>
      <c r="F138" s="306">
        <f t="shared" si="54"/>
        <v>0</v>
      </c>
      <c r="G138" s="305">
        <f>IF($A$132='4. LISTAS'!$C$35,IF(V138="sim",AD138/(1-AG138),AD138/(1-AG138-(H138*(1+J138)))),IF($A$132='4. LISTAS'!$C$36,(AD138/(1-AG138-(H138*(1+J138)))),IF($A$132='4. LISTAS'!$C$37,(AB138/(1-AC138-AH138)),"Erro")))</f>
        <v>0</v>
      </c>
      <c r="H138" s="320">
        <f>IF(AND($A$132='4. LISTAS'!$C$35,'Fornec. TAGNA'!U138="Sim"),0,IF(OR($A$132='4. LISTAS'!$C$35, $A$132='4. LISTAS'!$C$36),(VLOOKUP('1.DASHBOARD'!$B$8,'4. LISTAS'!$F$2:$G$11,2,FALSE)),0))</f>
        <v>0.18</v>
      </c>
      <c r="I138" s="305">
        <f t="shared" si="51"/>
        <v>0</v>
      </c>
      <c r="J138" s="319">
        <f>VLOOKUP($A$132,'4. LISTAS'!$C$35:$F$37,4,0)</f>
        <v>0.1125</v>
      </c>
      <c r="K138" s="305">
        <f t="shared" si="52"/>
        <v>0</v>
      </c>
      <c r="L138" s="305">
        <f t="shared" si="53"/>
        <v>0</v>
      </c>
      <c r="M138" s="318"/>
      <c r="N138" s="296"/>
      <c r="O138" s="317"/>
      <c r="P138" s="317"/>
      <c r="Q138" s="320">
        <v>0.04</v>
      </c>
      <c r="R138" s="320">
        <v>0.15</v>
      </c>
      <c r="S138" s="320">
        <v>0</v>
      </c>
      <c r="T138" s="305"/>
      <c r="U138" s="316" t="str">
        <f t="shared" si="55"/>
        <v>Não</v>
      </c>
      <c r="V138" s="315" t="s">
        <v>454</v>
      </c>
      <c r="W138" s="296"/>
      <c r="X138" s="314">
        <f t="shared" si="56"/>
        <v>0</v>
      </c>
      <c r="Y138" s="312">
        <f t="shared" si="57"/>
        <v>0</v>
      </c>
      <c r="Z138" s="312">
        <f t="shared" si="58"/>
        <v>0</v>
      </c>
      <c r="AA138" s="294">
        <f>IF($A$132='4. LISTAS'!$C$35,(P138*B138+T138+Y138+Z138),IF($A$132='4. LISTAS'!$C$36,P138*B138+Y138,IF($A$132='4. LISTAS'!$C$37,P138*B138,"Erro")))</f>
        <v>0</v>
      </c>
      <c r="AB138" s="294">
        <f>IF($A$132='4. LISTAS'!$C$35,IF(V138="sim",AA138,AA138-X138),IF($A$132='4. LISTAS'!$C$36,IF(V138="Sim",AA138-X138,AA138-X138-Y138),IF($A$132='4. LISTAS'!$C$37,AA138,"erro")))</f>
        <v>0</v>
      </c>
      <c r="AC138" s="313">
        <f t="shared" si="62"/>
        <v>0.30349999999999999</v>
      </c>
      <c r="AD138" s="294">
        <f t="shared" si="59"/>
        <v>0</v>
      </c>
      <c r="AE138" s="312">
        <f t="shared" si="60"/>
        <v>0</v>
      </c>
      <c r="AF138" s="312">
        <f t="shared" si="61"/>
        <v>0</v>
      </c>
      <c r="AG138" s="311">
        <f>'4. LISTAS'!$M$6</f>
        <v>5.9299999999999999E-2</v>
      </c>
      <c r="AH138" s="310">
        <f>'4. LISTAS'!$M$5</f>
        <v>0.17</v>
      </c>
    </row>
    <row r="139" spans="1:38" x14ac:dyDescent="0.2">
      <c r="A139" s="323" t="s">
        <v>627</v>
      </c>
      <c r="B139" s="323">
        <v>1</v>
      </c>
      <c r="C139" s="321"/>
      <c r="D139" s="321"/>
      <c r="E139" s="321"/>
      <c r="F139" s="306">
        <f t="shared" si="54"/>
        <v>0</v>
      </c>
      <c r="G139" s="305">
        <f>IF($A$132='4. LISTAS'!$C$35,IF(V139="sim",AD139/(1-AG139),AD139/(1-AG139-(H139*(1+J139)))),IF($A$132='4. LISTAS'!$C$36,(AD139/(1-AG139-(H139*(1+J139)))),IF($A$132='4. LISTAS'!$C$37,(AB139/(1-AC139-AH139)),"Erro")))</f>
        <v>0</v>
      </c>
      <c r="H139" s="320">
        <f>IF(AND($A$132='4. LISTAS'!$C$35,'Fornec. TAGNA'!U139="Sim"),0,IF(OR($A$132='4. LISTAS'!$C$35, $A$132='4. LISTAS'!$C$36),(VLOOKUP('1.DASHBOARD'!$B$8,'4. LISTAS'!$F$2:$G$11,2,FALSE)),0))</f>
        <v>0.18</v>
      </c>
      <c r="I139" s="305">
        <f t="shared" si="51"/>
        <v>0</v>
      </c>
      <c r="J139" s="319">
        <f>VLOOKUP($A$132,'4. LISTAS'!$C$35:$F$37,4,0)</f>
        <v>0.1125</v>
      </c>
      <c r="K139" s="305">
        <f t="shared" si="52"/>
        <v>0</v>
      </c>
      <c r="L139" s="305">
        <f t="shared" si="53"/>
        <v>0</v>
      </c>
      <c r="M139" s="318"/>
      <c r="N139" s="296"/>
      <c r="O139" s="317"/>
      <c r="P139" s="317"/>
      <c r="Q139" s="320">
        <v>0.04</v>
      </c>
      <c r="R139" s="320">
        <v>0.15</v>
      </c>
      <c r="S139" s="320">
        <v>0</v>
      </c>
      <c r="T139" s="305"/>
      <c r="U139" s="316" t="str">
        <f t="shared" si="55"/>
        <v>Não</v>
      </c>
      <c r="V139" s="315" t="s">
        <v>454</v>
      </c>
      <c r="W139" s="296"/>
      <c r="X139" s="314">
        <f t="shared" si="56"/>
        <v>0</v>
      </c>
      <c r="Y139" s="312">
        <f t="shared" si="57"/>
        <v>0</v>
      </c>
      <c r="Z139" s="312">
        <f t="shared" si="58"/>
        <v>0</v>
      </c>
      <c r="AA139" s="294">
        <f>IF($A$132='4. LISTAS'!$C$35,(P139*B139+T139+Y139+Z139),IF($A$132='4. LISTAS'!$C$36,P139*B139+Y139,IF($A$132='4. LISTAS'!$C$37,P139*B139,"Erro")))</f>
        <v>0</v>
      </c>
      <c r="AB139" s="294">
        <f>IF($A$132='4. LISTAS'!$C$35,IF(V139="sim",AA139,AA139-X139),IF($A$132='4. LISTAS'!$C$36,IF(V139="Sim",AA139-X139,AA139-X139-Y139),IF($A$132='4. LISTAS'!$C$37,AA139,"erro")))</f>
        <v>0</v>
      </c>
      <c r="AC139" s="313">
        <f t="shared" si="62"/>
        <v>0.30349999999999999</v>
      </c>
      <c r="AD139" s="294">
        <f t="shared" si="59"/>
        <v>0</v>
      </c>
      <c r="AE139" s="312">
        <f t="shared" si="60"/>
        <v>0</v>
      </c>
      <c r="AF139" s="312">
        <f t="shared" si="61"/>
        <v>0</v>
      </c>
      <c r="AG139" s="311">
        <f>'4. LISTAS'!$M$6</f>
        <v>5.9299999999999999E-2</v>
      </c>
      <c r="AH139" s="310">
        <f>'4. LISTAS'!$M$5</f>
        <v>0.17</v>
      </c>
    </row>
    <row r="140" spans="1:38" x14ac:dyDescent="0.2">
      <c r="A140" s="323" t="s">
        <v>626</v>
      </c>
      <c r="B140" s="323">
        <v>1</v>
      </c>
      <c r="C140" s="321"/>
      <c r="D140" s="321"/>
      <c r="E140" s="321"/>
      <c r="F140" s="306">
        <f t="shared" si="54"/>
        <v>0</v>
      </c>
      <c r="G140" s="305">
        <f>IF($A$132='4. LISTAS'!$C$35,IF(V140="sim",AD140/(1-AG140),AD140/(1-AG140-(H140*(1+J140)))),IF($A$132='4. LISTAS'!$C$36,(AD140/(1-AG140-(H140*(1+J140)))),IF($A$132='4. LISTAS'!$C$37,(AB140/(1-AC140-AH140)),"Erro")))</f>
        <v>0</v>
      </c>
      <c r="H140" s="320">
        <f>IF(AND($A$132='4. LISTAS'!$C$35,'Fornec. TAGNA'!U140="Sim"),0,IF(OR($A$132='4. LISTAS'!$C$35, $A$132='4. LISTAS'!$C$36),(VLOOKUP('1.DASHBOARD'!$B$8,'4. LISTAS'!$F$2:$G$11,2,FALSE)),0))</f>
        <v>0.18</v>
      </c>
      <c r="I140" s="305">
        <f t="shared" si="51"/>
        <v>0</v>
      </c>
      <c r="J140" s="319">
        <f>VLOOKUP($A$132,'4. LISTAS'!$C$35:$F$37,4,0)</f>
        <v>0.1125</v>
      </c>
      <c r="K140" s="305">
        <f t="shared" si="52"/>
        <v>0</v>
      </c>
      <c r="L140" s="305">
        <f t="shared" si="53"/>
        <v>0</v>
      </c>
      <c r="M140" s="318"/>
      <c r="N140" s="296"/>
      <c r="O140" s="317"/>
      <c r="P140" s="317"/>
      <c r="Q140" s="320">
        <v>0.04</v>
      </c>
      <c r="R140" s="320">
        <v>0.15</v>
      </c>
      <c r="S140" s="320">
        <v>0</v>
      </c>
      <c r="T140" s="305"/>
      <c r="U140" s="316" t="str">
        <f t="shared" si="55"/>
        <v>Não</v>
      </c>
      <c r="V140" s="315" t="s">
        <v>454</v>
      </c>
      <c r="W140" s="296"/>
      <c r="X140" s="314">
        <f t="shared" si="56"/>
        <v>0</v>
      </c>
      <c r="Y140" s="312">
        <f t="shared" si="57"/>
        <v>0</v>
      </c>
      <c r="Z140" s="312">
        <f t="shared" si="58"/>
        <v>0</v>
      </c>
      <c r="AA140" s="294">
        <f>IF($A$132='4. LISTAS'!$C$35,(P140*B140+T140+Y140+Z140),IF($A$132='4. LISTAS'!$C$36,P140*B140+Y140,IF($A$132='4. LISTAS'!$C$37,P140*B140,"Erro")))</f>
        <v>0</v>
      </c>
      <c r="AB140" s="294">
        <f>IF($A$132='4. LISTAS'!$C$35,IF(V140="sim",AA140,AA140-X140),IF($A$132='4. LISTAS'!$C$36,IF(V140="Sim",AA140-X140,AA140-X140-Y140),IF($A$132='4. LISTAS'!$C$37,AA140,"erro")))</f>
        <v>0</v>
      </c>
      <c r="AC140" s="313">
        <f t="shared" si="62"/>
        <v>0.30349999999999999</v>
      </c>
      <c r="AD140" s="294">
        <f t="shared" si="59"/>
        <v>0</v>
      </c>
      <c r="AE140" s="312">
        <f t="shared" si="60"/>
        <v>0</v>
      </c>
      <c r="AF140" s="312">
        <f t="shared" si="61"/>
        <v>0</v>
      </c>
      <c r="AG140" s="311">
        <f>'4. LISTAS'!$M$6</f>
        <v>5.9299999999999999E-2</v>
      </c>
      <c r="AH140" s="310">
        <f>'4. LISTAS'!$M$5</f>
        <v>0.17</v>
      </c>
    </row>
    <row r="141" spans="1:38" x14ac:dyDescent="0.2">
      <c r="A141" s="323" t="s">
        <v>625</v>
      </c>
      <c r="B141" s="323">
        <v>1</v>
      </c>
      <c r="C141" s="321"/>
      <c r="D141" s="321"/>
      <c r="E141" s="321"/>
      <c r="F141" s="306">
        <f t="shared" si="54"/>
        <v>0</v>
      </c>
      <c r="G141" s="305">
        <f>IF($A$132='4. LISTAS'!$C$35,IF(V141="sim",AD141/(1-AG141),AD141/(1-AG141-(H141*(1+J141)))),IF($A$132='4. LISTAS'!$C$36,(AD141/(1-AG141-(H141*(1+J141)))),IF($A$132='4. LISTAS'!$C$37,(AB141/(1-AC141-AH141)),"Erro")))</f>
        <v>0</v>
      </c>
      <c r="H141" s="320">
        <f>IF(AND($A$132='4. LISTAS'!$C$35,'Fornec. TAGNA'!U141="Sim"),0,IF(OR($A$132='4. LISTAS'!$C$35, $A$132='4. LISTAS'!$C$36),(VLOOKUP('1.DASHBOARD'!$B$8,'4. LISTAS'!$F$2:$G$11,2,FALSE)),0))</f>
        <v>0.18</v>
      </c>
      <c r="I141" s="305">
        <f t="shared" si="51"/>
        <v>0</v>
      </c>
      <c r="J141" s="319">
        <f>VLOOKUP($A$132,'4. LISTAS'!$C$35:$F$37,4,0)</f>
        <v>0.1125</v>
      </c>
      <c r="K141" s="305">
        <f t="shared" si="52"/>
        <v>0</v>
      </c>
      <c r="L141" s="305">
        <f t="shared" si="53"/>
        <v>0</v>
      </c>
      <c r="M141" s="318"/>
      <c r="N141" s="296"/>
      <c r="O141" s="317"/>
      <c r="P141" s="317"/>
      <c r="Q141" s="320">
        <v>0.04</v>
      </c>
      <c r="R141" s="320">
        <v>0.15</v>
      </c>
      <c r="S141" s="320">
        <v>0</v>
      </c>
      <c r="T141" s="305"/>
      <c r="U141" s="316" t="str">
        <f t="shared" si="55"/>
        <v>Não</v>
      </c>
      <c r="V141" s="315" t="s">
        <v>454</v>
      </c>
      <c r="W141" s="296"/>
      <c r="X141" s="314">
        <f t="shared" si="56"/>
        <v>0</v>
      </c>
      <c r="Y141" s="312">
        <f t="shared" si="57"/>
        <v>0</v>
      </c>
      <c r="Z141" s="312">
        <f t="shared" si="58"/>
        <v>0</v>
      </c>
      <c r="AA141" s="294">
        <f>IF($A$132='4. LISTAS'!$C$35,(P141*B141+T141+Y141+Z141),IF($A$132='4. LISTAS'!$C$36,P141*B141+Y141,IF($A$132='4. LISTAS'!$C$37,P141*B141,"Erro")))</f>
        <v>0</v>
      </c>
      <c r="AB141" s="294">
        <f>IF($A$132='4. LISTAS'!$C$35,IF(V141="sim",AA141,AA141-X141),IF($A$132='4. LISTAS'!$C$36,IF(V141="Sim",AA141-X141,AA141-X141-Y141),IF($A$132='4. LISTAS'!$C$37,AA141,"erro")))</f>
        <v>0</v>
      </c>
      <c r="AC141" s="313">
        <f t="shared" si="62"/>
        <v>0.30349999999999999</v>
      </c>
      <c r="AD141" s="294">
        <f t="shared" si="59"/>
        <v>0</v>
      </c>
      <c r="AE141" s="312">
        <f t="shared" si="60"/>
        <v>0</v>
      </c>
      <c r="AF141" s="312">
        <f t="shared" si="61"/>
        <v>0</v>
      </c>
      <c r="AG141" s="311">
        <f>'4. LISTAS'!$M$6</f>
        <v>5.9299999999999999E-2</v>
      </c>
      <c r="AH141" s="310">
        <f>'4. LISTAS'!$M$5</f>
        <v>0.17</v>
      </c>
    </row>
    <row r="142" spans="1:38" x14ac:dyDescent="0.2">
      <c r="A142" s="323" t="s">
        <v>624</v>
      </c>
      <c r="B142" s="323">
        <v>1</v>
      </c>
      <c r="C142" s="321"/>
      <c r="D142" s="321"/>
      <c r="E142" s="321"/>
      <c r="F142" s="306">
        <f t="shared" si="54"/>
        <v>0</v>
      </c>
      <c r="G142" s="305">
        <f>IF($A$132='4. LISTAS'!$C$35,IF(V142="sim",AD142/(1-AG142),AD142/(1-AG142-(H142*(1+J142)))),IF($A$132='4. LISTAS'!$C$36,(AD142/(1-AG142-(H142*(1+J142)))),IF($A$132='4. LISTAS'!$C$37,(AB142/(1-AC142-AH142)),"Erro")))</f>
        <v>0</v>
      </c>
      <c r="H142" s="320">
        <f>IF(AND($A$132='4. LISTAS'!$C$35,'Fornec. TAGNA'!U142="Sim"),0,IF(OR($A$132='4. LISTAS'!$C$35, $A$132='4. LISTAS'!$C$36),(VLOOKUP('1.DASHBOARD'!$B$8,'4. LISTAS'!$F$2:$G$11,2,FALSE)),0))</f>
        <v>0.18</v>
      </c>
      <c r="I142" s="305">
        <f t="shared" si="51"/>
        <v>0</v>
      </c>
      <c r="J142" s="319">
        <f>VLOOKUP($A$132,'4. LISTAS'!$C$35:$F$37,4,0)</f>
        <v>0.1125</v>
      </c>
      <c r="K142" s="305">
        <f t="shared" si="52"/>
        <v>0</v>
      </c>
      <c r="L142" s="305">
        <f t="shared" si="53"/>
        <v>0</v>
      </c>
      <c r="M142" s="318"/>
      <c r="N142" s="296"/>
      <c r="O142" s="317"/>
      <c r="P142" s="317"/>
      <c r="Q142" s="320">
        <v>0.04</v>
      </c>
      <c r="R142" s="320">
        <v>0.15</v>
      </c>
      <c r="S142" s="320">
        <v>0</v>
      </c>
      <c r="T142" s="305"/>
      <c r="U142" s="316" t="str">
        <f t="shared" si="55"/>
        <v>Não</v>
      </c>
      <c r="V142" s="315" t="s">
        <v>454</v>
      </c>
      <c r="W142" s="296"/>
      <c r="X142" s="314">
        <f t="shared" si="56"/>
        <v>0</v>
      </c>
      <c r="Y142" s="312">
        <f t="shared" si="57"/>
        <v>0</v>
      </c>
      <c r="Z142" s="312">
        <f t="shared" si="58"/>
        <v>0</v>
      </c>
      <c r="AA142" s="294">
        <f>IF($A$132='4. LISTAS'!$C$35,(P142*B142+T142+Y142+Z142),IF($A$132='4. LISTAS'!$C$36,P142*B142+Y142,IF($A$132='4. LISTAS'!$C$37,P142*B142,"Erro")))</f>
        <v>0</v>
      </c>
      <c r="AB142" s="294">
        <f>IF($A$132='4. LISTAS'!$C$35,IF(V142="sim",AA142,AA142-X142),IF($A$132='4. LISTAS'!$C$36,IF(V142="Sim",AA142-X142,AA142-X142-Y142),IF($A$132='4. LISTAS'!$C$37,AA142,"erro")))</f>
        <v>0</v>
      </c>
      <c r="AC142" s="313">
        <f t="shared" si="62"/>
        <v>0.30349999999999999</v>
      </c>
      <c r="AD142" s="294">
        <f t="shared" si="59"/>
        <v>0</v>
      </c>
      <c r="AE142" s="312">
        <f t="shared" si="60"/>
        <v>0</v>
      </c>
      <c r="AF142" s="312">
        <f t="shared" si="61"/>
        <v>0</v>
      </c>
      <c r="AG142" s="311">
        <f>'4. LISTAS'!$M$6</f>
        <v>5.9299999999999999E-2</v>
      </c>
      <c r="AH142" s="310">
        <f>'4. LISTAS'!$M$5</f>
        <v>0.17</v>
      </c>
    </row>
    <row r="143" spans="1:38" x14ac:dyDescent="0.2">
      <c r="A143" s="323" t="s">
        <v>623</v>
      </c>
      <c r="B143" s="323">
        <v>1</v>
      </c>
      <c r="C143" s="321"/>
      <c r="D143" s="321"/>
      <c r="E143" s="321"/>
      <c r="F143" s="306">
        <f t="shared" si="54"/>
        <v>0</v>
      </c>
      <c r="G143" s="305">
        <f>IF($A$132='4. LISTAS'!$C$35,IF(V143="sim",AD143/(1-AG143),AD143/(1-AG143-(H143*(1+J143)))),IF($A$132='4. LISTAS'!$C$36,(AD143/(1-AG143-(H143*(1+J143)))),IF($A$132='4. LISTAS'!$C$37,(AB143/(1-AC143-AH143)),"Erro")))</f>
        <v>0</v>
      </c>
      <c r="H143" s="320">
        <f>IF(AND($A$132='4. LISTAS'!$C$35,'Fornec. TAGNA'!U143="Sim"),0,IF(OR($A$132='4. LISTAS'!$C$35, $A$132='4. LISTAS'!$C$36),(VLOOKUP('1.DASHBOARD'!$B$8,'4. LISTAS'!$F$2:$G$11,2,FALSE)),0))</f>
        <v>0.18</v>
      </c>
      <c r="I143" s="305">
        <f t="shared" si="51"/>
        <v>0</v>
      </c>
      <c r="J143" s="319">
        <f>VLOOKUP($A$132,'4. LISTAS'!$C$35:$F$37,4,0)</f>
        <v>0.1125</v>
      </c>
      <c r="K143" s="305">
        <f t="shared" si="52"/>
        <v>0</v>
      </c>
      <c r="L143" s="305">
        <f t="shared" si="53"/>
        <v>0</v>
      </c>
      <c r="M143" s="318"/>
      <c r="N143" s="296"/>
      <c r="O143" s="317"/>
      <c r="P143" s="317"/>
      <c r="Q143" s="320">
        <v>0.04</v>
      </c>
      <c r="R143" s="320">
        <v>0.15</v>
      </c>
      <c r="S143" s="320">
        <v>0</v>
      </c>
      <c r="T143" s="305"/>
      <c r="U143" s="316" t="str">
        <f t="shared" si="55"/>
        <v>Não</v>
      </c>
      <c r="V143" s="315" t="s">
        <v>454</v>
      </c>
      <c r="W143" s="296"/>
      <c r="X143" s="314">
        <f t="shared" si="56"/>
        <v>0</v>
      </c>
      <c r="Y143" s="312">
        <f t="shared" si="57"/>
        <v>0</v>
      </c>
      <c r="Z143" s="312">
        <f t="shared" si="58"/>
        <v>0</v>
      </c>
      <c r="AA143" s="294">
        <f>IF($A$132='4. LISTAS'!$C$35,(P143*B143+T143+Y143+Z143),IF($A$132='4. LISTAS'!$C$36,P143*B143+Y143,IF($A$132='4. LISTAS'!$C$37,P143*B143,"Erro")))</f>
        <v>0</v>
      </c>
      <c r="AB143" s="294">
        <f>IF($A$132='4. LISTAS'!$C$35,IF(V143="sim",AA143,AA143-X143),IF($A$132='4. LISTAS'!$C$36,IF(V143="Sim",AA143-X143,AA143-X143-Y143),IF($A$132='4. LISTAS'!$C$37,AA143,"erro")))</f>
        <v>0</v>
      </c>
      <c r="AC143" s="313">
        <f t="shared" si="62"/>
        <v>0.30349999999999999</v>
      </c>
      <c r="AD143" s="294">
        <f t="shared" si="59"/>
        <v>0</v>
      </c>
      <c r="AE143" s="312">
        <f t="shared" si="60"/>
        <v>0</v>
      </c>
      <c r="AF143" s="312">
        <f t="shared" si="61"/>
        <v>0</v>
      </c>
      <c r="AG143" s="311">
        <f>'4. LISTAS'!$M$6</f>
        <v>5.9299999999999999E-2</v>
      </c>
      <c r="AH143" s="310">
        <f>'4. LISTAS'!$M$5</f>
        <v>0.17</v>
      </c>
    </row>
    <row r="144" spans="1:38" x14ac:dyDescent="0.2">
      <c r="A144" s="323" t="s">
        <v>622</v>
      </c>
      <c r="B144" s="323">
        <v>1</v>
      </c>
      <c r="C144" s="321"/>
      <c r="D144" s="321"/>
      <c r="E144" s="321"/>
      <c r="F144" s="306">
        <f t="shared" si="54"/>
        <v>0</v>
      </c>
      <c r="G144" s="305">
        <f>IF($A$132='4. LISTAS'!$C$35,IF(V144="sim",AD144/(1-AG144),AD144/(1-AG144-(H144*(1+J144)))),IF($A$132='4. LISTAS'!$C$36,(AD144/(1-AG144-(H144*(1+J144)))),IF($A$132='4. LISTAS'!$C$37,(AB144/(1-AC144-AH144)),"Erro")))</f>
        <v>0</v>
      </c>
      <c r="H144" s="320">
        <f>IF(AND($A$132='4. LISTAS'!$C$35,'Fornec. TAGNA'!U144="Sim"),0,IF(OR($A$132='4. LISTAS'!$C$35, $A$132='4. LISTAS'!$C$36),(VLOOKUP('1.DASHBOARD'!$B$8,'4. LISTAS'!$F$2:$G$11,2,FALSE)),0))</f>
        <v>0.18</v>
      </c>
      <c r="I144" s="305">
        <f t="shared" si="51"/>
        <v>0</v>
      </c>
      <c r="J144" s="319">
        <f>VLOOKUP($A$132,'4. LISTAS'!$C$35:$F$37,4,0)</f>
        <v>0.1125</v>
      </c>
      <c r="K144" s="305">
        <f t="shared" si="52"/>
        <v>0</v>
      </c>
      <c r="L144" s="305">
        <f t="shared" si="53"/>
        <v>0</v>
      </c>
      <c r="M144" s="318"/>
      <c r="N144" s="296"/>
      <c r="O144" s="317"/>
      <c r="P144" s="317"/>
      <c r="Q144" s="320">
        <v>0.04</v>
      </c>
      <c r="R144" s="320">
        <v>0.15</v>
      </c>
      <c r="S144" s="320">
        <v>0</v>
      </c>
      <c r="T144" s="305"/>
      <c r="U144" s="316" t="str">
        <f t="shared" si="55"/>
        <v>Não</v>
      </c>
      <c r="V144" s="315" t="s">
        <v>454</v>
      </c>
      <c r="W144" s="296"/>
      <c r="X144" s="314">
        <f t="shared" si="56"/>
        <v>0</v>
      </c>
      <c r="Y144" s="312">
        <f t="shared" si="57"/>
        <v>0</v>
      </c>
      <c r="Z144" s="312">
        <f t="shared" si="58"/>
        <v>0</v>
      </c>
      <c r="AA144" s="294">
        <f>IF($A$132='4. LISTAS'!$C$35,(P144*B144+T144+Y144+Z144),IF($A$132='4. LISTAS'!$C$36,P144*B144+Y144,IF($A$132='4. LISTAS'!$C$37,P144*B144,"Erro")))</f>
        <v>0</v>
      </c>
      <c r="AB144" s="294">
        <f>IF($A$132='4. LISTAS'!$C$35,IF(V144="sim",AA144,AA144-X144),IF($A$132='4. LISTAS'!$C$36,IF(V144="Sim",AA144-X144,AA144-X144-Y144),IF($A$132='4. LISTAS'!$C$37,AA144,"erro")))</f>
        <v>0</v>
      </c>
      <c r="AC144" s="313">
        <f t="shared" si="62"/>
        <v>0.30349999999999999</v>
      </c>
      <c r="AD144" s="294">
        <f t="shared" si="59"/>
        <v>0</v>
      </c>
      <c r="AE144" s="312">
        <f t="shared" si="60"/>
        <v>0</v>
      </c>
      <c r="AF144" s="312">
        <f t="shared" si="61"/>
        <v>0</v>
      </c>
      <c r="AG144" s="311">
        <f>'4. LISTAS'!$M$6</f>
        <v>5.9299999999999999E-2</v>
      </c>
      <c r="AH144" s="310">
        <f>'4. LISTAS'!$M$5</f>
        <v>0.17</v>
      </c>
    </row>
    <row r="145" spans="1:38" x14ac:dyDescent="0.2">
      <c r="A145" s="323" t="s">
        <v>621</v>
      </c>
      <c r="B145" s="323">
        <v>1</v>
      </c>
      <c r="C145" s="321"/>
      <c r="D145" s="321"/>
      <c r="E145" s="321"/>
      <c r="F145" s="306">
        <f t="shared" si="54"/>
        <v>0</v>
      </c>
      <c r="G145" s="305">
        <f>IF($A$132='4. LISTAS'!$C$35,IF(V145="sim",AD145/(1-AG145),AD145/(1-AG145-(H145*(1+J145)))),IF($A$132='4. LISTAS'!$C$36,(AD145/(1-AG145-(H145*(1+J145)))),IF($A$132='4. LISTAS'!$C$37,(AB145/(1-AC145-AH145)),"Erro")))</f>
        <v>0</v>
      </c>
      <c r="H145" s="320">
        <f>IF(AND($A$132='4. LISTAS'!$C$35,'Fornec. TAGNA'!U145="Sim"),0,IF(OR($A$132='4. LISTAS'!$C$35, $A$132='4. LISTAS'!$C$36),(VLOOKUP('1.DASHBOARD'!$B$8,'4. LISTAS'!$F$2:$G$11,2,FALSE)),0))</f>
        <v>0.18</v>
      </c>
      <c r="I145" s="305">
        <f t="shared" si="51"/>
        <v>0</v>
      </c>
      <c r="J145" s="319">
        <f>VLOOKUP($A$132,'4. LISTAS'!$C$35:$F$37,4,0)</f>
        <v>0.1125</v>
      </c>
      <c r="K145" s="305">
        <f t="shared" si="52"/>
        <v>0</v>
      </c>
      <c r="L145" s="305">
        <f t="shared" si="53"/>
        <v>0</v>
      </c>
      <c r="M145" s="318"/>
      <c r="N145" s="296"/>
      <c r="O145" s="317"/>
      <c r="P145" s="317"/>
      <c r="Q145" s="320">
        <v>0.04</v>
      </c>
      <c r="R145" s="320">
        <v>0.15</v>
      </c>
      <c r="S145" s="320">
        <v>0</v>
      </c>
      <c r="T145" s="305"/>
      <c r="U145" s="316" t="str">
        <f t="shared" si="55"/>
        <v>Não</v>
      </c>
      <c r="V145" s="315" t="s">
        <v>454</v>
      </c>
      <c r="W145" s="296"/>
      <c r="X145" s="314">
        <f t="shared" si="56"/>
        <v>0</v>
      </c>
      <c r="Y145" s="312">
        <f t="shared" si="57"/>
        <v>0</v>
      </c>
      <c r="Z145" s="312">
        <f t="shared" si="58"/>
        <v>0</v>
      </c>
      <c r="AA145" s="294">
        <f>IF($A$132='4. LISTAS'!$C$35,(P145*B145+T145+Y145+Z145),IF($A$132='4. LISTAS'!$C$36,P145*B145+Y145,IF($A$132='4. LISTAS'!$C$37,P145*B145,"Erro")))</f>
        <v>0</v>
      </c>
      <c r="AB145" s="294">
        <f>IF($A$132='4. LISTAS'!$C$35,IF(V145="sim",AA145,AA145-X145),IF($A$132='4. LISTAS'!$C$36,IF(V145="Sim",AA145-X145,AA145-X145-Y145),IF($A$132='4. LISTAS'!$C$37,AA145,"erro")))</f>
        <v>0</v>
      </c>
      <c r="AC145" s="313">
        <f t="shared" si="62"/>
        <v>0.30349999999999999</v>
      </c>
      <c r="AD145" s="294">
        <f t="shared" si="59"/>
        <v>0</v>
      </c>
      <c r="AE145" s="312">
        <f t="shared" si="60"/>
        <v>0</v>
      </c>
      <c r="AF145" s="312">
        <f t="shared" si="61"/>
        <v>0</v>
      </c>
      <c r="AG145" s="311">
        <f>'4. LISTAS'!$M$6</f>
        <v>5.9299999999999999E-2</v>
      </c>
      <c r="AH145" s="310">
        <f>'4. LISTAS'!$M$5</f>
        <v>0.17</v>
      </c>
    </row>
    <row r="146" spans="1:38" x14ac:dyDescent="0.2">
      <c r="A146" s="323" t="s">
        <v>620</v>
      </c>
      <c r="B146" s="323">
        <v>1</v>
      </c>
      <c r="C146" s="321"/>
      <c r="D146" s="321"/>
      <c r="E146" s="321"/>
      <c r="F146" s="306">
        <f t="shared" si="54"/>
        <v>0</v>
      </c>
      <c r="G146" s="305">
        <f>IF($A$132='4. LISTAS'!$C$35,IF(V146="sim",AD146/(1-AG146),AD146/(1-AG146-(H146*(1+J146)))),IF($A$132='4. LISTAS'!$C$36,(AD146/(1-AG146-(H146*(1+J146)))),IF($A$132='4. LISTAS'!$C$37,(AB146/(1-AC146-AH146)),"Erro")))</f>
        <v>0</v>
      </c>
      <c r="H146" s="320">
        <f>IF(AND($A$132='4. LISTAS'!$C$35,'Fornec. TAGNA'!U146="Sim"),0,IF(OR($A$132='4. LISTAS'!$C$35, $A$132='4. LISTAS'!$C$36),(VLOOKUP('1.DASHBOARD'!$B$8,'4. LISTAS'!$F$2:$G$11,2,FALSE)),0))</f>
        <v>0.18</v>
      </c>
      <c r="I146" s="305">
        <f t="shared" si="51"/>
        <v>0</v>
      </c>
      <c r="J146" s="319">
        <f>VLOOKUP($A$132,'4. LISTAS'!$C$35:$F$37,4,0)</f>
        <v>0.1125</v>
      </c>
      <c r="K146" s="305">
        <f t="shared" si="52"/>
        <v>0</v>
      </c>
      <c r="L146" s="305">
        <f t="shared" si="53"/>
        <v>0</v>
      </c>
      <c r="M146" s="318"/>
      <c r="N146" s="296"/>
      <c r="O146" s="317"/>
      <c r="P146" s="317"/>
      <c r="Q146" s="320">
        <v>0.04</v>
      </c>
      <c r="R146" s="320">
        <v>0.15</v>
      </c>
      <c r="S146" s="320">
        <v>0</v>
      </c>
      <c r="T146" s="305"/>
      <c r="U146" s="316" t="str">
        <f t="shared" si="55"/>
        <v>Não</v>
      </c>
      <c r="V146" s="315" t="s">
        <v>454</v>
      </c>
      <c r="W146" s="296"/>
      <c r="X146" s="314">
        <f t="shared" si="56"/>
        <v>0</v>
      </c>
      <c r="Y146" s="312">
        <f t="shared" si="57"/>
        <v>0</v>
      </c>
      <c r="Z146" s="312">
        <f t="shared" si="58"/>
        <v>0</v>
      </c>
      <c r="AA146" s="294">
        <f>IF($A$132='4. LISTAS'!$C$35,(P146*B146+T146+Y146+Z146),IF($A$132='4. LISTAS'!$C$36,P146*B146+Y146,IF($A$132='4. LISTAS'!$C$37,P146*B146,"Erro")))</f>
        <v>0</v>
      </c>
      <c r="AB146" s="294">
        <f>IF($A$132='4. LISTAS'!$C$35,IF(V146="sim",AA146,AA146-X146),IF($A$132='4. LISTAS'!$C$36,IF(V146="Sim",AA146-X146,AA146-X146-Y146),IF($A$132='4. LISTAS'!$C$37,AA146,"erro")))</f>
        <v>0</v>
      </c>
      <c r="AC146" s="313">
        <f t="shared" si="62"/>
        <v>0.30349999999999999</v>
      </c>
      <c r="AD146" s="294">
        <f t="shared" si="59"/>
        <v>0</v>
      </c>
      <c r="AE146" s="312">
        <f t="shared" si="60"/>
        <v>0</v>
      </c>
      <c r="AF146" s="312">
        <f t="shared" si="61"/>
        <v>0</v>
      </c>
      <c r="AG146" s="311">
        <f>'4. LISTAS'!$M$6</f>
        <v>5.9299999999999999E-2</v>
      </c>
      <c r="AH146" s="310">
        <f>'4. LISTAS'!$M$5</f>
        <v>0.17</v>
      </c>
    </row>
    <row r="147" spans="1:38" x14ac:dyDescent="0.2">
      <c r="A147" s="323" t="s">
        <v>619</v>
      </c>
      <c r="B147" s="323">
        <v>1</v>
      </c>
      <c r="C147" s="321"/>
      <c r="D147" s="321"/>
      <c r="E147" s="321"/>
      <c r="F147" s="306">
        <f t="shared" si="54"/>
        <v>0</v>
      </c>
      <c r="G147" s="305">
        <f>IF($A$132='4. LISTAS'!$C$35,IF(V147="sim",AD147/(1-AG147),AD147/(1-AG147-(H147*(1+J147)))),IF($A$132='4. LISTAS'!$C$36,(AD147/(1-AG147-(H147*(1+J147)))),IF($A$132='4. LISTAS'!$C$37,(AB147/(1-AC147-AH147)),"Erro")))</f>
        <v>0</v>
      </c>
      <c r="H147" s="320">
        <f>IF(AND($A$132='4. LISTAS'!$C$35,'Fornec. TAGNA'!U147="Sim"),0,IF(OR($A$132='4. LISTAS'!$C$35, $A$132='4. LISTAS'!$C$36),(VLOOKUP('1.DASHBOARD'!$B$8,'4. LISTAS'!$F$2:$G$11,2,FALSE)),0))</f>
        <v>0.18</v>
      </c>
      <c r="I147" s="305">
        <f t="shared" si="51"/>
        <v>0</v>
      </c>
      <c r="J147" s="319">
        <f>VLOOKUP($A$132,'4. LISTAS'!$C$35:$F$37,4,0)</f>
        <v>0.1125</v>
      </c>
      <c r="K147" s="305">
        <f t="shared" si="52"/>
        <v>0</v>
      </c>
      <c r="L147" s="305">
        <f t="shared" si="53"/>
        <v>0</v>
      </c>
      <c r="M147" s="318"/>
      <c r="N147" s="296"/>
      <c r="O147" s="317"/>
      <c r="P147" s="317"/>
      <c r="Q147" s="320">
        <v>0.04</v>
      </c>
      <c r="R147" s="320">
        <v>0.15</v>
      </c>
      <c r="S147" s="320">
        <v>0</v>
      </c>
      <c r="T147" s="305"/>
      <c r="U147" s="316" t="str">
        <f t="shared" si="55"/>
        <v>Não</v>
      </c>
      <c r="V147" s="315" t="s">
        <v>454</v>
      </c>
      <c r="W147" s="296"/>
      <c r="X147" s="314">
        <f t="shared" si="56"/>
        <v>0</v>
      </c>
      <c r="Y147" s="312">
        <f t="shared" si="57"/>
        <v>0</v>
      </c>
      <c r="Z147" s="312">
        <f t="shared" si="58"/>
        <v>0</v>
      </c>
      <c r="AA147" s="294">
        <f>IF($A$132='4. LISTAS'!$C$35,(P147*B147+T147+Y147+Z147),IF($A$132='4. LISTAS'!$C$36,P147*B147+Y147,IF($A$132='4. LISTAS'!$C$37,P147*B147,"Erro")))</f>
        <v>0</v>
      </c>
      <c r="AB147" s="294">
        <f>IF($A$132='4. LISTAS'!$C$35,IF(V147="sim",AA147,AA147-X147),IF($A$132='4. LISTAS'!$C$36,IF(V147="Sim",AA147-X147,AA147-X147-Y147),IF($A$132='4. LISTAS'!$C$37,AA147,"erro")))</f>
        <v>0</v>
      </c>
      <c r="AC147" s="313">
        <f t="shared" si="62"/>
        <v>0.30349999999999999</v>
      </c>
      <c r="AD147" s="294">
        <f t="shared" si="59"/>
        <v>0</v>
      </c>
      <c r="AE147" s="312">
        <f t="shared" si="60"/>
        <v>0</v>
      </c>
      <c r="AF147" s="312">
        <f t="shared" si="61"/>
        <v>0</v>
      </c>
      <c r="AG147" s="311">
        <f>'4. LISTAS'!$M$6</f>
        <v>5.9299999999999999E-2</v>
      </c>
      <c r="AH147" s="310">
        <f>'4. LISTAS'!$M$5</f>
        <v>0.17</v>
      </c>
    </row>
    <row r="148" spans="1:38" x14ac:dyDescent="0.2">
      <c r="A148" s="323" t="s">
        <v>618</v>
      </c>
      <c r="B148" s="323">
        <v>1</v>
      </c>
      <c r="C148" s="321"/>
      <c r="D148" s="321"/>
      <c r="E148" s="321"/>
      <c r="F148" s="306">
        <f t="shared" si="54"/>
        <v>0</v>
      </c>
      <c r="G148" s="305">
        <f>IF($A$132='4. LISTAS'!$C$35,IF(V148="sim",AD148/(1-AG148),AD148/(1-AG148-(H148*(1+J148)))),IF($A$132='4. LISTAS'!$C$36,(AD148/(1-AG148-(H148*(1+J148)))),IF($A$132='4. LISTAS'!$C$37,(AB148/(1-AC148-AH148)),"Erro")))</f>
        <v>0</v>
      </c>
      <c r="H148" s="320">
        <f>IF(AND($A$132='4. LISTAS'!$C$35,'Fornec. TAGNA'!U148="Sim"),0,IF(OR($A$132='4. LISTAS'!$C$35, $A$132='4. LISTAS'!$C$36),(VLOOKUP('1.DASHBOARD'!$B$8,'4. LISTAS'!$F$2:$G$11,2,FALSE)),0))</f>
        <v>0.18</v>
      </c>
      <c r="I148" s="305">
        <f t="shared" si="51"/>
        <v>0</v>
      </c>
      <c r="J148" s="319">
        <f>VLOOKUP($A$132,'4. LISTAS'!$C$35:$F$37,4,0)</f>
        <v>0.1125</v>
      </c>
      <c r="K148" s="305">
        <f t="shared" si="52"/>
        <v>0</v>
      </c>
      <c r="L148" s="305">
        <f t="shared" si="53"/>
        <v>0</v>
      </c>
      <c r="M148" s="318"/>
      <c r="N148" s="296"/>
      <c r="O148" s="317"/>
      <c r="P148" s="317"/>
      <c r="Q148" s="320">
        <v>0.04</v>
      </c>
      <c r="R148" s="320">
        <v>0.15</v>
      </c>
      <c r="S148" s="320">
        <v>0</v>
      </c>
      <c r="T148" s="305"/>
      <c r="U148" s="316" t="str">
        <f t="shared" si="55"/>
        <v>Não</v>
      </c>
      <c r="V148" s="315" t="s">
        <v>454</v>
      </c>
      <c r="W148" s="296"/>
      <c r="X148" s="314">
        <f t="shared" si="56"/>
        <v>0</v>
      </c>
      <c r="Y148" s="312">
        <f t="shared" si="57"/>
        <v>0</v>
      </c>
      <c r="Z148" s="312">
        <f t="shared" si="58"/>
        <v>0</v>
      </c>
      <c r="AA148" s="294">
        <f>IF($A$132='4. LISTAS'!$C$35,(P148*B148+T148+Y148+Z148),IF($A$132='4. LISTAS'!$C$36,P148*B148+Y148,IF($A$132='4. LISTAS'!$C$37,P148*B148,"Erro")))</f>
        <v>0</v>
      </c>
      <c r="AB148" s="294">
        <f>IF($A$132='4. LISTAS'!$C$35,IF(V148="sim",AA148,AA148-X148),IF($A$132='4. LISTAS'!$C$36,IF(V148="Sim",AA148-X148,AA148-X148-Y148),IF($A$132='4. LISTAS'!$C$37,AA148,"erro")))</f>
        <v>0</v>
      </c>
      <c r="AC148" s="313">
        <f t="shared" si="62"/>
        <v>0.30349999999999999</v>
      </c>
      <c r="AD148" s="294">
        <f t="shared" si="59"/>
        <v>0</v>
      </c>
      <c r="AE148" s="312">
        <f t="shared" si="60"/>
        <v>0</v>
      </c>
      <c r="AF148" s="312">
        <f t="shared" si="61"/>
        <v>0</v>
      </c>
      <c r="AG148" s="311">
        <f>'4. LISTAS'!$M$6</f>
        <v>5.9299999999999999E-2</v>
      </c>
      <c r="AH148" s="310">
        <f>'4. LISTAS'!$M$5</f>
        <v>0.17</v>
      </c>
    </row>
    <row r="149" spans="1:38" x14ac:dyDescent="0.2">
      <c r="A149" s="323" t="s">
        <v>617</v>
      </c>
      <c r="B149" s="323">
        <v>1</v>
      </c>
      <c r="C149" s="321"/>
      <c r="D149" s="321"/>
      <c r="E149" s="321"/>
      <c r="F149" s="306">
        <f t="shared" si="54"/>
        <v>0</v>
      </c>
      <c r="G149" s="305">
        <f>IF($A$132='4. LISTAS'!$C$35,IF(V149="sim",AD149/(1-AG149),AD149/(1-AG149-(H149*(1+J149)))),IF($A$132='4. LISTAS'!$C$36,(AD149/(1-AG149-(H149*(1+J149)))),IF($A$132='4. LISTAS'!$C$37,(AB149/(1-AC149-AH149)),"Erro")))</f>
        <v>0</v>
      </c>
      <c r="H149" s="320">
        <f>IF(AND($A$132='4. LISTAS'!$C$35,'Fornec. TAGNA'!U149="Sim"),0,IF(OR($A$132='4. LISTAS'!$C$35, $A$132='4. LISTAS'!$C$36),(VLOOKUP('1.DASHBOARD'!$B$8,'4. LISTAS'!$F$2:$G$11,2,FALSE)),0))</f>
        <v>0.18</v>
      </c>
      <c r="I149" s="305">
        <f t="shared" si="51"/>
        <v>0</v>
      </c>
      <c r="J149" s="319">
        <f>VLOOKUP($A$132,'4. LISTAS'!$C$35:$F$37,4,0)</f>
        <v>0.1125</v>
      </c>
      <c r="K149" s="305">
        <f t="shared" si="52"/>
        <v>0</v>
      </c>
      <c r="L149" s="305">
        <f t="shared" si="53"/>
        <v>0</v>
      </c>
      <c r="M149" s="318"/>
      <c r="N149" s="296"/>
      <c r="O149" s="317"/>
      <c r="P149" s="317"/>
      <c r="Q149" s="320">
        <v>0.04</v>
      </c>
      <c r="R149" s="320">
        <v>0.15</v>
      </c>
      <c r="S149" s="320">
        <v>0</v>
      </c>
      <c r="T149" s="305"/>
      <c r="U149" s="316" t="str">
        <f t="shared" si="55"/>
        <v>Não</v>
      </c>
      <c r="V149" s="315" t="s">
        <v>454</v>
      </c>
      <c r="W149" s="296"/>
      <c r="X149" s="314">
        <f t="shared" si="56"/>
        <v>0</v>
      </c>
      <c r="Y149" s="312">
        <f t="shared" si="57"/>
        <v>0</v>
      </c>
      <c r="Z149" s="312">
        <f t="shared" si="58"/>
        <v>0</v>
      </c>
      <c r="AA149" s="294">
        <f>IF($A$132='4. LISTAS'!$C$35,(P149*B149+T149+Y149+Z149),IF($A$132='4. LISTAS'!$C$36,P149*B149+Y149,IF($A$132='4. LISTAS'!$C$37,P149*B149,"Erro")))</f>
        <v>0</v>
      </c>
      <c r="AB149" s="294">
        <f>IF($A$132='4. LISTAS'!$C$35,IF(V149="sim",AA149,AA149-X149),IF($A$132='4. LISTAS'!$C$36,IF(V149="Sim",AA149-X149,AA149-X149-Y149),IF($A$132='4. LISTAS'!$C$37,AA149,"erro")))</f>
        <v>0</v>
      </c>
      <c r="AC149" s="313">
        <f t="shared" si="62"/>
        <v>0.30349999999999999</v>
      </c>
      <c r="AD149" s="294">
        <f t="shared" si="59"/>
        <v>0</v>
      </c>
      <c r="AE149" s="312">
        <f t="shared" si="60"/>
        <v>0</v>
      </c>
      <c r="AF149" s="312">
        <f t="shared" si="61"/>
        <v>0</v>
      </c>
      <c r="AG149" s="311">
        <f>'4. LISTAS'!$M$6</f>
        <v>5.9299999999999999E-2</v>
      </c>
      <c r="AH149" s="310">
        <f>'4. LISTAS'!$M$5</f>
        <v>0.17</v>
      </c>
    </row>
    <row r="150" spans="1:38" x14ac:dyDescent="0.2">
      <c r="A150" s="323" t="s">
        <v>616</v>
      </c>
      <c r="B150" s="323">
        <v>1</v>
      </c>
      <c r="C150" s="321"/>
      <c r="D150" s="321"/>
      <c r="E150" s="321"/>
      <c r="F150" s="306">
        <f t="shared" si="54"/>
        <v>0</v>
      </c>
      <c r="G150" s="305">
        <f>IF($A$132='4. LISTAS'!$C$35,IF(V150="sim",AD150/(1-AG150),AD150/(1-AG150-(H150*(1+J150)))),IF($A$132='4. LISTAS'!$C$36,(AD150/(1-AG150-(H150*(1+J150)))),IF($A$132='4. LISTAS'!$C$37,(AB150/(1-AC150-AH150)),"Erro")))</f>
        <v>0</v>
      </c>
      <c r="H150" s="320">
        <f>IF(AND($A$132='4. LISTAS'!$C$35,'Fornec. TAGNA'!U150="Sim"),0,IF(OR($A$132='4. LISTAS'!$C$35, $A$132='4. LISTAS'!$C$36),(VLOOKUP('1.DASHBOARD'!$B$8,'4. LISTAS'!$F$2:$G$11,2,FALSE)),0))</f>
        <v>0.18</v>
      </c>
      <c r="I150" s="305">
        <f t="shared" si="51"/>
        <v>0</v>
      </c>
      <c r="J150" s="319">
        <f>VLOOKUP($A$132,'4. LISTAS'!$C$35:$F$37,4,0)</f>
        <v>0.1125</v>
      </c>
      <c r="K150" s="305">
        <f t="shared" si="52"/>
        <v>0</v>
      </c>
      <c r="L150" s="305">
        <f t="shared" si="53"/>
        <v>0</v>
      </c>
      <c r="M150" s="318"/>
      <c r="N150" s="296"/>
      <c r="O150" s="317"/>
      <c r="P150" s="317"/>
      <c r="Q150" s="320">
        <v>0.04</v>
      </c>
      <c r="R150" s="320">
        <v>0.15</v>
      </c>
      <c r="S150" s="320">
        <v>0</v>
      </c>
      <c r="T150" s="305"/>
      <c r="U150" s="316" t="str">
        <f t="shared" si="55"/>
        <v>Não</v>
      </c>
      <c r="V150" s="315" t="s">
        <v>454</v>
      </c>
      <c r="W150" s="296"/>
      <c r="X150" s="314">
        <f t="shared" si="56"/>
        <v>0</v>
      </c>
      <c r="Y150" s="312">
        <f t="shared" si="57"/>
        <v>0</v>
      </c>
      <c r="Z150" s="312">
        <f t="shared" si="58"/>
        <v>0</v>
      </c>
      <c r="AA150" s="294">
        <f>IF($A$132='4. LISTAS'!$C$35,(P150*B150+T150+Y150+Z150),IF($A$132='4. LISTAS'!$C$36,P150*B150+Y150,IF($A$132='4. LISTAS'!$C$37,P150*B150,"Erro")))</f>
        <v>0</v>
      </c>
      <c r="AB150" s="294">
        <f>IF($A$132='4. LISTAS'!$C$35,IF(V150="sim",AA150,AA150-X150),IF($A$132='4. LISTAS'!$C$36,IF(V150="Sim",AA150-X150,AA150-X150-Y150),IF($A$132='4. LISTAS'!$C$37,AA150,"erro")))</f>
        <v>0</v>
      </c>
      <c r="AC150" s="313">
        <f t="shared" si="62"/>
        <v>0.30349999999999999</v>
      </c>
      <c r="AD150" s="294">
        <f t="shared" si="59"/>
        <v>0</v>
      </c>
      <c r="AE150" s="312">
        <f t="shared" si="60"/>
        <v>0</v>
      </c>
      <c r="AF150" s="312">
        <f t="shared" si="61"/>
        <v>0</v>
      </c>
      <c r="AG150" s="311">
        <f>'4. LISTAS'!$M$6</f>
        <v>5.9299999999999999E-2</v>
      </c>
      <c r="AH150" s="310">
        <f>'4. LISTAS'!$M$5</f>
        <v>0.17</v>
      </c>
    </row>
    <row r="151" spans="1:38" x14ac:dyDescent="0.2">
      <c r="A151" s="323" t="s">
        <v>615</v>
      </c>
      <c r="B151" s="323">
        <v>1</v>
      </c>
      <c r="C151" s="321"/>
      <c r="D151" s="321"/>
      <c r="E151" s="321"/>
      <c r="F151" s="306">
        <f t="shared" si="54"/>
        <v>0</v>
      </c>
      <c r="G151" s="305">
        <f>IF($A$132='4. LISTAS'!$C$35,IF(V151="sim",AD151/(1-AG151),AD151/(1-AG151-(H151*(1+J151)))),IF($A$132='4. LISTAS'!$C$36,(AD151/(1-AG151-(H151*(1+J151)))),IF($A$132='4. LISTAS'!$C$37,(AB151/(1-AC151-AH151)),"Erro")))</f>
        <v>0</v>
      </c>
      <c r="H151" s="320">
        <f>IF(AND($A$132='4. LISTAS'!$C$35,'Fornec. TAGNA'!U151="Sim"),0,IF(OR($A$132='4. LISTAS'!$C$35, $A$132='4. LISTAS'!$C$36),(VLOOKUP('1.DASHBOARD'!$B$8,'4. LISTAS'!$F$2:$G$11,2,FALSE)),0))</f>
        <v>0.18</v>
      </c>
      <c r="I151" s="305">
        <f t="shared" si="51"/>
        <v>0</v>
      </c>
      <c r="J151" s="319">
        <f>VLOOKUP($A$132,'4. LISTAS'!$C$35:$F$37,4,0)</f>
        <v>0.1125</v>
      </c>
      <c r="K151" s="305">
        <f t="shared" si="52"/>
        <v>0</v>
      </c>
      <c r="L151" s="305">
        <f t="shared" si="53"/>
        <v>0</v>
      </c>
      <c r="M151" s="318"/>
      <c r="N151" s="296"/>
      <c r="O151" s="317"/>
      <c r="P151" s="317"/>
      <c r="Q151" s="320">
        <v>0.04</v>
      </c>
      <c r="R151" s="320">
        <v>0.15</v>
      </c>
      <c r="S151" s="320">
        <v>0</v>
      </c>
      <c r="T151" s="305"/>
      <c r="U151" s="316" t="str">
        <f t="shared" si="55"/>
        <v>Não</v>
      </c>
      <c r="V151" s="315" t="s">
        <v>454</v>
      </c>
      <c r="W151" s="296"/>
      <c r="X151" s="314">
        <f t="shared" si="56"/>
        <v>0</v>
      </c>
      <c r="Y151" s="312">
        <f t="shared" si="57"/>
        <v>0</v>
      </c>
      <c r="Z151" s="312">
        <f t="shared" si="58"/>
        <v>0</v>
      </c>
      <c r="AA151" s="294">
        <f>IF($A$132='4. LISTAS'!$C$35,(P151*B151+T151+Y151+Z151),IF($A$132='4. LISTAS'!$C$36,P151*B151+Y151,IF($A$132='4. LISTAS'!$C$37,P151*B151,"Erro")))</f>
        <v>0</v>
      </c>
      <c r="AB151" s="294">
        <f>IF($A$132='4. LISTAS'!$C$35,IF(V151="sim",AA151,AA151-X151),IF($A$132='4. LISTAS'!$C$36,IF(V151="Sim",AA151-X151,AA151-X151-Y151),IF($A$132='4. LISTAS'!$C$37,AA151,"erro")))</f>
        <v>0</v>
      </c>
      <c r="AC151" s="313">
        <f t="shared" si="62"/>
        <v>0.30349999999999999</v>
      </c>
      <c r="AD151" s="294">
        <f t="shared" si="59"/>
        <v>0</v>
      </c>
      <c r="AE151" s="312">
        <f t="shared" si="60"/>
        <v>0</v>
      </c>
      <c r="AF151" s="312">
        <f t="shared" si="61"/>
        <v>0</v>
      </c>
      <c r="AG151" s="311">
        <f>'4. LISTAS'!$M$6</f>
        <v>5.9299999999999999E-2</v>
      </c>
      <c r="AH151" s="310">
        <f>'4. LISTAS'!$M$5</f>
        <v>0.17</v>
      </c>
      <c r="AI151" s="296"/>
      <c r="AJ151" s="321"/>
      <c r="AK151" s="321"/>
      <c r="AL151" s="321"/>
    </row>
    <row r="152" spans="1:38" x14ac:dyDescent="0.2">
      <c r="A152" s="323" t="s">
        <v>614</v>
      </c>
      <c r="B152" s="323">
        <v>1</v>
      </c>
      <c r="C152" s="321"/>
      <c r="D152" s="321"/>
      <c r="E152" s="321"/>
      <c r="F152" s="306">
        <f t="shared" si="54"/>
        <v>0</v>
      </c>
      <c r="G152" s="305">
        <f>IF($A$132='4. LISTAS'!$C$35,IF(V152="sim",AD152/(1-AG152),AD152/(1-AG152-(H152*(1+J152)))),IF($A$132='4. LISTAS'!$C$36,(AD152/(1-AG152-(H152*(1+J152)))),IF($A$132='4. LISTAS'!$C$37,(AB152/(1-AC152-AH152)),"Erro")))</f>
        <v>0</v>
      </c>
      <c r="H152" s="320">
        <f>IF(AND($A$132='4. LISTAS'!$C$35,'Fornec. TAGNA'!U152="Sim"),0,IF(OR($A$132='4. LISTAS'!$C$35, $A$132='4. LISTAS'!$C$36),(VLOOKUP('1.DASHBOARD'!$B$8,'4. LISTAS'!$F$2:$G$11,2,FALSE)),0))</f>
        <v>0.18</v>
      </c>
      <c r="I152" s="305">
        <f t="shared" si="51"/>
        <v>0</v>
      </c>
      <c r="J152" s="319">
        <f>VLOOKUP($A$132,'4. LISTAS'!$C$35:$F$37,4,0)</f>
        <v>0.1125</v>
      </c>
      <c r="K152" s="305">
        <f t="shared" si="52"/>
        <v>0</v>
      </c>
      <c r="L152" s="305">
        <f t="shared" si="53"/>
        <v>0</v>
      </c>
      <c r="M152" s="318"/>
      <c r="N152" s="296"/>
      <c r="O152" s="317"/>
      <c r="P152" s="317"/>
      <c r="Q152" s="320">
        <v>0.04</v>
      </c>
      <c r="R152" s="320">
        <v>0.15</v>
      </c>
      <c r="S152" s="320">
        <v>0</v>
      </c>
      <c r="T152" s="305"/>
      <c r="U152" s="316" t="str">
        <f t="shared" si="55"/>
        <v>Não</v>
      </c>
      <c r="V152" s="315" t="s">
        <v>454</v>
      </c>
      <c r="W152" s="296"/>
      <c r="X152" s="314">
        <f t="shared" si="56"/>
        <v>0</v>
      </c>
      <c r="Y152" s="312">
        <f t="shared" si="57"/>
        <v>0</v>
      </c>
      <c r="Z152" s="312">
        <f t="shared" si="58"/>
        <v>0</v>
      </c>
      <c r="AA152" s="294">
        <f>IF($A$132='4. LISTAS'!$C$35,(P152*B152+T152+Y152+Z152),IF($A$132='4. LISTAS'!$C$36,P152*B152+Y152,IF($A$132='4. LISTAS'!$C$37,P152*B152,"Erro")))</f>
        <v>0</v>
      </c>
      <c r="AB152" s="294">
        <f>IF($A$132='4. LISTAS'!$C$35,IF(V152="sim",AA152,AA152-X152),IF($A$132='4. LISTAS'!$C$36,IF(V152="Sim",AA152-X152,AA152-X152-Y152),IF($A$132='4. LISTAS'!$C$37,AA152,"erro")))</f>
        <v>0</v>
      </c>
      <c r="AC152" s="313">
        <f t="shared" si="62"/>
        <v>0.30349999999999999</v>
      </c>
      <c r="AD152" s="294">
        <f t="shared" si="59"/>
        <v>0</v>
      </c>
      <c r="AE152" s="312">
        <f t="shared" si="60"/>
        <v>0</v>
      </c>
      <c r="AF152" s="312">
        <f t="shared" si="61"/>
        <v>0</v>
      </c>
      <c r="AG152" s="311">
        <f>'4. LISTAS'!$M$6</f>
        <v>5.9299999999999999E-2</v>
      </c>
      <c r="AH152" s="310">
        <f>'4. LISTAS'!$M$5</f>
        <v>0.17</v>
      </c>
      <c r="AI152" s="296"/>
      <c r="AJ152" s="321"/>
      <c r="AK152" s="321"/>
      <c r="AL152" s="321"/>
    </row>
    <row r="153" spans="1:38" x14ac:dyDescent="0.2">
      <c r="A153" s="323" t="s">
        <v>613</v>
      </c>
      <c r="B153" s="323">
        <v>1</v>
      </c>
      <c r="C153" s="321"/>
      <c r="D153" s="321"/>
      <c r="E153" s="321"/>
      <c r="F153" s="306">
        <f t="shared" si="54"/>
        <v>0</v>
      </c>
      <c r="G153" s="305">
        <f>IF($A$132='4. LISTAS'!$C$35,IF(V153="sim",AD153/(1-AG153),AD153/(1-AG153-(H153*(1+J153)))),IF($A$132='4. LISTAS'!$C$36,(AD153/(1-AG153-(H153*(1+J153)))),IF($A$132='4. LISTAS'!$C$37,(AB153/(1-AC153-AH153)),"Erro")))</f>
        <v>0</v>
      </c>
      <c r="H153" s="320">
        <f>IF(AND($A$132='4. LISTAS'!$C$35,'Fornec. TAGNA'!U153="Sim"),0,IF(OR($A$132='4. LISTAS'!$C$35, $A$132='4. LISTAS'!$C$36),(VLOOKUP('1.DASHBOARD'!$B$8,'4. LISTAS'!$F$2:$G$11,2,FALSE)),0))</f>
        <v>0.18</v>
      </c>
      <c r="I153" s="305">
        <f t="shared" si="51"/>
        <v>0</v>
      </c>
      <c r="J153" s="319">
        <f>VLOOKUP($A$132,'4. LISTAS'!$C$35:$F$37,4,0)</f>
        <v>0.1125</v>
      </c>
      <c r="K153" s="305">
        <f t="shared" si="52"/>
        <v>0</v>
      </c>
      <c r="L153" s="305">
        <f t="shared" si="53"/>
        <v>0</v>
      </c>
      <c r="M153" s="318"/>
      <c r="N153" s="296"/>
      <c r="O153" s="317"/>
      <c r="P153" s="317"/>
      <c r="Q153" s="320">
        <v>0.04</v>
      </c>
      <c r="R153" s="320">
        <v>0.15</v>
      </c>
      <c r="S153" s="320">
        <v>0</v>
      </c>
      <c r="T153" s="305"/>
      <c r="U153" s="316" t="str">
        <f t="shared" si="55"/>
        <v>Não</v>
      </c>
      <c r="V153" s="315" t="s">
        <v>454</v>
      </c>
      <c r="W153" s="296"/>
      <c r="X153" s="314">
        <f t="shared" si="56"/>
        <v>0</v>
      </c>
      <c r="Y153" s="312">
        <f t="shared" si="57"/>
        <v>0</v>
      </c>
      <c r="Z153" s="312">
        <f t="shared" si="58"/>
        <v>0</v>
      </c>
      <c r="AA153" s="294">
        <f>IF($A$132='4. LISTAS'!$C$35,(P153*B153+T153+Y153+Z153),IF($A$132='4. LISTAS'!$C$36,P153*B153+Y153,IF($A$132='4. LISTAS'!$C$37,P153*B153,"Erro")))</f>
        <v>0</v>
      </c>
      <c r="AB153" s="294">
        <f>IF($A$132='4. LISTAS'!$C$35,IF(V153="sim",AA153,AA153-X153),IF($A$132='4. LISTAS'!$C$36,IF(V153="Sim",AA153-X153,AA153-X153-Y153),IF($A$132='4. LISTAS'!$C$37,AA153,"erro")))</f>
        <v>0</v>
      </c>
      <c r="AC153" s="313">
        <f t="shared" si="62"/>
        <v>0.30349999999999999</v>
      </c>
      <c r="AD153" s="294">
        <f t="shared" si="59"/>
        <v>0</v>
      </c>
      <c r="AE153" s="312">
        <f t="shared" si="60"/>
        <v>0</v>
      </c>
      <c r="AF153" s="312">
        <f t="shared" si="61"/>
        <v>0</v>
      </c>
      <c r="AG153" s="311">
        <f>'4. LISTAS'!$M$6</f>
        <v>5.9299999999999999E-2</v>
      </c>
      <c r="AH153" s="310">
        <f>'4. LISTAS'!$M$5</f>
        <v>0.17</v>
      </c>
      <c r="AI153" s="296"/>
      <c r="AJ153" s="321"/>
      <c r="AK153" s="321"/>
      <c r="AL153" s="321"/>
    </row>
    <row r="154" spans="1:38" x14ac:dyDescent="0.2">
      <c r="A154" s="323" t="s">
        <v>612</v>
      </c>
      <c r="B154" s="323">
        <v>1</v>
      </c>
      <c r="C154" s="321"/>
      <c r="D154" s="321"/>
      <c r="E154" s="321"/>
      <c r="F154" s="306">
        <f t="shared" si="54"/>
        <v>0</v>
      </c>
      <c r="G154" s="305">
        <f>IF($A$132='4. LISTAS'!$C$35,IF(V154="sim",AD154/(1-AG154),AD154/(1-AG154-(H154*(1+J154)))),IF($A$132='4. LISTAS'!$C$36,(AD154/(1-AG154-(H154*(1+J154)))),IF($A$132='4. LISTAS'!$C$37,(AB154/(1-AC154-AH154)),"Erro")))</f>
        <v>0</v>
      </c>
      <c r="H154" s="320">
        <f>IF(AND($A$132='4. LISTAS'!$C$35,'Fornec. TAGNA'!U154="Sim"),0,IF(OR($A$132='4. LISTAS'!$C$35, $A$132='4. LISTAS'!$C$36),(VLOOKUP('1.DASHBOARD'!$B$8,'4. LISTAS'!$F$2:$G$11,2,FALSE)),0))</f>
        <v>0.18</v>
      </c>
      <c r="I154" s="305">
        <f t="shared" si="51"/>
        <v>0</v>
      </c>
      <c r="J154" s="319">
        <f>VLOOKUP($A$132,'4. LISTAS'!$C$35:$F$37,4,0)</f>
        <v>0.1125</v>
      </c>
      <c r="K154" s="305">
        <f t="shared" si="52"/>
        <v>0</v>
      </c>
      <c r="L154" s="305">
        <f t="shared" si="53"/>
        <v>0</v>
      </c>
      <c r="M154" s="318"/>
      <c r="N154" s="296"/>
      <c r="O154" s="317"/>
      <c r="P154" s="317"/>
      <c r="Q154" s="320">
        <v>0.04</v>
      </c>
      <c r="R154" s="320">
        <v>0.15</v>
      </c>
      <c r="S154" s="320">
        <v>0</v>
      </c>
      <c r="T154" s="305"/>
      <c r="U154" s="316" t="str">
        <f t="shared" si="55"/>
        <v>Não</v>
      </c>
      <c r="V154" s="315" t="s">
        <v>454</v>
      </c>
      <c r="W154" s="296"/>
      <c r="X154" s="314">
        <f t="shared" si="56"/>
        <v>0</v>
      </c>
      <c r="Y154" s="312">
        <f t="shared" si="57"/>
        <v>0</v>
      </c>
      <c r="Z154" s="312">
        <f t="shared" si="58"/>
        <v>0</v>
      </c>
      <c r="AA154" s="294">
        <f>IF($A$132='4. LISTAS'!$C$35,(P154*B154+T154+Y154+Z154),IF($A$132='4. LISTAS'!$C$36,P154*B154+Y154,IF($A$132='4. LISTAS'!$C$37,P154*B154,"Erro")))</f>
        <v>0</v>
      </c>
      <c r="AB154" s="294">
        <f>IF($A$132='4. LISTAS'!$C$35,IF(V154="sim",AA154,AA154-X154),IF($A$132='4. LISTAS'!$C$36,IF(V154="Sim",AA154-X154,AA154-X154-Y154),IF($A$132='4. LISTAS'!$C$37,AA154,"erro")))</f>
        <v>0</v>
      </c>
      <c r="AC154" s="313">
        <f t="shared" si="62"/>
        <v>0.30349999999999999</v>
      </c>
      <c r="AD154" s="294">
        <f t="shared" si="59"/>
        <v>0</v>
      </c>
      <c r="AE154" s="312">
        <f t="shared" si="60"/>
        <v>0</v>
      </c>
      <c r="AF154" s="312">
        <f t="shared" si="61"/>
        <v>0</v>
      </c>
      <c r="AG154" s="311">
        <f>'4. LISTAS'!$M$6</f>
        <v>5.9299999999999999E-2</v>
      </c>
      <c r="AH154" s="310">
        <f>'4. LISTAS'!$M$5</f>
        <v>0.17</v>
      </c>
      <c r="AI154" s="296"/>
      <c r="AJ154" s="321"/>
      <c r="AK154" s="321"/>
      <c r="AL154" s="321"/>
    </row>
    <row r="155" spans="1:38" x14ac:dyDescent="0.2">
      <c r="A155" s="323" t="s">
        <v>611</v>
      </c>
      <c r="B155" s="323">
        <v>1</v>
      </c>
      <c r="C155" s="321"/>
      <c r="D155" s="321"/>
      <c r="E155" s="321"/>
      <c r="F155" s="306">
        <f t="shared" si="54"/>
        <v>0</v>
      </c>
      <c r="G155" s="305">
        <f>IF($A$132='4. LISTAS'!$C$35,IF(V155="sim",AD155/(1-AG155),AD155/(1-AG155-(H155*(1+J155)))),IF($A$132='4. LISTAS'!$C$36,(AD155/(1-AG155-(H155*(1+J155)))),IF($A$132='4. LISTAS'!$C$37,(AB155/(1-AC155-AH155)),"Erro")))</f>
        <v>0</v>
      </c>
      <c r="H155" s="320">
        <f>IF(AND($A$132='4. LISTAS'!$C$35,'Fornec. TAGNA'!U155="Sim"),0,IF(OR($A$132='4. LISTAS'!$C$35, $A$132='4. LISTAS'!$C$36),(VLOOKUP('1.DASHBOARD'!$B$8,'4. LISTAS'!$F$2:$G$11,2,FALSE)),0))</f>
        <v>0.18</v>
      </c>
      <c r="I155" s="305">
        <f t="shared" si="51"/>
        <v>0</v>
      </c>
      <c r="J155" s="319">
        <f>VLOOKUP($A$132,'4. LISTAS'!$C$35:$F$37,4,0)</f>
        <v>0.1125</v>
      </c>
      <c r="K155" s="305">
        <f t="shared" si="52"/>
        <v>0</v>
      </c>
      <c r="L155" s="305">
        <f t="shared" si="53"/>
        <v>0</v>
      </c>
      <c r="M155" s="318"/>
      <c r="N155" s="296"/>
      <c r="O155" s="317"/>
      <c r="P155" s="317"/>
      <c r="Q155" s="320">
        <v>0.04</v>
      </c>
      <c r="R155" s="320">
        <v>0.15</v>
      </c>
      <c r="S155" s="320">
        <v>0</v>
      </c>
      <c r="T155" s="305"/>
      <c r="U155" s="316" t="str">
        <f t="shared" si="55"/>
        <v>Não</v>
      </c>
      <c r="V155" s="315" t="s">
        <v>454</v>
      </c>
      <c r="W155" s="296"/>
      <c r="X155" s="314">
        <f t="shared" si="56"/>
        <v>0</v>
      </c>
      <c r="Y155" s="312">
        <f t="shared" si="57"/>
        <v>0</v>
      </c>
      <c r="Z155" s="312">
        <f t="shared" si="58"/>
        <v>0</v>
      </c>
      <c r="AA155" s="294">
        <f>IF($A$132='4. LISTAS'!$C$35,(P155*B155+T155+Y155+Z155),IF($A$132='4. LISTAS'!$C$36,P155*B155+Y155,IF($A$132='4. LISTAS'!$C$37,P155*B155,"Erro")))</f>
        <v>0</v>
      </c>
      <c r="AB155" s="294">
        <f>IF($A$132='4. LISTAS'!$C$35,IF(V155="sim",AA155,AA155-X155),IF($A$132='4. LISTAS'!$C$36,IF(V155="Sim",AA155-X155,AA155-X155-Y155),IF($A$132='4. LISTAS'!$C$37,AA155,"erro")))</f>
        <v>0</v>
      </c>
      <c r="AC155" s="313">
        <f t="shared" si="62"/>
        <v>0.30349999999999999</v>
      </c>
      <c r="AD155" s="294">
        <f t="shared" si="59"/>
        <v>0</v>
      </c>
      <c r="AE155" s="312">
        <f t="shared" si="60"/>
        <v>0</v>
      </c>
      <c r="AF155" s="312">
        <f t="shared" si="61"/>
        <v>0</v>
      </c>
      <c r="AG155" s="311">
        <f>'4. LISTAS'!$M$6</f>
        <v>5.9299999999999999E-2</v>
      </c>
      <c r="AH155" s="310">
        <f>'4. LISTAS'!$M$5</f>
        <v>0.17</v>
      </c>
      <c r="AI155" s="296"/>
      <c r="AJ155" s="321"/>
      <c r="AK155" s="321"/>
      <c r="AL155" s="321"/>
    </row>
    <row r="156" spans="1:38" x14ac:dyDescent="0.2">
      <c r="A156" s="323" t="s">
        <v>610</v>
      </c>
      <c r="B156" s="322">
        <f>B125</f>
        <v>0</v>
      </c>
      <c r="C156" s="321"/>
      <c r="D156" s="321" t="str">
        <f>D125</f>
        <v>Gestão + Compras</v>
      </c>
      <c r="E156" s="321"/>
      <c r="F156" s="306">
        <f>IF(B156&lt;&gt;0,G156/B156,0)</f>
        <v>0</v>
      </c>
      <c r="G156" s="305">
        <f>IF($A$132='4. LISTAS'!$C$35,IF(V156="sim",AD156/(1-AG156),AD156/(1-AG156-(H156*(1+J156)))),IF($A$132='4. LISTAS'!$C$36,(AD156/(1-AG156-(H156*(1+J156)))),IF($A$132='4. LISTAS'!$C$37,(AB156/(1-AC156-AH156)),"Erro")))</f>
        <v>0</v>
      </c>
      <c r="H156" s="320">
        <f>IF(AND($A$132='4. LISTAS'!$C$35,'Fornec. TAGNA'!U156="Sim"),0,IF(OR($A$132='4. LISTAS'!$C$35, $A$132='4. LISTAS'!$C$36),(VLOOKUP('1.DASHBOARD'!$B$8,'4. LISTAS'!$F$2:$G$11,2,FALSE)),0))</f>
        <v>0.18</v>
      </c>
      <c r="I156" s="305">
        <f t="shared" si="51"/>
        <v>0</v>
      </c>
      <c r="J156" s="319">
        <f>VLOOKUP($A$132,'4. LISTAS'!$C$35:$F$37,4,0)</f>
        <v>0.1125</v>
      </c>
      <c r="K156" s="305">
        <f t="shared" si="52"/>
        <v>0</v>
      </c>
      <c r="L156" s="305">
        <f t="shared" si="53"/>
        <v>0</v>
      </c>
      <c r="M156" s="318"/>
      <c r="N156" s="296"/>
      <c r="O156" s="317"/>
      <c r="P156" s="317">
        <f t="shared" ref="P156:S159" si="63">P125</f>
        <v>355.22537921211438</v>
      </c>
      <c r="Q156" s="306">
        <f t="shared" si="63"/>
        <v>0</v>
      </c>
      <c r="R156" s="306">
        <f t="shared" si="63"/>
        <v>0</v>
      </c>
      <c r="S156" s="306">
        <f t="shared" si="63"/>
        <v>0</v>
      </c>
      <c r="T156" s="305"/>
      <c r="U156" s="316" t="str">
        <f t="shared" si="55"/>
        <v>Não</v>
      </c>
      <c r="V156" s="315" t="s">
        <v>454</v>
      </c>
      <c r="W156" s="296"/>
      <c r="X156" s="314">
        <f t="shared" si="56"/>
        <v>0</v>
      </c>
      <c r="Y156" s="312">
        <f t="shared" si="57"/>
        <v>0</v>
      </c>
      <c r="Z156" s="312">
        <f t="shared" si="58"/>
        <v>0</v>
      </c>
      <c r="AA156" s="294">
        <f>IF($A$132='4. LISTAS'!$C$35,(P156*B156+T156+Y156+Z156),IF($A$132='4. LISTAS'!$C$36,P156*B156+Y156,IF($A$132='4. LISTAS'!$C$37,P156*B156,"Erro")))</f>
        <v>0</v>
      </c>
      <c r="AB156" s="294">
        <f>IF($A$132='4. LISTAS'!$C$35,IF(V156="sim",AA156,AA156-X156),IF($A$132='4. LISTAS'!$C$36,IF(V156="Sim",AA156-X156,AA156-X156-Y156),IF($A$132='4. LISTAS'!$C$37,AA156,"erro")))</f>
        <v>0</v>
      </c>
      <c r="AC156" s="313">
        <f>'1.DASHBOARD'!$B$11</f>
        <v>0.25</v>
      </c>
      <c r="AD156" s="294">
        <f t="shared" si="59"/>
        <v>0</v>
      </c>
      <c r="AE156" s="312">
        <f t="shared" si="60"/>
        <v>0</v>
      </c>
      <c r="AF156" s="312">
        <f t="shared" si="61"/>
        <v>0</v>
      </c>
      <c r="AG156" s="311">
        <f>'4. LISTAS'!$M$6</f>
        <v>5.9299999999999999E-2</v>
      </c>
      <c r="AH156" s="310">
        <f>'4. LISTAS'!$M$5</f>
        <v>0.17</v>
      </c>
      <c r="AI156" s="296"/>
      <c r="AJ156" s="321"/>
      <c r="AK156" s="321"/>
      <c r="AL156" s="321"/>
    </row>
    <row r="157" spans="1:38" x14ac:dyDescent="0.2">
      <c r="A157" s="323" t="s">
        <v>609</v>
      </c>
      <c r="B157" s="322">
        <f>B126</f>
        <v>0</v>
      </c>
      <c r="C157" s="321"/>
      <c r="D157" s="321" t="str">
        <f>D126</f>
        <v>Projeto</v>
      </c>
      <c r="E157" s="321"/>
      <c r="F157" s="306">
        <f>IF(B156&lt;&gt;0,G157/B157,0)</f>
        <v>0</v>
      </c>
      <c r="G157" s="305">
        <f>IF($A$132='4. LISTAS'!$C$35,IF(V157="sim",AD157/(1-AG157),AD157/(1-AG157-(H157*(1+J157)))),IF($A$132='4. LISTAS'!$C$36,(AD157/(1-AG157-(H157*(1+J157)))),IF($A$132='4. LISTAS'!$C$37,(AB157/(1-AC157-AH157)),"Erro")))</f>
        <v>0</v>
      </c>
      <c r="H157" s="320">
        <f>IF(AND($A$132='4. LISTAS'!$C$35,'Fornec. TAGNA'!U157="Sim"),0,IF(OR($A$132='4. LISTAS'!$C$35, $A$132='4. LISTAS'!$C$36),(VLOOKUP('1.DASHBOARD'!$B$8,'4. LISTAS'!$F$2:$G$11,2,FALSE)),0))</f>
        <v>0.18</v>
      </c>
      <c r="I157" s="305">
        <f t="shared" si="51"/>
        <v>0</v>
      </c>
      <c r="J157" s="319">
        <f>VLOOKUP($A$132,'4. LISTAS'!$C$35:$F$37,4,0)</f>
        <v>0.1125</v>
      </c>
      <c r="K157" s="305">
        <f t="shared" si="52"/>
        <v>0</v>
      </c>
      <c r="L157" s="305">
        <f t="shared" si="53"/>
        <v>0</v>
      </c>
      <c r="M157" s="318"/>
      <c r="N157" s="296"/>
      <c r="O157" s="317"/>
      <c r="P157" s="317">
        <f t="shared" si="63"/>
        <v>37.149026125714286</v>
      </c>
      <c r="Q157" s="306">
        <f t="shared" si="63"/>
        <v>0</v>
      </c>
      <c r="R157" s="306">
        <f t="shared" si="63"/>
        <v>0</v>
      </c>
      <c r="S157" s="306">
        <f t="shared" si="63"/>
        <v>0</v>
      </c>
      <c r="T157" s="305"/>
      <c r="U157" s="316" t="str">
        <f t="shared" si="55"/>
        <v>Não</v>
      </c>
      <c r="V157" s="315" t="s">
        <v>454</v>
      </c>
      <c r="W157" s="296"/>
      <c r="X157" s="314">
        <f t="shared" si="56"/>
        <v>0</v>
      </c>
      <c r="Y157" s="312">
        <f t="shared" si="57"/>
        <v>0</v>
      </c>
      <c r="Z157" s="312">
        <f t="shared" si="58"/>
        <v>0</v>
      </c>
      <c r="AA157" s="294">
        <f>IF($A$132='4. LISTAS'!$C$35,(P157*B157+T157+Y157+Z157),IF($A$132='4. LISTAS'!$C$36,P157*B157+Y157,IF($A$132='4. LISTAS'!$C$37,P157*B157,"Erro")))</f>
        <v>0</v>
      </c>
      <c r="AB157" s="294">
        <f>IF($A$132='4. LISTAS'!$C$35,IF(V157="sim",AA157,AA157-X157),IF($A$132='4. LISTAS'!$C$36,IF(V157="Sim",AA157-X157,AA157-X157-Y157),IF($A$132='4. LISTAS'!$C$37,AA157,"erro")))</f>
        <v>0</v>
      </c>
      <c r="AC157" s="313">
        <f>'1.DASHBOARD'!$B$11</f>
        <v>0.25</v>
      </c>
      <c r="AD157" s="294">
        <f t="shared" si="59"/>
        <v>0</v>
      </c>
      <c r="AE157" s="312">
        <f t="shared" si="60"/>
        <v>0</v>
      </c>
      <c r="AF157" s="312">
        <f t="shared" si="61"/>
        <v>0</v>
      </c>
      <c r="AG157" s="311">
        <f>'4. LISTAS'!$M$6</f>
        <v>5.9299999999999999E-2</v>
      </c>
      <c r="AH157" s="310">
        <f>'4. LISTAS'!$M$5</f>
        <v>0.17</v>
      </c>
      <c r="AI157" s="296"/>
      <c r="AJ157" s="324"/>
      <c r="AK157" s="324"/>
      <c r="AL157" s="324"/>
    </row>
    <row r="158" spans="1:38" x14ac:dyDescent="0.2">
      <c r="A158" s="323" t="s">
        <v>608</v>
      </c>
      <c r="B158" s="322">
        <f>B127</f>
        <v>0</v>
      </c>
      <c r="C158" s="321"/>
      <c r="D158" s="321" t="str">
        <f>D127</f>
        <v>Testes</v>
      </c>
      <c r="E158" s="321"/>
      <c r="F158" s="306">
        <f>IF(B156&lt;&gt;0,G158/B158,0)</f>
        <v>0</v>
      </c>
      <c r="G158" s="305">
        <f>IF($A$132='4. LISTAS'!$C$35,IF(V158="sim",AD158/(1-AG158),AD158/(1-AG158-(H158*(1+J158)))),IF($A$132='4. LISTAS'!$C$36,(AD158/(1-AG158-(H158*(1+J158)))),IF($A$132='4. LISTAS'!$C$37,(AB158/(1-AC158-AH158)),"Erro")))</f>
        <v>0</v>
      </c>
      <c r="H158" s="320">
        <f>IF(AND($A$132='4. LISTAS'!$C$35,'Fornec. TAGNA'!U158="Sim"),0,IF(OR($A$132='4. LISTAS'!$C$35, $A$132='4. LISTAS'!$C$36),(VLOOKUP('1.DASHBOARD'!$B$8,'4. LISTAS'!$F$2:$G$11,2,FALSE)),0))</f>
        <v>0.18</v>
      </c>
      <c r="I158" s="305">
        <f t="shared" si="51"/>
        <v>0</v>
      </c>
      <c r="J158" s="319">
        <f>VLOOKUP($A$132,'4. LISTAS'!$C$35:$F$37,4,0)</f>
        <v>0.1125</v>
      </c>
      <c r="K158" s="305">
        <f t="shared" si="52"/>
        <v>0</v>
      </c>
      <c r="L158" s="305">
        <f t="shared" si="53"/>
        <v>0</v>
      </c>
      <c r="M158" s="318"/>
      <c r="N158" s="296"/>
      <c r="O158" s="317"/>
      <c r="P158" s="317">
        <f t="shared" si="63"/>
        <v>129.56768445553286</v>
      </c>
      <c r="Q158" s="306">
        <f t="shared" si="63"/>
        <v>0</v>
      </c>
      <c r="R158" s="306">
        <f t="shared" si="63"/>
        <v>0</v>
      </c>
      <c r="S158" s="306">
        <f t="shared" si="63"/>
        <v>0</v>
      </c>
      <c r="T158" s="305"/>
      <c r="U158" s="316" t="str">
        <f t="shared" si="55"/>
        <v>Não</v>
      </c>
      <c r="V158" s="315" t="s">
        <v>454</v>
      </c>
      <c r="W158" s="296"/>
      <c r="X158" s="314">
        <f t="shared" si="56"/>
        <v>0</v>
      </c>
      <c r="Y158" s="312">
        <f t="shared" si="57"/>
        <v>0</v>
      </c>
      <c r="Z158" s="312">
        <f t="shared" si="58"/>
        <v>0</v>
      </c>
      <c r="AA158" s="294">
        <f>IF($A$132='4. LISTAS'!$C$35,(P158*B158+T158+Y158+Z158),IF($A$132='4. LISTAS'!$C$36,P158*B158+Y158,IF($A$132='4. LISTAS'!$C$37,P158*B158,"Erro")))</f>
        <v>0</v>
      </c>
      <c r="AB158" s="294">
        <f>IF($A$132='4. LISTAS'!$C$35,IF(V158="sim",AA158,AA158-X158),IF($A$132='4. LISTAS'!$C$36,IF(V158="Sim",AA158-X158,AA158-X158-Y158),IF($A$132='4. LISTAS'!$C$37,AA158,"erro")))</f>
        <v>0</v>
      </c>
      <c r="AC158" s="313">
        <f>'1.DASHBOARD'!$B$11</f>
        <v>0.25</v>
      </c>
      <c r="AD158" s="294">
        <f t="shared" si="59"/>
        <v>0</v>
      </c>
      <c r="AE158" s="312">
        <f t="shared" si="60"/>
        <v>0</v>
      </c>
      <c r="AF158" s="312">
        <f t="shared" si="61"/>
        <v>0</v>
      </c>
      <c r="AG158" s="311">
        <f>'4. LISTAS'!$M$6</f>
        <v>5.9299999999999999E-2</v>
      </c>
      <c r="AH158" s="310">
        <f>'4. LISTAS'!$M$5</f>
        <v>0.17</v>
      </c>
      <c r="AI158" s="296"/>
      <c r="AJ158" s="321"/>
      <c r="AK158" s="321"/>
      <c r="AL158" s="321"/>
    </row>
    <row r="159" spans="1:38" x14ac:dyDescent="0.2">
      <c r="A159" s="323" t="s">
        <v>607</v>
      </c>
      <c r="B159" s="322">
        <f>B128</f>
        <v>0</v>
      </c>
      <c r="C159" s="321"/>
      <c r="D159" s="321" t="str">
        <f>D128</f>
        <v>Frete</v>
      </c>
      <c r="E159" s="321"/>
      <c r="F159" s="306">
        <f>IF(B156&lt;&gt;0,G159/B159,0)</f>
        <v>0</v>
      </c>
      <c r="G159" s="305">
        <f>IF($A$132='4. LISTAS'!$C$35,IF(V159="sim",AD159/(1-AG159),AD159/(1-AG159-(H159*(1+J159)))),IF($A$132='4. LISTAS'!$C$36,(AD159/(1-AG159-(H159*(1+J159)))),IF($A$132='4. LISTAS'!$C$37,(AB159/(1-AC159-AH159)),"Erro")))</f>
        <v>0</v>
      </c>
      <c r="H159" s="320">
        <f>IF(AND($A$132='4. LISTAS'!$C$35,'Fornec. TAGNA'!U159="Sim"),0,IF(OR($A$132='4. LISTAS'!$C$35, $A$132='4. LISTAS'!$C$36),(VLOOKUP('1.DASHBOARD'!$B$8,'4. LISTAS'!$F$2:$G$11,2,FALSE)),0))</f>
        <v>0.18</v>
      </c>
      <c r="I159" s="305">
        <f t="shared" si="51"/>
        <v>0</v>
      </c>
      <c r="J159" s="319">
        <f>VLOOKUP($A$132,'4. LISTAS'!$C$35:$F$37,4,0)</f>
        <v>0.1125</v>
      </c>
      <c r="K159" s="305">
        <f t="shared" si="52"/>
        <v>0</v>
      </c>
      <c r="L159" s="305">
        <f t="shared" si="53"/>
        <v>0</v>
      </c>
      <c r="M159" s="318"/>
      <c r="N159" s="296"/>
      <c r="O159" s="317"/>
      <c r="P159" s="317">
        <f t="shared" si="63"/>
        <v>300</v>
      </c>
      <c r="Q159" s="306">
        <f t="shared" si="63"/>
        <v>0</v>
      </c>
      <c r="R159" s="306">
        <f t="shared" si="63"/>
        <v>0</v>
      </c>
      <c r="S159" s="306">
        <f t="shared" si="63"/>
        <v>0</v>
      </c>
      <c r="T159" s="305"/>
      <c r="U159" s="316" t="str">
        <f t="shared" si="55"/>
        <v>Não</v>
      </c>
      <c r="V159" s="315" t="s">
        <v>454</v>
      </c>
      <c r="W159" s="296"/>
      <c r="X159" s="314">
        <f t="shared" si="56"/>
        <v>0</v>
      </c>
      <c r="Y159" s="312">
        <f t="shared" si="57"/>
        <v>0</v>
      </c>
      <c r="Z159" s="312">
        <f t="shared" si="58"/>
        <v>0</v>
      </c>
      <c r="AA159" s="294">
        <f>IF($A$132='4. LISTAS'!$C$35,(P159*B159+T159+Y159+Z159),IF($A$132='4. LISTAS'!$C$36,P159*B159+Y159,IF($A$132='4. LISTAS'!$C$37,P159*B159,"Erro")))</f>
        <v>0</v>
      </c>
      <c r="AB159" s="294">
        <f>IF($A$132='4. LISTAS'!$C$35,IF(V159="sim",AA159,AA159-X159),IF($A$132='4. LISTAS'!$C$36,IF(V159="Sim",AA159-X159,AA159-X159-Y159),IF($A$132='4. LISTAS'!$C$37,AA159,"erro")))</f>
        <v>0</v>
      </c>
      <c r="AC159" s="313"/>
      <c r="AD159" s="294">
        <f t="shared" si="59"/>
        <v>0</v>
      </c>
      <c r="AE159" s="312">
        <f t="shared" si="60"/>
        <v>0</v>
      </c>
      <c r="AF159" s="312">
        <f t="shared" si="61"/>
        <v>0</v>
      </c>
      <c r="AG159" s="311">
        <f>'4. LISTAS'!$M$6</f>
        <v>5.9299999999999999E-2</v>
      </c>
      <c r="AH159" s="310">
        <f>'4. LISTAS'!$M$5</f>
        <v>0.17</v>
      </c>
      <c r="AI159" s="296"/>
      <c r="AJ159" s="321"/>
      <c r="AK159" s="321"/>
      <c r="AL159" s="321"/>
    </row>
    <row r="160" spans="1:38" x14ac:dyDescent="0.2">
      <c r="A160" s="362" t="s">
        <v>453</v>
      </c>
      <c r="B160" s="361"/>
      <c r="C160" s="359"/>
      <c r="D160" s="360"/>
      <c r="E160" s="359"/>
      <c r="F160" s="358"/>
      <c r="G160" s="282">
        <f>SUM(G136:G159)</f>
        <v>0</v>
      </c>
      <c r="H160" s="284" t="s">
        <v>319</v>
      </c>
      <c r="I160" s="282">
        <f>SUBTOTAL(9,I136:I159)</f>
        <v>0</v>
      </c>
      <c r="J160" s="283" t="s">
        <v>319</v>
      </c>
      <c r="K160" s="282">
        <f>SUM(K136:K159)</f>
        <v>0</v>
      </c>
      <c r="L160" s="282">
        <f>SUM(L136:L159)</f>
        <v>0</v>
      </c>
      <c r="M160" s="357"/>
      <c r="N160" s="327"/>
      <c r="O160" s="356"/>
      <c r="P160" s="356"/>
      <c r="Q160" s="277"/>
      <c r="R160" s="277"/>
      <c r="S160" s="277"/>
      <c r="T160" s="278"/>
      <c r="U160" s="277"/>
      <c r="V160" s="355"/>
      <c r="W160" s="327"/>
      <c r="X160" s="354">
        <f t="shared" si="56"/>
        <v>0</v>
      </c>
      <c r="Y160" s="278">
        <f t="shared" si="57"/>
        <v>0</v>
      </c>
      <c r="Z160" s="278">
        <f t="shared" si="58"/>
        <v>0</v>
      </c>
      <c r="AA160" s="277"/>
      <c r="AB160" s="277"/>
      <c r="AC160" s="277"/>
      <c r="AD160" s="277"/>
      <c r="AE160" s="277"/>
      <c r="AF160" s="277"/>
      <c r="AG160" s="277"/>
      <c r="AH160" s="277"/>
      <c r="AI160" s="327"/>
      <c r="AJ160" s="353"/>
      <c r="AK160" s="353"/>
      <c r="AL160" s="353"/>
    </row>
    <row r="161" spans="1:38" x14ac:dyDescent="0.2">
      <c r="G161" s="352"/>
      <c r="N161" s="327"/>
      <c r="W161" s="327"/>
      <c r="AI161" s="327"/>
    </row>
    <row r="162" spans="1:38" x14ac:dyDescent="0.2">
      <c r="B162" s="350"/>
      <c r="D162" s="348" t="s">
        <v>508</v>
      </c>
      <c r="E162" s="348"/>
      <c r="F162" s="347"/>
      <c r="G162" s="347"/>
      <c r="H162" s="347"/>
      <c r="I162" s="347"/>
      <c r="J162" s="347"/>
      <c r="K162" s="347"/>
      <c r="L162" s="347"/>
      <c r="M162" s="346"/>
      <c r="N162" s="327"/>
      <c r="O162" s="345"/>
      <c r="P162" s="345" t="s">
        <v>511</v>
      </c>
      <c r="Q162" s="345"/>
      <c r="R162" s="345"/>
      <c r="S162" s="345"/>
      <c r="T162" s="344"/>
      <c r="U162" s="345"/>
      <c r="V162" s="345"/>
      <c r="W162" s="327"/>
      <c r="X162" s="344" t="s">
        <v>510</v>
      </c>
      <c r="Y162" s="344"/>
      <c r="Z162" s="344"/>
      <c r="AA162" s="344"/>
      <c r="AB162" s="344"/>
      <c r="AC162" s="344"/>
      <c r="AD162" s="344"/>
      <c r="AE162" s="344"/>
      <c r="AF162" s="344"/>
      <c r="AG162" s="344"/>
      <c r="AH162" s="344"/>
      <c r="AI162" s="327"/>
      <c r="AJ162" s="349"/>
      <c r="AK162" s="349"/>
      <c r="AL162" s="349"/>
    </row>
    <row r="163" spans="1:38" x14ac:dyDescent="0.2">
      <c r="A163" s="698" t="s">
        <v>509</v>
      </c>
      <c r="B163" s="698"/>
      <c r="C163" s="698"/>
      <c r="D163" s="348" t="s">
        <v>508</v>
      </c>
      <c r="E163" s="348"/>
      <c r="F163" s="347"/>
      <c r="G163" s="347"/>
      <c r="H163" s="347"/>
      <c r="I163" s="347"/>
      <c r="J163" s="347"/>
      <c r="K163" s="347"/>
      <c r="L163" s="347"/>
      <c r="M163" s="346"/>
      <c r="N163" s="327"/>
      <c r="O163" s="345"/>
      <c r="P163" s="345"/>
      <c r="Q163" s="345"/>
      <c r="R163" s="345"/>
      <c r="S163" s="345"/>
      <c r="T163" s="344"/>
      <c r="U163" s="345"/>
      <c r="V163" s="345"/>
      <c r="W163" s="327"/>
      <c r="X163" s="344"/>
      <c r="Y163" s="344"/>
      <c r="Z163" s="344"/>
      <c r="AA163" s="344"/>
      <c r="AB163" s="344"/>
      <c r="AC163" s="344"/>
      <c r="AD163" s="344"/>
      <c r="AE163" s="344"/>
      <c r="AF163" s="344"/>
      <c r="AG163" s="344"/>
      <c r="AH163" s="344"/>
      <c r="AI163" s="327"/>
      <c r="AJ163" s="343" t="s">
        <v>507</v>
      </c>
      <c r="AK163" s="343" t="s">
        <v>506</v>
      </c>
      <c r="AL163" s="343" t="s">
        <v>505</v>
      </c>
    </row>
    <row r="164" spans="1:38" ht="15" customHeight="1" x14ac:dyDescent="0.2">
      <c r="A164" s="699" t="s">
        <v>321</v>
      </c>
      <c r="B164" s="699" t="s">
        <v>504</v>
      </c>
      <c r="C164" s="700" t="s">
        <v>320</v>
      </c>
      <c r="D164" s="700" t="s">
        <v>503</v>
      </c>
      <c r="E164" s="700" t="s">
        <v>502</v>
      </c>
      <c r="F164" s="701" t="s">
        <v>501</v>
      </c>
      <c r="G164" s="701" t="s">
        <v>500</v>
      </c>
      <c r="H164" s="701" t="s">
        <v>499</v>
      </c>
      <c r="I164" s="701"/>
      <c r="J164" s="701" t="s">
        <v>490</v>
      </c>
      <c r="K164" s="701"/>
      <c r="L164" s="701" t="s">
        <v>498</v>
      </c>
      <c r="M164" s="696" t="s">
        <v>497</v>
      </c>
      <c r="N164" s="327"/>
      <c r="O164" s="693" t="s">
        <v>496</v>
      </c>
      <c r="P164" s="694" t="s">
        <v>495</v>
      </c>
      <c r="Q164" s="342" t="s">
        <v>491</v>
      </c>
      <c r="R164" s="339" t="s">
        <v>490</v>
      </c>
      <c r="S164" s="339" t="s">
        <v>489</v>
      </c>
      <c r="T164" s="693" t="s">
        <v>494</v>
      </c>
      <c r="U164" s="691" t="s">
        <v>493</v>
      </c>
      <c r="V164" s="702" t="s">
        <v>492</v>
      </c>
      <c r="W164" s="327"/>
      <c r="X164" s="341" t="s">
        <v>491</v>
      </c>
      <c r="Y164" s="339" t="s">
        <v>490</v>
      </c>
      <c r="Z164" s="339" t="s">
        <v>489</v>
      </c>
      <c r="AA164" s="693" t="s">
        <v>488</v>
      </c>
      <c r="AB164" s="693" t="s">
        <v>487</v>
      </c>
      <c r="AC164" s="691" t="s">
        <v>486</v>
      </c>
      <c r="AD164" s="691" t="s">
        <v>485</v>
      </c>
      <c r="AE164" s="691" t="s">
        <v>484</v>
      </c>
      <c r="AF164" s="691" t="s">
        <v>483</v>
      </c>
      <c r="AG164" s="691" t="s">
        <v>482</v>
      </c>
      <c r="AH164" s="691" t="s">
        <v>481</v>
      </c>
      <c r="AI164" s="327"/>
      <c r="AJ164" s="693"/>
      <c r="AK164" s="693"/>
      <c r="AL164" s="693"/>
    </row>
    <row r="165" spans="1:38" ht="18" customHeight="1" x14ac:dyDescent="0.2">
      <c r="A165" s="699"/>
      <c r="B165" s="699"/>
      <c r="C165" s="700"/>
      <c r="D165" s="700"/>
      <c r="E165" s="700"/>
      <c r="F165" s="701"/>
      <c r="G165" s="701"/>
      <c r="H165" s="339" t="s">
        <v>480</v>
      </c>
      <c r="I165" s="339" t="s">
        <v>479</v>
      </c>
      <c r="J165" s="339" t="s">
        <v>480</v>
      </c>
      <c r="K165" s="339" t="s">
        <v>479</v>
      </c>
      <c r="L165" s="701"/>
      <c r="M165" s="697"/>
      <c r="N165" s="327"/>
      <c r="O165" s="693"/>
      <c r="P165" s="695"/>
      <c r="Q165" s="339" t="s">
        <v>480</v>
      </c>
      <c r="R165" s="339" t="s">
        <v>480</v>
      </c>
      <c r="S165" s="339" t="s">
        <v>480</v>
      </c>
      <c r="T165" s="693"/>
      <c r="U165" s="692"/>
      <c r="V165" s="703"/>
      <c r="W165" s="327"/>
      <c r="X165" s="340" t="s">
        <v>479</v>
      </c>
      <c r="Y165" s="339" t="s">
        <v>479</v>
      </c>
      <c r="Z165" s="339" t="s">
        <v>479</v>
      </c>
      <c r="AA165" s="693"/>
      <c r="AB165" s="693"/>
      <c r="AC165" s="692"/>
      <c r="AD165" s="692"/>
      <c r="AE165" s="692"/>
      <c r="AF165" s="692"/>
      <c r="AG165" s="692"/>
      <c r="AH165" s="692"/>
      <c r="AI165" s="327"/>
      <c r="AJ165" s="693"/>
      <c r="AK165" s="693"/>
      <c r="AL165" s="693"/>
    </row>
    <row r="166" spans="1:38" ht="18" customHeight="1" x14ac:dyDescent="0.2">
      <c r="A166" s="338">
        <v>6</v>
      </c>
      <c r="B166" s="338">
        <v>1</v>
      </c>
      <c r="C166" s="324"/>
      <c r="D166" s="324"/>
      <c r="E166" s="324"/>
      <c r="F166" s="337">
        <f>G191</f>
        <v>0</v>
      </c>
      <c r="G166" s="337">
        <f>F166*B166</f>
        <v>0</v>
      </c>
      <c r="H166" s="336">
        <f>IF(OR($A$163='4. LISTAS'!$C$35, $A$163='4. LISTAS'!$C$36),(VLOOKUP('1.DASHBOARD'!$B$8,'4. LISTAS'!$F$2:$G$11,2,FALSE)),0)</f>
        <v>0.18</v>
      </c>
      <c r="I166" s="334">
        <f t="shared" ref="I166:I190" si="64">H166*(G166+K166)</f>
        <v>0</v>
      </c>
      <c r="J166" s="335">
        <f>VLOOKUP($A$163,'4. LISTAS'!$C$35:$F$37,4,0)</f>
        <v>0.1125</v>
      </c>
      <c r="K166" s="334">
        <f t="shared" ref="K166:K190" si="65">J166*G166</f>
        <v>0</v>
      </c>
      <c r="L166" s="334">
        <f t="shared" ref="L166:L190" si="66">G166+K166</f>
        <v>0</v>
      </c>
      <c r="M166" s="333"/>
      <c r="N166" s="327"/>
      <c r="O166" s="332"/>
      <c r="P166" s="332"/>
      <c r="Q166" s="331"/>
      <c r="R166" s="331"/>
      <c r="S166" s="331"/>
      <c r="T166" s="328"/>
      <c r="U166" s="326"/>
      <c r="V166" s="330"/>
      <c r="W166" s="327"/>
      <c r="X166" s="326">
        <f>SUM(X167:X190)</f>
        <v>0</v>
      </c>
      <c r="Y166" s="326">
        <f>SUM(Y167:Y190)</f>
        <v>0</v>
      </c>
      <c r="Z166" s="326">
        <f>SUM(Z167:Z190)</f>
        <v>0</v>
      </c>
      <c r="AA166" s="326">
        <f>SUM(AA167:AA190)</f>
        <v>0</v>
      </c>
      <c r="AB166" s="326">
        <f>SUM(AB167:AB190)</f>
        <v>0</v>
      </c>
      <c r="AC166" s="328"/>
      <c r="AD166" s="328"/>
      <c r="AE166" s="328"/>
      <c r="AF166" s="328"/>
      <c r="AG166" s="329">
        <f>AG167</f>
        <v>5.9299999999999999E-2</v>
      </c>
      <c r="AH166" s="328"/>
      <c r="AI166" s="327"/>
      <c r="AJ166" s="326"/>
      <c r="AK166" s="326"/>
      <c r="AL166" s="326"/>
    </row>
    <row r="167" spans="1:38" x14ac:dyDescent="0.2">
      <c r="A167" s="323" t="s">
        <v>606</v>
      </c>
      <c r="B167" s="323">
        <v>1</v>
      </c>
      <c r="C167" s="321"/>
      <c r="D167" s="321"/>
      <c r="E167" s="321"/>
      <c r="F167" s="306">
        <f t="shared" ref="F167:F186" si="67">G167/B167</f>
        <v>0</v>
      </c>
      <c r="G167" s="305">
        <f>IF($A$163='4. LISTAS'!$C$35,IF(V167="sim",AD167/(1-AG167),AD167/(1-AG167-(H167*(1+J167)))),IF($A$163='4. LISTAS'!$C$36,(AD167/(1-AG167-(H167*(1+J167)))),IF($A$163='4. LISTAS'!$C$37,(AB167/(1-AC167-AH167)),"Erro")))</f>
        <v>0</v>
      </c>
      <c r="H167" s="320">
        <f>IF(AND($A$163='4. LISTAS'!$C$35,'Fornec. TAGNA'!U167="Sim"),0,IF(OR($A$163='4. LISTAS'!$C$35, $A$163='4. LISTAS'!$C$36),(VLOOKUP('1.DASHBOARD'!$B$8,'4. LISTAS'!$F$2:$G$11,2,FALSE)),0))</f>
        <v>0.18</v>
      </c>
      <c r="I167" s="305">
        <f t="shared" si="64"/>
        <v>0</v>
      </c>
      <c r="J167" s="319">
        <f>VLOOKUP($A$163,'4. LISTAS'!$C$35:$F$37,4,0)</f>
        <v>0.1125</v>
      </c>
      <c r="K167" s="305">
        <f t="shared" si="65"/>
        <v>0</v>
      </c>
      <c r="L167" s="305">
        <f t="shared" si="66"/>
        <v>0</v>
      </c>
      <c r="M167" s="318"/>
      <c r="N167" s="296"/>
      <c r="O167" s="317"/>
      <c r="P167" s="317"/>
      <c r="Q167" s="320">
        <v>0.04</v>
      </c>
      <c r="R167" s="320">
        <v>0.15</v>
      </c>
      <c r="S167" s="320">
        <v>0</v>
      </c>
      <c r="T167" s="305"/>
      <c r="U167" s="316" t="str">
        <f t="shared" ref="U167:U190" si="68">IF(T167="","Não","Sim")</f>
        <v>Não</v>
      </c>
      <c r="V167" s="315" t="s">
        <v>454</v>
      </c>
      <c r="W167" s="296"/>
      <c r="X167" s="314">
        <f t="shared" ref="X167:X191" si="69">B167*P167*Q167</f>
        <v>0</v>
      </c>
      <c r="Y167" s="312">
        <f t="shared" ref="Y167:Y191" si="70">B167*P167*R167</f>
        <v>0</v>
      </c>
      <c r="Z167" s="312">
        <f t="shared" ref="Z167:Z191" si="71">B167*P167*S167</f>
        <v>0</v>
      </c>
      <c r="AA167" s="294">
        <f>IF($A$163='4. LISTAS'!$C$35,(P167*B167+T167+Y167+Z167),IF($A$163='4. LISTAS'!$C$36,P167*B167+Y167,IF($A$163='4. LISTAS'!$C$37,P167*B167,"Erro")))</f>
        <v>0</v>
      </c>
      <c r="AB167" s="294">
        <f>IF($A$163='4. LISTAS'!$C$35,IF(V167="sim",AA167,AA167-X167),IF($A$163='4. LISTAS'!$C$36,IF(V167="Sim",AA167-X167,AA167-X167-Y167),IF($A$163='4. LISTAS'!$C$37,AA167,"erro")))</f>
        <v>0</v>
      </c>
      <c r="AC167" s="325">
        <f>'1.DASHBOARD'!$B$14+'1.DASHBOARD'!$B$16</f>
        <v>0.30349999999999999</v>
      </c>
      <c r="AD167" s="294">
        <f t="shared" ref="AD167:AD190" si="72">AB167/(1-AC167)</f>
        <v>0</v>
      </c>
      <c r="AE167" s="312">
        <f t="shared" ref="AE167:AE190" si="73">X167</f>
        <v>0</v>
      </c>
      <c r="AF167" s="312">
        <f t="shared" ref="AF167:AF190" si="74">Y167</f>
        <v>0</v>
      </c>
      <c r="AG167" s="311">
        <f>'4. LISTAS'!$M$6</f>
        <v>5.9299999999999999E-2</v>
      </c>
      <c r="AH167" s="310">
        <f>'4. LISTAS'!$M$5</f>
        <v>0.17</v>
      </c>
    </row>
    <row r="168" spans="1:38" x14ac:dyDescent="0.2">
      <c r="A168" s="323" t="s">
        <v>605</v>
      </c>
      <c r="B168" s="323">
        <v>1</v>
      </c>
      <c r="C168" s="321"/>
      <c r="D168" s="321"/>
      <c r="E168" s="321"/>
      <c r="F168" s="306">
        <f t="shared" si="67"/>
        <v>0</v>
      </c>
      <c r="G168" s="305">
        <f>IF($A$163='4. LISTAS'!$C$35,IF(V168="sim",AD168/(1-AG168),AD168/(1-AG168-(H168*(1+J168)))),IF($A$163='4. LISTAS'!$C$36,(AD168/(1-AG168-(H168*(1+J168)))),IF($A$163='4. LISTAS'!$C$37,(AB168/(1-AC168-AH168)),"Erro")))</f>
        <v>0</v>
      </c>
      <c r="H168" s="320">
        <f>IF(AND($A$163='4. LISTAS'!$C$35,'Fornec. TAGNA'!U168="Sim"),0,IF(OR($A$163='4. LISTAS'!$C$35, $A$163='4. LISTAS'!$C$36),(VLOOKUP('1.DASHBOARD'!$B$8,'4. LISTAS'!$F$2:$G$11,2,FALSE)),0))</f>
        <v>0.18</v>
      </c>
      <c r="I168" s="305">
        <f t="shared" si="64"/>
        <v>0</v>
      </c>
      <c r="J168" s="319">
        <f>VLOOKUP($A$163,'4. LISTAS'!$C$35:$F$37,4,0)</f>
        <v>0.1125</v>
      </c>
      <c r="K168" s="305">
        <f t="shared" si="65"/>
        <v>0</v>
      </c>
      <c r="L168" s="305">
        <f t="shared" si="66"/>
        <v>0</v>
      </c>
      <c r="M168" s="318"/>
      <c r="N168" s="296"/>
      <c r="O168" s="317"/>
      <c r="P168" s="317"/>
      <c r="Q168" s="320">
        <v>0.04</v>
      </c>
      <c r="R168" s="320">
        <v>0.15</v>
      </c>
      <c r="S168" s="320">
        <v>0</v>
      </c>
      <c r="T168" s="305"/>
      <c r="U168" s="316" t="str">
        <f t="shared" si="68"/>
        <v>Não</v>
      </c>
      <c r="V168" s="315" t="s">
        <v>454</v>
      </c>
      <c r="W168" s="296"/>
      <c r="X168" s="314">
        <f t="shared" si="69"/>
        <v>0</v>
      </c>
      <c r="Y168" s="312">
        <f t="shared" si="70"/>
        <v>0</v>
      </c>
      <c r="Z168" s="312">
        <f t="shared" si="71"/>
        <v>0</v>
      </c>
      <c r="AA168" s="294">
        <f>IF($A$163='4. LISTAS'!$C$35,(P168*B168+T168+Y168+Z168),IF($A$163='4. LISTAS'!$C$36,P168*B168+Y168,IF($A$163='4. LISTAS'!$C$37,P168*B168,"Erro")))</f>
        <v>0</v>
      </c>
      <c r="AB168" s="294">
        <f>IF($A$163='4. LISTAS'!$C$35,IF(V168="sim",AA168,AA168-X168),IF($A$163='4. LISTAS'!$C$36,IF(V168="Sim",AA168-X168,AA168-X168-Y168),IF($A$163='4. LISTAS'!$C$37,AA168,"erro")))</f>
        <v>0</v>
      </c>
      <c r="AC168" s="313">
        <f t="shared" ref="AC168:AC186" si="75">AC167</f>
        <v>0.30349999999999999</v>
      </c>
      <c r="AD168" s="294">
        <f t="shared" si="72"/>
        <v>0</v>
      </c>
      <c r="AE168" s="312">
        <f t="shared" si="73"/>
        <v>0</v>
      </c>
      <c r="AF168" s="312">
        <f t="shared" si="74"/>
        <v>0</v>
      </c>
      <c r="AG168" s="311">
        <f>'4. LISTAS'!$M$6</f>
        <v>5.9299999999999999E-2</v>
      </c>
      <c r="AH168" s="310">
        <f>'4. LISTAS'!$M$5</f>
        <v>0.17</v>
      </c>
    </row>
    <row r="169" spans="1:38" x14ac:dyDescent="0.2">
      <c r="A169" s="323" t="s">
        <v>604</v>
      </c>
      <c r="B169" s="323">
        <v>1</v>
      </c>
      <c r="C169" s="321"/>
      <c r="D169" s="321"/>
      <c r="E169" s="321"/>
      <c r="F169" s="306">
        <f t="shared" si="67"/>
        <v>0</v>
      </c>
      <c r="G169" s="305">
        <f>IF($A$163='4. LISTAS'!$C$35,IF(V169="sim",AD169/(1-AG169),AD169/(1-AG169-(H169*(1+J169)))),IF($A$163='4. LISTAS'!$C$36,(AD169/(1-AG169-(H169*(1+J169)))),IF($A$163='4. LISTAS'!$C$37,(AB169/(1-AC169-AH169)),"Erro")))</f>
        <v>0</v>
      </c>
      <c r="H169" s="320">
        <f>IF(AND($A$163='4. LISTAS'!$C$35,'Fornec. TAGNA'!U169="Sim"),0,IF(OR($A$163='4. LISTAS'!$C$35, $A$163='4. LISTAS'!$C$36),(VLOOKUP('1.DASHBOARD'!$B$8,'4. LISTAS'!$F$2:$G$11,2,FALSE)),0))</f>
        <v>0.18</v>
      </c>
      <c r="I169" s="305">
        <f t="shared" si="64"/>
        <v>0</v>
      </c>
      <c r="J169" s="319">
        <f>VLOOKUP($A$163,'4. LISTAS'!$C$35:$F$37,4,0)</f>
        <v>0.1125</v>
      </c>
      <c r="K169" s="305">
        <f t="shared" si="65"/>
        <v>0</v>
      </c>
      <c r="L169" s="305">
        <f t="shared" si="66"/>
        <v>0</v>
      </c>
      <c r="M169" s="318"/>
      <c r="N169" s="296"/>
      <c r="O169" s="317"/>
      <c r="P169" s="317"/>
      <c r="Q169" s="320">
        <v>0.04</v>
      </c>
      <c r="R169" s="320">
        <v>0.15</v>
      </c>
      <c r="S169" s="320">
        <v>0</v>
      </c>
      <c r="T169" s="305"/>
      <c r="U169" s="316" t="str">
        <f t="shared" si="68"/>
        <v>Não</v>
      </c>
      <c r="V169" s="315" t="s">
        <v>454</v>
      </c>
      <c r="W169" s="296"/>
      <c r="X169" s="314">
        <f t="shared" si="69"/>
        <v>0</v>
      </c>
      <c r="Y169" s="312">
        <f t="shared" si="70"/>
        <v>0</v>
      </c>
      <c r="Z169" s="312">
        <f t="shared" si="71"/>
        <v>0</v>
      </c>
      <c r="AA169" s="294">
        <f>IF($A$163='4. LISTAS'!$C$35,(P169*B169+T169+Y169+Z169),IF($A$163='4. LISTAS'!$C$36,P169*B169+Y169,IF($A$163='4. LISTAS'!$C$37,P169*B169,"Erro")))</f>
        <v>0</v>
      </c>
      <c r="AB169" s="294">
        <f>IF($A$163='4. LISTAS'!$C$35,IF(V169="sim",AA169,AA169-X169),IF($A$163='4. LISTAS'!$C$36,IF(V169="Sim",AA169-X169,AA169-X169-Y169),IF($A$163='4. LISTAS'!$C$37,AA169,"erro")))</f>
        <v>0</v>
      </c>
      <c r="AC169" s="313">
        <f t="shared" si="75"/>
        <v>0.30349999999999999</v>
      </c>
      <c r="AD169" s="294">
        <f t="shared" si="72"/>
        <v>0</v>
      </c>
      <c r="AE169" s="312">
        <f t="shared" si="73"/>
        <v>0</v>
      </c>
      <c r="AF169" s="312">
        <f t="shared" si="74"/>
        <v>0</v>
      </c>
      <c r="AG169" s="311">
        <f>'4. LISTAS'!$M$6</f>
        <v>5.9299999999999999E-2</v>
      </c>
      <c r="AH169" s="310">
        <f>'4. LISTAS'!$M$5</f>
        <v>0.17</v>
      </c>
    </row>
    <row r="170" spans="1:38" x14ac:dyDescent="0.2">
      <c r="A170" s="323" t="s">
        <v>603</v>
      </c>
      <c r="B170" s="323">
        <v>1</v>
      </c>
      <c r="C170" s="321"/>
      <c r="D170" s="321"/>
      <c r="E170" s="321"/>
      <c r="F170" s="306">
        <f t="shared" si="67"/>
        <v>0</v>
      </c>
      <c r="G170" s="305">
        <f>IF($A$163='4. LISTAS'!$C$35,IF(V170="sim",AD170/(1-AG170),AD170/(1-AG170-(H170*(1+J170)))),IF($A$163='4. LISTAS'!$C$36,(AD170/(1-AG170-(H170*(1+J170)))),IF($A$163='4. LISTAS'!$C$37,(AB170/(1-AC170-AH170)),"Erro")))</f>
        <v>0</v>
      </c>
      <c r="H170" s="320">
        <f>IF(AND($A$163='4. LISTAS'!$C$35,'Fornec. TAGNA'!U170="Sim"),0,IF(OR($A$163='4. LISTAS'!$C$35, $A$163='4. LISTAS'!$C$36),(VLOOKUP('1.DASHBOARD'!$B$8,'4. LISTAS'!$F$2:$G$11,2,FALSE)),0))</f>
        <v>0.18</v>
      </c>
      <c r="I170" s="305">
        <f t="shared" si="64"/>
        <v>0</v>
      </c>
      <c r="J170" s="319">
        <f>VLOOKUP($A$163,'4. LISTAS'!$C$35:$F$37,4,0)</f>
        <v>0.1125</v>
      </c>
      <c r="K170" s="305">
        <f t="shared" si="65"/>
        <v>0</v>
      </c>
      <c r="L170" s="305">
        <f t="shared" si="66"/>
        <v>0</v>
      </c>
      <c r="M170" s="318"/>
      <c r="N170" s="296"/>
      <c r="O170" s="317"/>
      <c r="P170" s="317"/>
      <c r="Q170" s="320">
        <v>0.04</v>
      </c>
      <c r="R170" s="320">
        <v>0.15</v>
      </c>
      <c r="S170" s="320">
        <v>0</v>
      </c>
      <c r="T170" s="305"/>
      <c r="U170" s="316" t="str">
        <f t="shared" si="68"/>
        <v>Não</v>
      </c>
      <c r="V170" s="315" t="s">
        <v>454</v>
      </c>
      <c r="W170" s="296"/>
      <c r="X170" s="314">
        <f t="shared" si="69"/>
        <v>0</v>
      </c>
      <c r="Y170" s="312">
        <f t="shared" si="70"/>
        <v>0</v>
      </c>
      <c r="Z170" s="312">
        <f t="shared" si="71"/>
        <v>0</v>
      </c>
      <c r="AA170" s="294">
        <f>IF($A$163='4. LISTAS'!$C$35,(P170*B170+T170+Y170+Z170),IF($A$163='4. LISTAS'!$C$36,P170*B170+Y170,IF($A$163='4. LISTAS'!$C$37,P170*B170,"Erro")))</f>
        <v>0</v>
      </c>
      <c r="AB170" s="294">
        <f>IF($A$163='4. LISTAS'!$C$35,IF(V170="sim",AA170,AA170-X170),IF($A$163='4. LISTAS'!$C$36,IF(V170="Sim",AA170-X170,AA170-X170-Y170),IF($A$163='4. LISTAS'!$C$37,AA170,"erro")))</f>
        <v>0</v>
      </c>
      <c r="AC170" s="313">
        <f t="shared" si="75"/>
        <v>0.30349999999999999</v>
      </c>
      <c r="AD170" s="294">
        <f t="shared" si="72"/>
        <v>0</v>
      </c>
      <c r="AE170" s="312">
        <f t="shared" si="73"/>
        <v>0</v>
      </c>
      <c r="AF170" s="312">
        <f t="shared" si="74"/>
        <v>0</v>
      </c>
      <c r="AG170" s="311">
        <f>'4. LISTAS'!$M$6</f>
        <v>5.9299999999999999E-2</v>
      </c>
      <c r="AH170" s="310">
        <f>'4. LISTAS'!$M$5</f>
        <v>0.17</v>
      </c>
    </row>
    <row r="171" spans="1:38" x14ac:dyDescent="0.2">
      <c r="A171" s="323" t="s">
        <v>602</v>
      </c>
      <c r="B171" s="323">
        <v>1</v>
      </c>
      <c r="C171" s="321"/>
      <c r="D171" s="321"/>
      <c r="E171" s="321"/>
      <c r="F171" s="306">
        <f t="shared" si="67"/>
        <v>0</v>
      </c>
      <c r="G171" s="305">
        <f>IF($A$163='4. LISTAS'!$C$35,IF(V171="sim",AD171/(1-AG171),AD171/(1-AG171-(H171*(1+J171)))),IF($A$163='4. LISTAS'!$C$36,(AD171/(1-AG171-(H171*(1+J171)))),IF($A$163='4. LISTAS'!$C$37,(AB171/(1-AC171-AH171)),"Erro")))</f>
        <v>0</v>
      </c>
      <c r="H171" s="320">
        <f>IF(AND($A$163='4. LISTAS'!$C$35,'Fornec. TAGNA'!U171="Sim"),0,IF(OR($A$163='4. LISTAS'!$C$35, $A$163='4. LISTAS'!$C$36),(VLOOKUP('1.DASHBOARD'!$B$8,'4. LISTAS'!$F$2:$G$11,2,FALSE)),0))</f>
        <v>0.18</v>
      </c>
      <c r="I171" s="305">
        <f t="shared" si="64"/>
        <v>0</v>
      </c>
      <c r="J171" s="319">
        <f>VLOOKUP($A$163,'4. LISTAS'!$C$35:$F$37,4,0)</f>
        <v>0.1125</v>
      </c>
      <c r="K171" s="305">
        <f t="shared" si="65"/>
        <v>0</v>
      </c>
      <c r="L171" s="305">
        <f t="shared" si="66"/>
        <v>0</v>
      </c>
      <c r="M171" s="318"/>
      <c r="N171" s="296"/>
      <c r="O171" s="317"/>
      <c r="P171" s="317"/>
      <c r="Q171" s="320">
        <v>0.04</v>
      </c>
      <c r="R171" s="320">
        <v>0.15</v>
      </c>
      <c r="S171" s="320">
        <v>0</v>
      </c>
      <c r="T171" s="305"/>
      <c r="U171" s="316" t="str">
        <f t="shared" si="68"/>
        <v>Não</v>
      </c>
      <c r="V171" s="315" t="s">
        <v>454</v>
      </c>
      <c r="W171" s="296"/>
      <c r="X171" s="314">
        <f t="shared" si="69"/>
        <v>0</v>
      </c>
      <c r="Y171" s="312">
        <f t="shared" si="70"/>
        <v>0</v>
      </c>
      <c r="Z171" s="312">
        <f t="shared" si="71"/>
        <v>0</v>
      </c>
      <c r="AA171" s="294">
        <f>IF($A$163='4. LISTAS'!$C$35,(P171*B171+T171+Y171+Z171),IF($A$163='4. LISTAS'!$C$36,P171*B171+Y171,IF($A$163='4. LISTAS'!$C$37,P171*B171,"Erro")))</f>
        <v>0</v>
      </c>
      <c r="AB171" s="294">
        <f>IF($A$163='4. LISTAS'!$C$35,IF(V171="sim",AA171,AA171-X171),IF($A$163='4. LISTAS'!$C$36,IF(V171="Sim",AA171-X171,AA171-X171-Y171),IF($A$163='4. LISTAS'!$C$37,AA171,"erro")))</f>
        <v>0</v>
      </c>
      <c r="AC171" s="313">
        <f t="shared" si="75"/>
        <v>0.30349999999999999</v>
      </c>
      <c r="AD171" s="294">
        <f t="shared" si="72"/>
        <v>0</v>
      </c>
      <c r="AE171" s="312">
        <f t="shared" si="73"/>
        <v>0</v>
      </c>
      <c r="AF171" s="312">
        <f t="shared" si="74"/>
        <v>0</v>
      </c>
      <c r="AG171" s="311">
        <f>'4. LISTAS'!$M$6</f>
        <v>5.9299999999999999E-2</v>
      </c>
      <c r="AH171" s="310">
        <f>'4. LISTAS'!$M$5</f>
        <v>0.17</v>
      </c>
    </row>
    <row r="172" spans="1:38" x14ac:dyDescent="0.2">
      <c r="A172" s="323" t="s">
        <v>601</v>
      </c>
      <c r="B172" s="323">
        <v>1</v>
      </c>
      <c r="C172" s="321"/>
      <c r="D172" s="321"/>
      <c r="E172" s="321"/>
      <c r="F172" s="306">
        <f t="shared" si="67"/>
        <v>0</v>
      </c>
      <c r="G172" s="305">
        <f>IF($A$163='4. LISTAS'!$C$35,IF(V172="sim",AD172/(1-AG172),AD172/(1-AG172-(H172*(1+J172)))),IF($A$163='4. LISTAS'!$C$36,(AD172/(1-AG172-(H172*(1+J172)))),IF($A$163='4. LISTAS'!$C$37,(AB172/(1-AC172-AH172)),"Erro")))</f>
        <v>0</v>
      </c>
      <c r="H172" s="320">
        <f>IF(AND($A$163='4. LISTAS'!$C$35,'Fornec. TAGNA'!U172="Sim"),0,IF(OR($A$163='4. LISTAS'!$C$35, $A$163='4. LISTAS'!$C$36),(VLOOKUP('1.DASHBOARD'!$B$8,'4. LISTAS'!$F$2:$G$11,2,FALSE)),0))</f>
        <v>0.18</v>
      </c>
      <c r="I172" s="305">
        <f t="shared" si="64"/>
        <v>0</v>
      </c>
      <c r="J172" s="319">
        <f>VLOOKUP($A$163,'4. LISTAS'!$C$35:$F$37,4,0)</f>
        <v>0.1125</v>
      </c>
      <c r="K172" s="305">
        <f t="shared" si="65"/>
        <v>0</v>
      </c>
      <c r="L172" s="305">
        <f t="shared" si="66"/>
        <v>0</v>
      </c>
      <c r="M172" s="318"/>
      <c r="N172" s="296"/>
      <c r="O172" s="317"/>
      <c r="P172" s="317"/>
      <c r="Q172" s="320">
        <v>0.04</v>
      </c>
      <c r="R172" s="320">
        <v>0.15</v>
      </c>
      <c r="S172" s="320">
        <v>0</v>
      </c>
      <c r="T172" s="305"/>
      <c r="U172" s="316" t="str">
        <f t="shared" si="68"/>
        <v>Não</v>
      </c>
      <c r="V172" s="315" t="s">
        <v>454</v>
      </c>
      <c r="W172" s="296"/>
      <c r="X172" s="314">
        <f t="shared" si="69"/>
        <v>0</v>
      </c>
      <c r="Y172" s="312">
        <f t="shared" si="70"/>
        <v>0</v>
      </c>
      <c r="Z172" s="312">
        <f t="shared" si="71"/>
        <v>0</v>
      </c>
      <c r="AA172" s="294">
        <f>IF($A$163='4. LISTAS'!$C$35,(P172*B172+T172+Y172+Z172),IF($A$163='4. LISTAS'!$C$36,P172*B172+Y172,IF($A$163='4. LISTAS'!$C$37,P172*B172,"Erro")))</f>
        <v>0</v>
      </c>
      <c r="AB172" s="294">
        <f>IF($A$163='4. LISTAS'!$C$35,IF(V172="sim",AA172,AA172-X172),IF($A$163='4. LISTAS'!$C$36,IF(V172="Sim",AA172-X172,AA172-X172-Y172),IF($A$163='4. LISTAS'!$C$37,AA172,"erro")))</f>
        <v>0</v>
      </c>
      <c r="AC172" s="313">
        <f t="shared" si="75"/>
        <v>0.30349999999999999</v>
      </c>
      <c r="AD172" s="294">
        <f t="shared" si="72"/>
        <v>0</v>
      </c>
      <c r="AE172" s="312">
        <f t="shared" si="73"/>
        <v>0</v>
      </c>
      <c r="AF172" s="312">
        <f t="shared" si="74"/>
        <v>0</v>
      </c>
      <c r="AG172" s="311">
        <f>'4. LISTAS'!$M$6</f>
        <v>5.9299999999999999E-2</v>
      </c>
      <c r="AH172" s="310">
        <f>'4. LISTAS'!$M$5</f>
        <v>0.17</v>
      </c>
    </row>
    <row r="173" spans="1:38" x14ac:dyDescent="0.2">
      <c r="A173" s="323" t="s">
        <v>600</v>
      </c>
      <c r="B173" s="323">
        <v>1</v>
      </c>
      <c r="C173" s="321"/>
      <c r="D173" s="321"/>
      <c r="E173" s="321"/>
      <c r="F173" s="306">
        <f t="shared" si="67"/>
        <v>0</v>
      </c>
      <c r="G173" s="305">
        <f>IF($A$163='4. LISTAS'!$C$35,IF(V173="sim",AD173/(1-AG173),AD173/(1-AG173-(H173*(1+J173)))),IF($A$163='4. LISTAS'!$C$36,(AD173/(1-AG173-(H173*(1+J173)))),IF($A$163='4. LISTAS'!$C$37,(AB173/(1-AC173-AH173)),"Erro")))</f>
        <v>0</v>
      </c>
      <c r="H173" s="320">
        <f>IF(AND($A$163='4. LISTAS'!$C$35,'Fornec. TAGNA'!U173="Sim"),0,IF(OR($A$163='4. LISTAS'!$C$35, $A$163='4. LISTAS'!$C$36),(VLOOKUP('1.DASHBOARD'!$B$8,'4. LISTAS'!$F$2:$G$11,2,FALSE)),0))</f>
        <v>0.18</v>
      </c>
      <c r="I173" s="305">
        <f t="shared" si="64"/>
        <v>0</v>
      </c>
      <c r="J173" s="319">
        <f>VLOOKUP($A$163,'4. LISTAS'!$C$35:$F$37,4,0)</f>
        <v>0.1125</v>
      </c>
      <c r="K173" s="305">
        <f t="shared" si="65"/>
        <v>0</v>
      </c>
      <c r="L173" s="305">
        <f t="shared" si="66"/>
        <v>0</v>
      </c>
      <c r="M173" s="318"/>
      <c r="N173" s="296"/>
      <c r="O173" s="317"/>
      <c r="P173" s="317"/>
      <c r="Q173" s="320">
        <v>0.04</v>
      </c>
      <c r="R173" s="320">
        <v>0.15</v>
      </c>
      <c r="S173" s="320">
        <v>0</v>
      </c>
      <c r="T173" s="305"/>
      <c r="U173" s="316" t="str">
        <f t="shared" si="68"/>
        <v>Não</v>
      </c>
      <c r="V173" s="315" t="s">
        <v>454</v>
      </c>
      <c r="W173" s="296"/>
      <c r="X173" s="314">
        <f t="shared" si="69"/>
        <v>0</v>
      </c>
      <c r="Y173" s="312">
        <f t="shared" si="70"/>
        <v>0</v>
      </c>
      <c r="Z173" s="312">
        <f t="shared" si="71"/>
        <v>0</v>
      </c>
      <c r="AA173" s="294">
        <f>IF($A$163='4. LISTAS'!$C$35,(P173*B173+T173+Y173+Z173),IF($A$163='4. LISTAS'!$C$36,P173*B173+Y173,IF($A$163='4. LISTAS'!$C$37,P173*B173,"Erro")))</f>
        <v>0</v>
      </c>
      <c r="AB173" s="294">
        <f>IF($A$163='4. LISTAS'!$C$35,IF(V173="sim",AA173,AA173-X173),IF($A$163='4. LISTAS'!$C$36,IF(V173="Sim",AA173-X173,AA173-X173-Y173),IF($A$163='4. LISTAS'!$C$37,AA173,"erro")))</f>
        <v>0</v>
      </c>
      <c r="AC173" s="313">
        <f t="shared" si="75"/>
        <v>0.30349999999999999</v>
      </c>
      <c r="AD173" s="294">
        <f t="shared" si="72"/>
        <v>0</v>
      </c>
      <c r="AE173" s="312">
        <f t="shared" si="73"/>
        <v>0</v>
      </c>
      <c r="AF173" s="312">
        <f t="shared" si="74"/>
        <v>0</v>
      </c>
      <c r="AG173" s="311">
        <f>'4. LISTAS'!$M$6</f>
        <v>5.9299999999999999E-2</v>
      </c>
      <c r="AH173" s="310">
        <f>'4. LISTAS'!$M$5</f>
        <v>0.17</v>
      </c>
    </row>
    <row r="174" spans="1:38" x14ac:dyDescent="0.2">
      <c r="A174" s="323" t="s">
        <v>599</v>
      </c>
      <c r="B174" s="323">
        <v>1</v>
      </c>
      <c r="C174" s="321"/>
      <c r="D174" s="321"/>
      <c r="E174" s="321"/>
      <c r="F174" s="306">
        <f t="shared" si="67"/>
        <v>0</v>
      </c>
      <c r="G174" s="305">
        <f>IF($A$163='4. LISTAS'!$C$35,IF(V174="sim",AD174/(1-AG174),AD174/(1-AG174-(H174*(1+J174)))),IF($A$163='4. LISTAS'!$C$36,(AD174/(1-AG174-(H174*(1+J174)))),IF($A$163='4. LISTAS'!$C$37,(AB174/(1-AC174-AH174)),"Erro")))</f>
        <v>0</v>
      </c>
      <c r="H174" s="320">
        <f>IF(AND($A$163='4. LISTAS'!$C$35,'Fornec. TAGNA'!U174="Sim"),0,IF(OR($A$163='4. LISTAS'!$C$35, $A$163='4. LISTAS'!$C$36),(VLOOKUP('1.DASHBOARD'!$B$8,'4. LISTAS'!$F$2:$G$11,2,FALSE)),0))</f>
        <v>0.18</v>
      </c>
      <c r="I174" s="305">
        <f t="shared" si="64"/>
        <v>0</v>
      </c>
      <c r="J174" s="319">
        <f>VLOOKUP($A$163,'4. LISTAS'!$C$35:$F$37,4,0)</f>
        <v>0.1125</v>
      </c>
      <c r="K174" s="305">
        <f t="shared" si="65"/>
        <v>0</v>
      </c>
      <c r="L174" s="305">
        <f t="shared" si="66"/>
        <v>0</v>
      </c>
      <c r="M174" s="318"/>
      <c r="N174" s="296"/>
      <c r="O174" s="317"/>
      <c r="P174" s="317"/>
      <c r="Q174" s="320">
        <v>0.04</v>
      </c>
      <c r="R174" s="320">
        <v>0.15</v>
      </c>
      <c r="S174" s="320">
        <v>0</v>
      </c>
      <c r="T174" s="305"/>
      <c r="U174" s="316" t="str">
        <f t="shared" si="68"/>
        <v>Não</v>
      </c>
      <c r="V174" s="315" t="s">
        <v>454</v>
      </c>
      <c r="W174" s="296"/>
      <c r="X174" s="314">
        <f t="shared" si="69"/>
        <v>0</v>
      </c>
      <c r="Y174" s="312">
        <f t="shared" si="70"/>
        <v>0</v>
      </c>
      <c r="Z174" s="312">
        <f t="shared" si="71"/>
        <v>0</v>
      </c>
      <c r="AA174" s="294">
        <f>IF($A$163='4. LISTAS'!$C$35,(P174*B174+T174+Y174+Z174),IF($A$163='4. LISTAS'!$C$36,P174*B174+Y174,IF($A$163='4. LISTAS'!$C$37,P174*B174,"Erro")))</f>
        <v>0</v>
      </c>
      <c r="AB174" s="294">
        <f>IF($A$163='4. LISTAS'!$C$35,IF(V174="sim",AA174,AA174-X174),IF($A$163='4. LISTAS'!$C$36,IF(V174="Sim",AA174-X174,AA174-X174-Y174),IF($A$163='4. LISTAS'!$C$37,AA174,"erro")))</f>
        <v>0</v>
      </c>
      <c r="AC174" s="313">
        <f t="shared" si="75"/>
        <v>0.30349999999999999</v>
      </c>
      <c r="AD174" s="294">
        <f t="shared" si="72"/>
        <v>0</v>
      </c>
      <c r="AE174" s="312">
        <f t="shared" si="73"/>
        <v>0</v>
      </c>
      <c r="AF174" s="312">
        <f t="shared" si="74"/>
        <v>0</v>
      </c>
      <c r="AG174" s="311">
        <f>'4. LISTAS'!$M$6</f>
        <v>5.9299999999999999E-2</v>
      </c>
      <c r="AH174" s="310">
        <f>'4. LISTAS'!$M$5</f>
        <v>0.17</v>
      </c>
    </row>
    <row r="175" spans="1:38" x14ac:dyDescent="0.2">
      <c r="A175" s="323" t="s">
        <v>598</v>
      </c>
      <c r="B175" s="323">
        <v>1</v>
      </c>
      <c r="C175" s="321"/>
      <c r="D175" s="321"/>
      <c r="E175" s="321"/>
      <c r="F175" s="306">
        <f t="shared" si="67"/>
        <v>0</v>
      </c>
      <c r="G175" s="305">
        <f>IF($A$163='4. LISTAS'!$C$35,IF(V175="sim",AD175/(1-AG175),AD175/(1-AG175-(H175*(1+J175)))),IF($A$163='4. LISTAS'!$C$36,(AD175/(1-AG175-(H175*(1+J175)))),IF($A$163='4. LISTAS'!$C$37,(AB175/(1-AC175-AH175)),"Erro")))</f>
        <v>0</v>
      </c>
      <c r="H175" s="320">
        <f>IF(AND($A$163='4. LISTAS'!$C$35,'Fornec. TAGNA'!U175="Sim"),0,IF(OR($A$163='4. LISTAS'!$C$35, $A$163='4. LISTAS'!$C$36),(VLOOKUP('1.DASHBOARD'!$B$8,'4. LISTAS'!$F$2:$G$11,2,FALSE)),0))</f>
        <v>0.18</v>
      </c>
      <c r="I175" s="305">
        <f t="shared" si="64"/>
        <v>0</v>
      </c>
      <c r="J175" s="319">
        <f>VLOOKUP($A$163,'4. LISTAS'!$C$35:$F$37,4,0)</f>
        <v>0.1125</v>
      </c>
      <c r="K175" s="305">
        <f t="shared" si="65"/>
        <v>0</v>
      </c>
      <c r="L175" s="305">
        <f t="shared" si="66"/>
        <v>0</v>
      </c>
      <c r="M175" s="318"/>
      <c r="N175" s="296"/>
      <c r="O175" s="317"/>
      <c r="P175" s="317"/>
      <c r="Q175" s="320">
        <v>0.04</v>
      </c>
      <c r="R175" s="320">
        <v>0.15</v>
      </c>
      <c r="S175" s="320">
        <v>0</v>
      </c>
      <c r="T175" s="305"/>
      <c r="U175" s="316" t="str">
        <f t="shared" si="68"/>
        <v>Não</v>
      </c>
      <c r="V175" s="315" t="s">
        <v>454</v>
      </c>
      <c r="W175" s="296"/>
      <c r="X175" s="314">
        <f t="shared" si="69"/>
        <v>0</v>
      </c>
      <c r="Y175" s="312">
        <f t="shared" si="70"/>
        <v>0</v>
      </c>
      <c r="Z175" s="312">
        <f t="shared" si="71"/>
        <v>0</v>
      </c>
      <c r="AA175" s="294">
        <f>IF($A$163='4. LISTAS'!$C$35,(P175*B175+T175+Y175+Z175),IF($A$163='4. LISTAS'!$C$36,P175*B175+Y175,IF($A$163='4. LISTAS'!$C$37,P175*B175,"Erro")))</f>
        <v>0</v>
      </c>
      <c r="AB175" s="294">
        <f>IF($A$163='4. LISTAS'!$C$35,IF(V175="sim",AA175,AA175-X175),IF($A$163='4. LISTAS'!$C$36,IF(V175="Sim",AA175-X175,AA175-X175-Y175),IF($A$163='4. LISTAS'!$C$37,AA175,"erro")))</f>
        <v>0</v>
      </c>
      <c r="AC175" s="313">
        <f t="shared" si="75"/>
        <v>0.30349999999999999</v>
      </c>
      <c r="AD175" s="294">
        <f t="shared" si="72"/>
        <v>0</v>
      </c>
      <c r="AE175" s="312">
        <f t="shared" si="73"/>
        <v>0</v>
      </c>
      <c r="AF175" s="312">
        <f t="shared" si="74"/>
        <v>0</v>
      </c>
      <c r="AG175" s="311">
        <f>'4. LISTAS'!$M$6</f>
        <v>5.9299999999999999E-2</v>
      </c>
      <c r="AH175" s="310">
        <f>'4. LISTAS'!$M$5</f>
        <v>0.17</v>
      </c>
    </row>
    <row r="176" spans="1:38" x14ac:dyDescent="0.2">
      <c r="A176" s="323" t="s">
        <v>597</v>
      </c>
      <c r="B176" s="323">
        <v>1</v>
      </c>
      <c r="C176" s="321"/>
      <c r="D176" s="321"/>
      <c r="E176" s="321"/>
      <c r="F176" s="306">
        <f t="shared" si="67"/>
        <v>0</v>
      </c>
      <c r="G176" s="305">
        <f>IF($A$163='4. LISTAS'!$C$35,IF(V176="sim",AD176/(1-AG176),AD176/(1-AG176-(H176*(1+J176)))),IF($A$163='4. LISTAS'!$C$36,(AD176/(1-AG176-(H176*(1+J176)))),IF($A$163='4. LISTAS'!$C$37,(AB176/(1-AC176-AH176)),"Erro")))</f>
        <v>0</v>
      </c>
      <c r="H176" s="320">
        <f>IF(AND($A$163='4. LISTAS'!$C$35,'Fornec. TAGNA'!U176="Sim"),0,IF(OR($A$163='4. LISTAS'!$C$35, $A$163='4. LISTAS'!$C$36),(VLOOKUP('1.DASHBOARD'!$B$8,'4. LISTAS'!$F$2:$G$11,2,FALSE)),0))</f>
        <v>0.18</v>
      </c>
      <c r="I176" s="305">
        <f t="shared" si="64"/>
        <v>0</v>
      </c>
      <c r="J176" s="319">
        <f>VLOOKUP($A$163,'4. LISTAS'!$C$35:$F$37,4,0)</f>
        <v>0.1125</v>
      </c>
      <c r="K176" s="305">
        <f t="shared" si="65"/>
        <v>0</v>
      </c>
      <c r="L176" s="305">
        <f t="shared" si="66"/>
        <v>0</v>
      </c>
      <c r="M176" s="318"/>
      <c r="N176" s="296"/>
      <c r="O176" s="317"/>
      <c r="P176" s="317"/>
      <c r="Q176" s="320">
        <v>0.04</v>
      </c>
      <c r="R176" s="320">
        <v>0.15</v>
      </c>
      <c r="S176" s="320">
        <v>0</v>
      </c>
      <c r="T176" s="305"/>
      <c r="U176" s="316" t="str">
        <f t="shared" si="68"/>
        <v>Não</v>
      </c>
      <c r="V176" s="315" t="s">
        <v>454</v>
      </c>
      <c r="W176" s="296"/>
      <c r="X176" s="314">
        <f t="shared" si="69"/>
        <v>0</v>
      </c>
      <c r="Y176" s="312">
        <f t="shared" si="70"/>
        <v>0</v>
      </c>
      <c r="Z176" s="312">
        <f t="shared" si="71"/>
        <v>0</v>
      </c>
      <c r="AA176" s="294">
        <f>IF($A$163='4. LISTAS'!$C$35,(P176*B176+T176+Y176+Z176),IF($A$163='4. LISTAS'!$C$36,P176*B176+Y176,IF($A$163='4. LISTAS'!$C$37,P176*B176,"Erro")))</f>
        <v>0</v>
      </c>
      <c r="AB176" s="294">
        <f>IF($A$163='4. LISTAS'!$C$35,IF(V176="sim",AA176,AA176-X176),IF($A$163='4. LISTAS'!$C$36,IF(V176="Sim",AA176-X176,AA176-X176-Y176),IF($A$163='4. LISTAS'!$C$37,AA176,"erro")))</f>
        <v>0</v>
      </c>
      <c r="AC176" s="313">
        <f t="shared" si="75"/>
        <v>0.30349999999999999</v>
      </c>
      <c r="AD176" s="294">
        <f t="shared" si="72"/>
        <v>0</v>
      </c>
      <c r="AE176" s="312">
        <f t="shared" si="73"/>
        <v>0</v>
      </c>
      <c r="AF176" s="312">
        <f t="shared" si="74"/>
        <v>0</v>
      </c>
      <c r="AG176" s="311">
        <f>'4. LISTAS'!$M$6</f>
        <v>5.9299999999999999E-2</v>
      </c>
      <c r="AH176" s="310">
        <f>'4. LISTAS'!$M$5</f>
        <v>0.17</v>
      </c>
    </row>
    <row r="177" spans="1:38" x14ac:dyDescent="0.2">
      <c r="A177" s="323" t="s">
        <v>596</v>
      </c>
      <c r="B177" s="323">
        <v>1</v>
      </c>
      <c r="C177" s="321"/>
      <c r="D177" s="321"/>
      <c r="E177" s="321"/>
      <c r="F177" s="306">
        <f t="shared" si="67"/>
        <v>0</v>
      </c>
      <c r="G177" s="305">
        <f>IF($A$163='4. LISTAS'!$C$35,IF(V177="sim",AD177/(1-AG177),AD177/(1-AG177-(H177*(1+J177)))),IF($A$163='4. LISTAS'!$C$36,(AD177/(1-AG177-(H177*(1+J177)))),IF($A$163='4. LISTAS'!$C$37,(AB177/(1-AC177-AH177)),"Erro")))</f>
        <v>0</v>
      </c>
      <c r="H177" s="320">
        <f>IF(AND($A$163='4. LISTAS'!$C$35,'Fornec. TAGNA'!U177="Sim"),0,IF(OR($A$163='4. LISTAS'!$C$35, $A$163='4. LISTAS'!$C$36),(VLOOKUP('1.DASHBOARD'!$B$8,'4. LISTAS'!$F$2:$G$11,2,FALSE)),0))</f>
        <v>0.18</v>
      </c>
      <c r="I177" s="305">
        <f t="shared" si="64"/>
        <v>0</v>
      </c>
      <c r="J177" s="319">
        <f>VLOOKUP($A$163,'4. LISTAS'!$C$35:$F$37,4,0)</f>
        <v>0.1125</v>
      </c>
      <c r="K177" s="305">
        <f t="shared" si="65"/>
        <v>0</v>
      </c>
      <c r="L177" s="305">
        <f t="shared" si="66"/>
        <v>0</v>
      </c>
      <c r="M177" s="318"/>
      <c r="N177" s="296"/>
      <c r="O177" s="317"/>
      <c r="P177" s="317"/>
      <c r="Q177" s="320">
        <v>0.04</v>
      </c>
      <c r="R177" s="320">
        <v>0.15</v>
      </c>
      <c r="S177" s="320">
        <v>0</v>
      </c>
      <c r="T177" s="305"/>
      <c r="U177" s="316" t="str">
        <f t="shared" si="68"/>
        <v>Não</v>
      </c>
      <c r="V177" s="315" t="s">
        <v>454</v>
      </c>
      <c r="W177" s="296"/>
      <c r="X177" s="314">
        <f t="shared" si="69"/>
        <v>0</v>
      </c>
      <c r="Y177" s="312">
        <f t="shared" si="70"/>
        <v>0</v>
      </c>
      <c r="Z177" s="312">
        <f t="shared" si="71"/>
        <v>0</v>
      </c>
      <c r="AA177" s="294">
        <f>IF($A$163='4. LISTAS'!$C$35,(P177*B177+T177+Y177+Z177),IF($A$163='4. LISTAS'!$C$36,P177*B177+Y177,IF($A$163='4. LISTAS'!$C$37,P177*B177,"Erro")))</f>
        <v>0</v>
      </c>
      <c r="AB177" s="294">
        <f>IF($A$163='4. LISTAS'!$C$35,IF(V177="sim",AA177,AA177-X177),IF($A$163='4. LISTAS'!$C$36,IF(V177="Sim",AA177-X177,AA177-X177-Y177),IF($A$163='4. LISTAS'!$C$37,AA177,"erro")))</f>
        <v>0</v>
      </c>
      <c r="AC177" s="313">
        <f t="shared" si="75"/>
        <v>0.30349999999999999</v>
      </c>
      <c r="AD177" s="294">
        <f t="shared" si="72"/>
        <v>0</v>
      </c>
      <c r="AE177" s="312">
        <f t="shared" si="73"/>
        <v>0</v>
      </c>
      <c r="AF177" s="312">
        <f t="shared" si="74"/>
        <v>0</v>
      </c>
      <c r="AG177" s="311">
        <f>'4. LISTAS'!$M$6</f>
        <v>5.9299999999999999E-2</v>
      </c>
      <c r="AH177" s="310">
        <f>'4. LISTAS'!$M$5</f>
        <v>0.17</v>
      </c>
    </row>
    <row r="178" spans="1:38" x14ac:dyDescent="0.2">
      <c r="A178" s="323" t="s">
        <v>595</v>
      </c>
      <c r="B178" s="323">
        <v>1</v>
      </c>
      <c r="C178" s="321"/>
      <c r="D178" s="321"/>
      <c r="E178" s="321"/>
      <c r="F178" s="306">
        <f t="shared" si="67"/>
        <v>0</v>
      </c>
      <c r="G178" s="305">
        <f>IF($A$163='4. LISTAS'!$C$35,IF(V178="sim",AD178/(1-AG178),AD178/(1-AG178-(H178*(1+J178)))),IF($A$163='4. LISTAS'!$C$36,(AD178/(1-AG178-(H178*(1+J178)))),IF($A$163='4. LISTAS'!$C$37,(AB178/(1-AC178-AH178)),"Erro")))</f>
        <v>0</v>
      </c>
      <c r="H178" s="320">
        <f>IF(AND($A$163='4. LISTAS'!$C$35,'Fornec. TAGNA'!U178="Sim"),0,IF(OR($A$163='4. LISTAS'!$C$35, $A$163='4. LISTAS'!$C$36),(VLOOKUP('1.DASHBOARD'!$B$8,'4. LISTAS'!$F$2:$G$11,2,FALSE)),0))</f>
        <v>0.18</v>
      </c>
      <c r="I178" s="305">
        <f t="shared" si="64"/>
        <v>0</v>
      </c>
      <c r="J178" s="319">
        <f>VLOOKUP($A$163,'4. LISTAS'!$C$35:$F$37,4,0)</f>
        <v>0.1125</v>
      </c>
      <c r="K178" s="305">
        <f t="shared" si="65"/>
        <v>0</v>
      </c>
      <c r="L178" s="305">
        <f t="shared" si="66"/>
        <v>0</v>
      </c>
      <c r="M178" s="318"/>
      <c r="N178" s="296"/>
      <c r="O178" s="317"/>
      <c r="P178" s="317"/>
      <c r="Q178" s="320">
        <v>0.04</v>
      </c>
      <c r="R178" s="320">
        <v>0.15</v>
      </c>
      <c r="S178" s="320">
        <v>0</v>
      </c>
      <c r="T178" s="305"/>
      <c r="U178" s="316" t="str">
        <f t="shared" si="68"/>
        <v>Não</v>
      </c>
      <c r="V178" s="315" t="s">
        <v>454</v>
      </c>
      <c r="W178" s="296"/>
      <c r="X178" s="314">
        <f t="shared" si="69"/>
        <v>0</v>
      </c>
      <c r="Y178" s="312">
        <f t="shared" si="70"/>
        <v>0</v>
      </c>
      <c r="Z178" s="312">
        <f t="shared" si="71"/>
        <v>0</v>
      </c>
      <c r="AA178" s="294">
        <f>IF($A$163='4. LISTAS'!$C$35,(P178*B178+T178+Y178+Z178),IF($A$163='4. LISTAS'!$C$36,P178*B178+Y178,IF($A$163='4. LISTAS'!$C$37,P178*B178,"Erro")))</f>
        <v>0</v>
      </c>
      <c r="AB178" s="294">
        <f>IF($A$163='4. LISTAS'!$C$35,IF(V178="sim",AA178,AA178-X178),IF($A$163='4. LISTAS'!$C$36,IF(V178="Sim",AA178-X178,AA178-X178-Y178),IF($A$163='4. LISTAS'!$C$37,AA178,"erro")))</f>
        <v>0</v>
      </c>
      <c r="AC178" s="313">
        <f t="shared" si="75"/>
        <v>0.30349999999999999</v>
      </c>
      <c r="AD178" s="294">
        <f t="shared" si="72"/>
        <v>0</v>
      </c>
      <c r="AE178" s="312">
        <f t="shared" si="73"/>
        <v>0</v>
      </c>
      <c r="AF178" s="312">
        <f t="shared" si="74"/>
        <v>0</v>
      </c>
      <c r="AG178" s="311">
        <f>'4. LISTAS'!$M$6</f>
        <v>5.9299999999999999E-2</v>
      </c>
      <c r="AH178" s="310">
        <f>'4. LISTAS'!$M$5</f>
        <v>0.17</v>
      </c>
    </row>
    <row r="179" spans="1:38" x14ac:dyDescent="0.2">
      <c r="A179" s="323" t="s">
        <v>594</v>
      </c>
      <c r="B179" s="323">
        <v>1</v>
      </c>
      <c r="C179" s="321"/>
      <c r="D179" s="321"/>
      <c r="E179" s="321"/>
      <c r="F179" s="306">
        <f t="shared" si="67"/>
        <v>0</v>
      </c>
      <c r="G179" s="305">
        <f>IF($A$163='4. LISTAS'!$C$35,IF(V179="sim",AD179/(1-AG179),AD179/(1-AG179-(H179*(1+J179)))),IF($A$163='4. LISTAS'!$C$36,(AD179/(1-AG179-(H179*(1+J179)))),IF($A$163='4. LISTAS'!$C$37,(AB179/(1-AC179-AH179)),"Erro")))</f>
        <v>0</v>
      </c>
      <c r="H179" s="320">
        <f>IF(AND($A$163='4. LISTAS'!$C$35,'Fornec. TAGNA'!U179="Sim"),0,IF(OR($A$163='4. LISTAS'!$C$35, $A$163='4. LISTAS'!$C$36),(VLOOKUP('1.DASHBOARD'!$B$8,'4. LISTAS'!$F$2:$G$11,2,FALSE)),0))</f>
        <v>0.18</v>
      </c>
      <c r="I179" s="305">
        <f t="shared" si="64"/>
        <v>0</v>
      </c>
      <c r="J179" s="319">
        <f>VLOOKUP($A$163,'4. LISTAS'!$C$35:$F$37,4,0)</f>
        <v>0.1125</v>
      </c>
      <c r="K179" s="305">
        <f t="shared" si="65"/>
        <v>0</v>
      </c>
      <c r="L179" s="305">
        <f t="shared" si="66"/>
        <v>0</v>
      </c>
      <c r="M179" s="318"/>
      <c r="N179" s="296"/>
      <c r="O179" s="317"/>
      <c r="P179" s="317"/>
      <c r="Q179" s="320">
        <v>0.04</v>
      </c>
      <c r="R179" s="320">
        <v>0.15</v>
      </c>
      <c r="S179" s="320">
        <v>0</v>
      </c>
      <c r="T179" s="305"/>
      <c r="U179" s="316" t="str">
        <f t="shared" si="68"/>
        <v>Não</v>
      </c>
      <c r="V179" s="315" t="s">
        <v>454</v>
      </c>
      <c r="W179" s="296"/>
      <c r="X179" s="314">
        <f t="shared" si="69"/>
        <v>0</v>
      </c>
      <c r="Y179" s="312">
        <f t="shared" si="70"/>
        <v>0</v>
      </c>
      <c r="Z179" s="312">
        <f t="shared" si="71"/>
        <v>0</v>
      </c>
      <c r="AA179" s="294">
        <f>IF($A$163='4. LISTAS'!$C$35,(P179*B179+T179+Y179+Z179),IF($A$163='4. LISTAS'!$C$36,P179*B179+Y179,IF($A$163='4. LISTAS'!$C$37,P179*B179,"Erro")))</f>
        <v>0</v>
      </c>
      <c r="AB179" s="294">
        <f>IF($A$163='4. LISTAS'!$C$35,IF(V179="sim",AA179,AA179-X179),IF($A$163='4. LISTAS'!$C$36,IF(V179="Sim",AA179-X179,AA179-X179-Y179),IF($A$163='4. LISTAS'!$C$37,AA179,"erro")))</f>
        <v>0</v>
      </c>
      <c r="AC179" s="313">
        <f t="shared" si="75"/>
        <v>0.30349999999999999</v>
      </c>
      <c r="AD179" s="294">
        <f t="shared" si="72"/>
        <v>0</v>
      </c>
      <c r="AE179" s="312">
        <f t="shared" si="73"/>
        <v>0</v>
      </c>
      <c r="AF179" s="312">
        <f t="shared" si="74"/>
        <v>0</v>
      </c>
      <c r="AG179" s="311">
        <f>'4. LISTAS'!$M$6</f>
        <v>5.9299999999999999E-2</v>
      </c>
      <c r="AH179" s="310">
        <f>'4. LISTAS'!$M$5</f>
        <v>0.17</v>
      </c>
    </row>
    <row r="180" spans="1:38" x14ac:dyDescent="0.2">
      <c r="A180" s="323" t="s">
        <v>593</v>
      </c>
      <c r="B180" s="323">
        <v>1</v>
      </c>
      <c r="C180" s="321"/>
      <c r="D180" s="321"/>
      <c r="E180" s="321"/>
      <c r="F180" s="306">
        <f t="shared" si="67"/>
        <v>0</v>
      </c>
      <c r="G180" s="305">
        <f>IF($A$163='4. LISTAS'!$C$35,IF(V180="sim",AD180/(1-AG180),AD180/(1-AG180-(H180*(1+J180)))),IF($A$163='4. LISTAS'!$C$36,(AD180/(1-AG180-(H180*(1+J180)))),IF($A$163='4. LISTAS'!$C$37,(AB180/(1-AC180-AH180)),"Erro")))</f>
        <v>0</v>
      </c>
      <c r="H180" s="320">
        <f>IF(AND($A$163='4. LISTAS'!$C$35,'Fornec. TAGNA'!U180="Sim"),0,IF(OR($A$163='4. LISTAS'!$C$35, $A$163='4. LISTAS'!$C$36),(VLOOKUP('1.DASHBOARD'!$B$8,'4. LISTAS'!$F$2:$G$11,2,FALSE)),0))</f>
        <v>0.18</v>
      </c>
      <c r="I180" s="305">
        <f t="shared" si="64"/>
        <v>0</v>
      </c>
      <c r="J180" s="319">
        <f>VLOOKUP($A$163,'4. LISTAS'!$C$35:$F$37,4,0)</f>
        <v>0.1125</v>
      </c>
      <c r="K180" s="305">
        <f t="shared" si="65"/>
        <v>0</v>
      </c>
      <c r="L180" s="305">
        <f t="shared" si="66"/>
        <v>0</v>
      </c>
      <c r="M180" s="318"/>
      <c r="N180" s="296"/>
      <c r="O180" s="317"/>
      <c r="P180" s="317"/>
      <c r="Q180" s="320">
        <v>0.04</v>
      </c>
      <c r="R180" s="320">
        <v>0.15</v>
      </c>
      <c r="S180" s="320">
        <v>0</v>
      </c>
      <c r="T180" s="305"/>
      <c r="U180" s="316" t="str">
        <f t="shared" si="68"/>
        <v>Não</v>
      </c>
      <c r="V180" s="315" t="s">
        <v>454</v>
      </c>
      <c r="W180" s="296"/>
      <c r="X180" s="314">
        <f t="shared" si="69"/>
        <v>0</v>
      </c>
      <c r="Y180" s="312">
        <f t="shared" si="70"/>
        <v>0</v>
      </c>
      <c r="Z180" s="312">
        <f t="shared" si="71"/>
        <v>0</v>
      </c>
      <c r="AA180" s="294">
        <f>IF($A$163='4. LISTAS'!$C$35,(P180*B180+T180+Y180+Z180),IF($A$163='4. LISTAS'!$C$36,P180*B180+Y180,IF($A$163='4. LISTAS'!$C$37,P180*B180,"Erro")))</f>
        <v>0</v>
      </c>
      <c r="AB180" s="294">
        <f>IF($A$163='4. LISTAS'!$C$35,IF(V180="sim",AA180,AA180-X180),IF($A$163='4. LISTAS'!$C$36,IF(V180="Sim",AA180-X180,AA180-X180-Y180),IF($A$163='4. LISTAS'!$C$37,AA180,"erro")))</f>
        <v>0</v>
      </c>
      <c r="AC180" s="313">
        <f t="shared" si="75"/>
        <v>0.30349999999999999</v>
      </c>
      <c r="AD180" s="294">
        <f t="shared" si="72"/>
        <v>0</v>
      </c>
      <c r="AE180" s="312">
        <f t="shared" si="73"/>
        <v>0</v>
      </c>
      <c r="AF180" s="312">
        <f t="shared" si="74"/>
        <v>0</v>
      </c>
      <c r="AG180" s="311">
        <f>'4. LISTAS'!$M$6</f>
        <v>5.9299999999999999E-2</v>
      </c>
      <c r="AH180" s="310">
        <f>'4. LISTAS'!$M$5</f>
        <v>0.17</v>
      </c>
    </row>
    <row r="181" spans="1:38" x14ac:dyDescent="0.2">
      <c r="A181" s="323" t="s">
        <v>592</v>
      </c>
      <c r="B181" s="323">
        <v>1</v>
      </c>
      <c r="C181" s="321"/>
      <c r="D181" s="321"/>
      <c r="E181" s="321"/>
      <c r="F181" s="306">
        <f t="shared" si="67"/>
        <v>0</v>
      </c>
      <c r="G181" s="305">
        <f>IF($A$163='4. LISTAS'!$C$35,IF(V181="sim",AD181/(1-AG181),AD181/(1-AG181-(H181*(1+J181)))),IF($A$163='4. LISTAS'!$C$36,(AD181/(1-AG181-(H181*(1+J181)))),IF($A$163='4. LISTAS'!$C$37,(AB181/(1-AC181-AH181)),"Erro")))</f>
        <v>0</v>
      </c>
      <c r="H181" s="320">
        <f>IF(AND($A$163='4. LISTAS'!$C$35,'Fornec. TAGNA'!U181="Sim"),0,IF(OR($A$163='4. LISTAS'!$C$35, $A$163='4. LISTAS'!$C$36),(VLOOKUP('1.DASHBOARD'!$B$8,'4. LISTAS'!$F$2:$G$11,2,FALSE)),0))</f>
        <v>0.18</v>
      </c>
      <c r="I181" s="305">
        <f t="shared" si="64"/>
        <v>0</v>
      </c>
      <c r="J181" s="319">
        <f>VLOOKUP($A$163,'4. LISTAS'!$C$35:$F$37,4,0)</f>
        <v>0.1125</v>
      </c>
      <c r="K181" s="305">
        <f t="shared" si="65"/>
        <v>0</v>
      </c>
      <c r="L181" s="305">
        <f t="shared" si="66"/>
        <v>0</v>
      </c>
      <c r="M181" s="318"/>
      <c r="N181" s="296"/>
      <c r="O181" s="317"/>
      <c r="P181" s="317"/>
      <c r="Q181" s="320">
        <v>0.04</v>
      </c>
      <c r="R181" s="320">
        <v>0.15</v>
      </c>
      <c r="S181" s="320">
        <v>0</v>
      </c>
      <c r="T181" s="305"/>
      <c r="U181" s="316" t="str">
        <f t="shared" si="68"/>
        <v>Não</v>
      </c>
      <c r="V181" s="315" t="s">
        <v>454</v>
      </c>
      <c r="W181" s="296"/>
      <c r="X181" s="314">
        <f t="shared" si="69"/>
        <v>0</v>
      </c>
      <c r="Y181" s="312">
        <f t="shared" si="70"/>
        <v>0</v>
      </c>
      <c r="Z181" s="312">
        <f t="shared" si="71"/>
        <v>0</v>
      </c>
      <c r="AA181" s="294">
        <f>IF($A$163='4. LISTAS'!$C$35,(P181*B181+T181+Y181+Z181),IF($A$163='4. LISTAS'!$C$36,P181*B181+Y181,IF($A$163='4. LISTAS'!$C$37,P181*B181,"Erro")))</f>
        <v>0</v>
      </c>
      <c r="AB181" s="294">
        <f>IF($A$163='4. LISTAS'!$C$35,IF(V181="sim",AA181,AA181-X181),IF($A$163='4. LISTAS'!$C$36,IF(V181="Sim",AA181-X181,AA181-X181-Y181),IF($A$163='4. LISTAS'!$C$37,AA181,"erro")))</f>
        <v>0</v>
      </c>
      <c r="AC181" s="313">
        <f t="shared" si="75"/>
        <v>0.30349999999999999</v>
      </c>
      <c r="AD181" s="294">
        <f t="shared" si="72"/>
        <v>0</v>
      </c>
      <c r="AE181" s="312">
        <f t="shared" si="73"/>
        <v>0</v>
      </c>
      <c r="AF181" s="312">
        <f t="shared" si="74"/>
        <v>0</v>
      </c>
      <c r="AG181" s="311">
        <f>'4. LISTAS'!$M$6</f>
        <v>5.9299999999999999E-2</v>
      </c>
      <c r="AH181" s="310">
        <f>'4. LISTAS'!$M$5</f>
        <v>0.17</v>
      </c>
    </row>
    <row r="182" spans="1:38" x14ac:dyDescent="0.2">
      <c r="A182" s="323" t="s">
        <v>591</v>
      </c>
      <c r="B182" s="323">
        <v>1</v>
      </c>
      <c r="C182" s="321"/>
      <c r="D182" s="321"/>
      <c r="E182" s="321"/>
      <c r="F182" s="306">
        <f t="shared" si="67"/>
        <v>0</v>
      </c>
      <c r="G182" s="305">
        <f>IF($A$163='4. LISTAS'!$C$35,IF(V182="sim",AD182/(1-AG182),AD182/(1-AG182-(H182*(1+J182)))),IF($A$163='4. LISTAS'!$C$36,(AD182/(1-AG182-(H182*(1+J182)))),IF($A$163='4. LISTAS'!$C$37,(AB182/(1-AC182-AH182)),"Erro")))</f>
        <v>0</v>
      </c>
      <c r="H182" s="320">
        <f>IF(AND($A$163='4. LISTAS'!$C$35,'Fornec. TAGNA'!U182="Sim"),0,IF(OR($A$163='4. LISTAS'!$C$35, $A$163='4. LISTAS'!$C$36),(VLOOKUP('1.DASHBOARD'!$B$8,'4. LISTAS'!$F$2:$G$11,2,FALSE)),0))</f>
        <v>0.18</v>
      </c>
      <c r="I182" s="305">
        <f t="shared" si="64"/>
        <v>0</v>
      </c>
      <c r="J182" s="319">
        <f>VLOOKUP($A$163,'4. LISTAS'!$C$35:$F$37,4,0)</f>
        <v>0.1125</v>
      </c>
      <c r="K182" s="305">
        <f t="shared" si="65"/>
        <v>0</v>
      </c>
      <c r="L182" s="305">
        <f t="shared" si="66"/>
        <v>0</v>
      </c>
      <c r="M182" s="318"/>
      <c r="N182" s="296"/>
      <c r="O182" s="317"/>
      <c r="P182" s="317"/>
      <c r="Q182" s="320">
        <v>0.04</v>
      </c>
      <c r="R182" s="320">
        <v>0.15</v>
      </c>
      <c r="S182" s="320">
        <v>0</v>
      </c>
      <c r="T182" s="305"/>
      <c r="U182" s="316" t="str">
        <f t="shared" si="68"/>
        <v>Não</v>
      </c>
      <c r="V182" s="315" t="s">
        <v>454</v>
      </c>
      <c r="W182" s="296"/>
      <c r="X182" s="314">
        <f t="shared" si="69"/>
        <v>0</v>
      </c>
      <c r="Y182" s="312">
        <f t="shared" si="70"/>
        <v>0</v>
      </c>
      <c r="Z182" s="312">
        <f t="shared" si="71"/>
        <v>0</v>
      </c>
      <c r="AA182" s="294">
        <f>IF($A$163='4. LISTAS'!$C$35,(P182*B182+T182+Y182+Z182),IF($A$163='4. LISTAS'!$C$36,P182*B182+Y182,IF($A$163='4. LISTAS'!$C$37,P182*B182,"Erro")))</f>
        <v>0</v>
      </c>
      <c r="AB182" s="294">
        <f>IF($A$163='4. LISTAS'!$C$35,IF(V182="sim",AA182,AA182-X182),IF($A$163='4. LISTAS'!$C$36,IF(V182="Sim",AA182-X182,AA182-X182-Y182),IF($A$163='4. LISTAS'!$C$37,AA182,"erro")))</f>
        <v>0</v>
      </c>
      <c r="AC182" s="313">
        <f t="shared" si="75"/>
        <v>0.30349999999999999</v>
      </c>
      <c r="AD182" s="294">
        <f t="shared" si="72"/>
        <v>0</v>
      </c>
      <c r="AE182" s="312">
        <f t="shared" si="73"/>
        <v>0</v>
      </c>
      <c r="AF182" s="312">
        <f t="shared" si="74"/>
        <v>0</v>
      </c>
      <c r="AG182" s="311">
        <f>'4. LISTAS'!$M$6</f>
        <v>5.9299999999999999E-2</v>
      </c>
      <c r="AH182" s="310">
        <f>'4. LISTAS'!$M$5</f>
        <v>0.17</v>
      </c>
    </row>
    <row r="183" spans="1:38" x14ac:dyDescent="0.2">
      <c r="A183" s="323" t="s">
        <v>590</v>
      </c>
      <c r="B183" s="323">
        <v>1</v>
      </c>
      <c r="C183" s="321"/>
      <c r="D183" s="321"/>
      <c r="E183" s="321"/>
      <c r="F183" s="306">
        <f t="shared" si="67"/>
        <v>0</v>
      </c>
      <c r="G183" s="305">
        <f>IF($A$163='4. LISTAS'!$C$35,IF(V183="sim",AD183/(1-AG183),AD183/(1-AG183-(H183*(1+J183)))),IF($A$163='4. LISTAS'!$C$36,(AD183/(1-AG183-(H183*(1+J183)))),IF($A$163='4. LISTAS'!$C$37,(AB183/(1-AC183-AH183)),"Erro")))</f>
        <v>0</v>
      </c>
      <c r="H183" s="320">
        <f>IF(AND($A$163='4. LISTAS'!$C$35,'Fornec. TAGNA'!U183="Sim"),0,IF(OR($A$163='4. LISTAS'!$C$35, $A$163='4. LISTAS'!$C$36),(VLOOKUP('1.DASHBOARD'!$B$8,'4. LISTAS'!$F$2:$G$11,2,FALSE)),0))</f>
        <v>0.18</v>
      </c>
      <c r="I183" s="305">
        <f t="shared" si="64"/>
        <v>0</v>
      </c>
      <c r="J183" s="319">
        <f>VLOOKUP($A$163,'4. LISTAS'!$C$35:$F$37,4,0)</f>
        <v>0.1125</v>
      </c>
      <c r="K183" s="305">
        <f t="shared" si="65"/>
        <v>0</v>
      </c>
      <c r="L183" s="305">
        <f t="shared" si="66"/>
        <v>0</v>
      </c>
      <c r="M183" s="318"/>
      <c r="N183" s="296"/>
      <c r="O183" s="317"/>
      <c r="P183" s="317"/>
      <c r="Q183" s="320">
        <v>0.04</v>
      </c>
      <c r="R183" s="320">
        <v>0.15</v>
      </c>
      <c r="S183" s="320">
        <v>0</v>
      </c>
      <c r="T183" s="305"/>
      <c r="U183" s="316" t="str">
        <f t="shared" si="68"/>
        <v>Não</v>
      </c>
      <c r="V183" s="315" t="s">
        <v>454</v>
      </c>
      <c r="W183" s="296"/>
      <c r="X183" s="314">
        <f t="shared" si="69"/>
        <v>0</v>
      </c>
      <c r="Y183" s="312">
        <f t="shared" si="70"/>
        <v>0</v>
      </c>
      <c r="Z183" s="312">
        <f t="shared" si="71"/>
        <v>0</v>
      </c>
      <c r="AA183" s="294">
        <f>IF($A$163='4. LISTAS'!$C$35,(P183*B183+T183+Y183+Z183),IF($A$163='4. LISTAS'!$C$36,P183*B183+Y183,IF($A$163='4. LISTAS'!$C$37,P183*B183,"Erro")))</f>
        <v>0</v>
      </c>
      <c r="AB183" s="294">
        <f>IF($A$163='4. LISTAS'!$C$35,IF(V183="sim",AA183,AA183-X183),IF($A$163='4. LISTAS'!$C$36,IF(V183="Sim",AA183-X183,AA183-X183-Y183),IF($A$163='4. LISTAS'!$C$37,AA183,"erro")))</f>
        <v>0</v>
      </c>
      <c r="AC183" s="313">
        <f t="shared" si="75"/>
        <v>0.30349999999999999</v>
      </c>
      <c r="AD183" s="294">
        <f t="shared" si="72"/>
        <v>0</v>
      </c>
      <c r="AE183" s="312">
        <f t="shared" si="73"/>
        <v>0</v>
      </c>
      <c r="AF183" s="312">
        <f t="shared" si="74"/>
        <v>0</v>
      </c>
      <c r="AG183" s="311">
        <f>'4. LISTAS'!$M$6</f>
        <v>5.9299999999999999E-2</v>
      </c>
      <c r="AH183" s="310">
        <f>'4. LISTAS'!$M$5</f>
        <v>0.17</v>
      </c>
      <c r="AI183" s="296"/>
      <c r="AJ183" s="321"/>
      <c r="AK183" s="321"/>
      <c r="AL183" s="321"/>
    </row>
    <row r="184" spans="1:38" x14ac:dyDescent="0.2">
      <c r="A184" s="323" t="s">
        <v>589</v>
      </c>
      <c r="B184" s="323">
        <v>1</v>
      </c>
      <c r="C184" s="321"/>
      <c r="D184" s="321"/>
      <c r="E184" s="321"/>
      <c r="F184" s="306">
        <f t="shared" si="67"/>
        <v>0</v>
      </c>
      <c r="G184" s="305">
        <f>IF($A$163='4. LISTAS'!$C$35,IF(V184="sim",AD184/(1-AG184),AD184/(1-AG184-(H184*(1+J184)))),IF($A$163='4. LISTAS'!$C$36,(AD184/(1-AG184-(H184*(1+J184)))),IF($A$163='4. LISTAS'!$C$37,(AB184/(1-AC184-AH184)),"Erro")))</f>
        <v>0</v>
      </c>
      <c r="H184" s="320">
        <f>IF(AND($A$163='4. LISTAS'!$C$35,'Fornec. TAGNA'!U184="Sim"),0,IF(OR($A$163='4. LISTAS'!$C$35, $A$163='4. LISTAS'!$C$36),(VLOOKUP('1.DASHBOARD'!$B$8,'4. LISTAS'!$F$2:$G$11,2,FALSE)),0))</f>
        <v>0.18</v>
      </c>
      <c r="I184" s="305">
        <f t="shared" si="64"/>
        <v>0</v>
      </c>
      <c r="J184" s="319">
        <f>VLOOKUP($A$163,'4. LISTAS'!$C$35:$F$37,4,0)</f>
        <v>0.1125</v>
      </c>
      <c r="K184" s="305">
        <f t="shared" si="65"/>
        <v>0</v>
      </c>
      <c r="L184" s="305">
        <f t="shared" si="66"/>
        <v>0</v>
      </c>
      <c r="M184" s="318"/>
      <c r="N184" s="296"/>
      <c r="O184" s="317"/>
      <c r="P184" s="317"/>
      <c r="Q184" s="320">
        <v>0.04</v>
      </c>
      <c r="R184" s="320">
        <v>0.15</v>
      </c>
      <c r="S184" s="320">
        <v>0</v>
      </c>
      <c r="T184" s="305"/>
      <c r="U184" s="316" t="str">
        <f t="shared" si="68"/>
        <v>Não</v>
      </c>
      <c r="V184" s="315" t="s">
        <v>454</v>
      </c>
      <c r="W184" s="296"/>
      <c r="X184" s="314">
        <f t="shared" si="69"/>
        <v>0</v>
      </c>
      <c r="Y184" s="312">
        <f t="shared" si="70"/>
        <v>0</v>
      </c>
      <c r="Z184" s="312">
        <f t="shared" si="71"/>
        <v>0</v>
      </c>
      <c r="AA184" s="294">
        <f>IF($A$163='4. LISTAS'!$C$35,(P184*B184+T184+Y184+Z184),IF($A$163='4. LISTAS'!$C$36,P184*B184+Y184,IF($A$163='4. LISTAS'!$C$37,P184*B184,"Erro")))</f>
        <v>0</v>
      </c>
      <c r="AB184" s="294">
        <f>IF($A$163='4. LISTAS'!$C$35,IF(V184="sim",AA184,AA184-X184),IF($A$163='4. LISTAS'!$C$36,IF(V184="Sim",AA184-X184,AA184-X184-Y184),IF($A$163='4. LISTAS'!$C$37,AA184,"erro")))</f>
        <v>0</v>
      </c>
      <c r="AC184" s="313">
        <f t="shared" si="75"/>
        <v>0.30349999999999999</v>
      </c>
      <c r="AD184" s="294">
        <f t="shared" si="72"/>
        <v>0</v>
      </c>
      <c r="AE184" s="312">
        <f t="shared" si="73"/>
        <v>0</v>
      </c>
      <c r="AF184" s="312">
        <f t="shared" si="74"/>
        <v>0</v>
      </c>
      <c r="AG184" s="311">
        <f>'4. LISTAS'!$M$6</f>
        <v>5.9299999999999999E-2</v>
      </c>
      <c r="AH184" s="310">
        <f>'4. LISTAS'!$M$5</f>
        <v>0.17</v>
      </c>
      <c r="AI184" s="296"/>
      <c r="AJ184" s="321"/>
      <c r="AK184" s="321"/>
      <c r="AL184" s="321"/>
    </row>
    <row r="185" spans="1:38" x14ac:dyDescent="0.2">
      <c r="A185" s="323" t="s">
        <v>588</v>
      </c>
      <c r="B185" s="323">
        <v>1</v>
      </c>
      <c r="C185" s="321"/>
      <c r="D185" s="321"/>
      <c r="E185" s="321"/>
      <c r="F185" s="306">
        <f t="shared" si="67"/>
        <v>0</v>
      </c>
      <c r="G185" s="305">
        <f>IF($A$163='4. LISTAS'!$C$35,IF(V185="sim",AD185/(1-AG185),AD185/(1-AG185-(H185*(1+J185)))),IF($A$163='4. LISTAS'!$C$36,(AD185/(1-AG185-(H185*(1+J185)))),IF($A$163='4. LISTAS'!$C$37,(AB185/(1-AC185-AH185)),"Erro")))</f>
        <v>0</v>
      </c>
      <c r="H185" s="320">
        <f>IF(AND($A$163='4. LISTAS'!$C$35,'Fornec. TAGNA'!U185="Sim"),0,IF(OR($A$163='4. LISTAS'!$C$35, $A$163='4. LISTAS'!$C$36),(VLOOKUP('1.DASHBOARD'!$B$8,'4. LISTAS'!$F$2:$G$11,2,FALSE)),0))</f>
        <v>0.18</v>
      </c>
      <c r="I185" s="305">
        <f t="shared" si="64"/>
        <v>0</v>
      </c>
      <c r="J185" s="319">
        <f>VLOOKUP($A$163,'4. LISTAS'!$C$35:$F$37,4,0)</f>
        <v>0.1125</v>
      </c>
      <c r="K185" s="305">
        <f t="shared" si="65"/>
        <v>0</v>
      </c>
      <c r="L185" s="305">
        <f t="shared" si="66"/>
        <v>0</v>
      </c>
      <c r="M185" s="318"/>
      <c r="N185" s="296"/>
      <c r="O185" s="317"/>
      <c r="P185" s="317"/>
      <c r="Q185" s="320">
        <v>0.04</v>
      </c>
      <c r="R185" s="320">
        <v>0.15</v>
      </c>
      <c r="S185" s="320">
        <v>0</v>
      </c>
      <c r="T185" s="305"/>
      <c r="U185" s="316" t="str">
        <f t="shared" si="68"/>
        <v>Não</v>
      </c>
      <c r="V185" s="315" t="s">
        <v>454</v>
      </c>
      <c r="W185" s="296"/>
      <c r="X185" s="314">
        <f t="shared" si="69"/>
        <v>0</v>
      </c>
      <c r="Y185" s="312">
        <f t="shared" si="70"/>
        <v>0</v>
      </c>
      <c r="Z185" s="312">
        <f t="shared" si="71"/>
        <v>0</v>
      </c>
      <c r="AA185" s="294">
        <f>IF($A$163='4. LISTAS'!$C$35,(P185*B185+T185+Y185+Z185),IF($A$163='4. LISTAS'!$C$36,P185*B185+Y185,IF($A$163='4. LISTAS'!$C$37,P185*B185,"Erro")))</f>
        <v>0</v>
      </c>
      <c r="AB185" s="294">
        <f>IF($A$163='4. LISTAS'!$C$35,IF(V185="sim",AA185,AA185-X185),IF($A$163='4. LISTAS'!$C$36,IF(V185="Sim",AA185-X185,AA185-X185-Y185),IF($A$163='4. LISTAS'!$C$37,AA185,"erro")))</f>
        <v>0</v>
      </c>
      <c r="AC185" s="313">
        <f t="shared" si="75"/>
        <v>0.30349999999999999</v>
      </c>
      <c r="AD185" s="294">
        <f t="shared" si="72"/>
        <v>0</v>
      </c>
      <c r="AE185" s="312">
        <f t="shared" si="73"/>
        <v>0</v>
      </c>
      <c r="AF185" s="312">
        <f t="shared" si="74"/>
        <v>0</v>
      </c>
      <c r="AG185" s="311">
        <f>'4. LISTAS'!$M$6</f>
        <v>5.9299999999999999E-2</v>
      </c>
      <c r="AH185" s="310">
        <f>'4. LISTAS'!$M$5</f>
        <v>0.17</v>
      </c>
      <c r="AI185" s="296"/>
      <c r="AJ185" s="321"/>
      <c r="AK185" s="321"/>
      <c r="AL185" s="321"/>
    </row>
    <row r="186" spans="1:38" x14ac:dyDescent="0.2">
      <c r="A186" s="323" t="s">
        <v>587</v>
      </c>
      <c r="B186" s="323">
        <v>1</v>
      </c>
      <c r="C186" s="321"/>
      <c r="D186" s="321"/>
      <c r="E186" s="321"/>
      <c r="F186" s="306">
        <f t="shared" si="67"/>
        <v>0</v>
      </c>
      <c r="G186" s="305">
        <f>IF($A$163='4. LISTAS'!$C$35,IF(V186="sim",AD186/(1-AG186),AD186/(1-AG186-(H186*(1+J186)))),IF($A$163='4. LISTAS'!$C$36,(AD186/(1-AG186-(H186*(1+J186)))),IF($A$163='4. LISTAS'!$C$37,(AB186/(1-AC186-AH186)),"Erro")))</f>
        <v>0</v>
      </c>
      <c r="H186" s="320">
        <f>IF(AND($A$163='4. LISTAS'!$C$35,'Fornec. TAGNA'!U186="Sim"),0,IF(OR($A$163='4. LISTAS'!$C$35, $A$163='4. LISTAS'!$C$36),(VLOOKUP('1.DASHBOARD'!$B$8,'4. LISTAS'!$F$2:$G$11,2,FALSE)),0))</f>
        <v>0.18</v>
      </c>
      <c r="I186" s="305">
        <f t="shared" si="64"/>
        <v>0</v>
      </c>
      <c r="J186" s="319">
        <f>VLOOKUP($A$163,'4. LISTAS'!$C$35:$F$37,4,0)</f>
        <v>0.1125</v>
      </c>
      <c r="K186" s="305">
        <f t="shared" si="65"/>
        <v>0</v>
      </c>
      <c r="L186" s="305">
        <f t="shared" si="66"/>
        <v>0</v>
      </c>
      <c r="M186" s="318"/>
      <c r="N186" s="296"/>
      <c r="O186" s="317"/>
      <c r="P186" s="317"/>
      <c r="Q186" s="320">
        <v>0.04</v>
      </c>
      <c r="R186" s="320">
        <v>0.15</v>
      </c>
      <c r="S186" s="320">
        <v>0</v>
      </c>
      <c r="T186" s="305"/>
      <c r="U186" s="316" t="str">
        <f t="shared" si="68"/>
        <v>Não</v>
      </c>
      <c r="V186" s="315" t="s">
        <v>454</v>
      </c>
      <c r="W186" s="296"/>
      <c r="X186" s="314">
        <f t="shared" si="69"/>
        <v>0</v>
      </c>
      <c r="Y186" s="312">
        <f t="shared" si="70"/>
        <v>0</v>
      </c>
      <c r="Z186" s="312">
        <f t="shared" si="71"/>
        <v>0</v>
      </c>
      <c r="AA186" s="294">
        <f>IF($A$163='4. LISTAS'!$C$35,(P186*B186+T186+Y186+Z186),IF($A$163='4. LISTAS'!$C$36,P186*B186+Y186,IF($A$163='4. LISTAS'!$C$37,P186*B186,"Erro")))</f>
        <v>0</v>
      </c>
      <c r="AB186" s="294">
        <f>IF($A$163='4. LISTAS'!$C$35,IF(V186="sim",AA186,AA186-X186),IF($A$163='4. LISTAS'!$C$36,IF(V186="Sim",AA186-X186,AA186-X186-Y186),IF($A$163='4. LISTAS'!$C$37,AA186,"erro")))</f>
        <v>0</v>
      </c>
      <c r="AC186" s="313">
        <f t="shared" si="75"/>
        <v>0.30349999999999999</v>
      </c>
      <c r="AD186" s="294">
        <f t="shared" si="72"/>
        <v>0</v>
      </c>
      <c r="AE186" s="312">
        <f t="shared" si="73"/>
        <v>0</v>
      </c>
      <c r="AF186" s="312">
        <f t="shared" si="74"/>
        <v>0</v>
      </c>
      <c r="AG186" s="311">
        <f>'4. LISTAS'!$M$6</f>
        <v>5.9299999999999999E-2</v>
      </c>
      <c r="AH186" s="310">
        <f>'4. LISTAS'!$M$5</f>
        <v>0.17</v>
      </c>
      <c r="AI186" s="296"/>
      <c r="AJ186" s="321"/>
      <c r="AK186" s="321"/>
      <c r="AL186" s="321"/>
    </row>
    <row r="187" spans="1:38" x14ac:dyDescent="0.2">
      <c r="A187" s="323" t="s">
        <v>586</v>
      </c>
      <c r="B187" s="322">
        <f>B156</f>
        <v>0</v>
      </c>
      <c r="C187" s="321"/>
      <c r="D187" s="321" t="str">
        <f>D156</f>
        <v>Gestão + Compras</v>
      </c>
      <c r="E187" s="321"/>
      <c r="F187" s="306">
        <f>IF(B187&lt;&gt;0,G187/B187,0)</f>
        <v>0</v>
      </c>
      <c r="G187" s="305">
        <f>IF($A$163='4. LISTAS'!$C$35,IF(V187="sim",AD187/(1-AG187),AD187/(1-AG187-(H187*(1+J187)))),IF($A$163='4. LISTAS'!$C$36,(AD187/(1-AG187-(H187*(1+J187)))),IF($A$163='4. LISTAS'!$C$37,(AB187/(1-AC187-AH187)),"Erro")))</f>
        <v>0</v>
      </c>
      <c r="H187" s="320">
        <f>IF(AND($A$163='4. LISTAS'!$C$35,'Fornec. TAGNA'!U187="Sim"),0,IF(OR($A$163='4. LISTAS'!$C$35, $A$163='4. LISTAS'!$C$36),(VLOOKUP('1.DASHBOARD'!$B$8,'4. LISTAS'!$F$2:$G$11,2,FALSE)),0))</f>
        <v>0.18</v>
      </c>
      <c r="I187" s="305">
        <f t="shared" si="64"/>
        <v>0</v>
      </c>
      <c r="J187" s="319">
        <f>VLOOKUP($A$163,'4. LISTAS'!$C$35:$F$37,4,0)</f>
        <v>0.1125</v>
      </c>
      <c r="K187" s="305">
        <f t="shared" si="65"/>
        <v>0</v>
      </c>
      <c r="L187" s="305">
        <f t="shared" si="66"/>
        <v>0</v>
      </c>
      <c r="M187" s="318"/>
      <c r="N187" s="296"/>
      <c r="O187" s="317"/>
      <c r="P187" s="317">
        <f t="shared" ref="P187:S190" si="76">P156</f>
        <v>355.22537921211438</v>
      </c>
      <c r="Q187" s="306">
        <f t="shared" si="76"/>
        <v>0</v>
      </c>
      <c r="R187" s="306">
        <f t="shared" si="76"/>
        <v>0</v>
      </c>
      <c r="S187" s="306">
        <f t="shared" si="76"/>
        <v>0</v>
      </c>
      <c r="T187" s="305"/>
      <c r="U187" s="316" t="str">
        <f t="shared" si="68"/>
        <v>Não</v>
      </c>
      <c r="V187" s="315" t="s">
        <v>454</v>
      </c>
      <c r="W187" s="296"/>
      <c r="X187" s="314">
        <f t="shared" si="69"/>
        <v>0</v>
      </c>
      <c r="Y187" s="312">
        <f t="shared" si="70"/>
        <v>0</v>
      </c>
      <c r="Z187" s="312">
        <f t="shared" si="71"/>
        <v>0</v>
      </c>
      <c r="AA187" s="294">
        <f>IF($A$163='4. LISTAS'!$C$35,(P187*B187+T187+Y187+Z187),IF($A$163='4. LISTAS'!$C$36,P187*B187+Y187,IF($A$163='4. LISTAS'!$C$37,P187*B187,"Erro")))</f>
        <v>0</v>
      </c>
      <c r="AB187" s="294">
        <f>IF($A$163='4. LISTAS'!$C$35,IF(V187="sim",AA187,AA187-X187),IF($A$163='4. LISTAS'!$C$36,IF(V187="Sim",AA187-X187,AA187-X187-Y187),IF($A$163='4. LISTAS'!$C$37,AA187,"erro")))</f>
        <v>0</v>
      </c>
      <c r="AC187" s="313">
        <f>'1.DASHBOARD'!$B$11</f>
        <v>0.25</v>
      </c>
      <c r="AD187" s="294">
        <f t="shared" si="72"/>
        <v>0</v>
      </c>
      <c r="AE187" s="312">
        <f t="shared" si="73"/>
        <v>0</v>
      </c>
      <c r="AF187" s="312">
        <f t="shared" si="74"/>
        <v>0</v>
      </c>
      <c r="AG187" s="311">
        <f>'4. LISTAS'!$M$6</f>
        <v>5.9299999999999999E-2</v>
      </c>
      <c r="AH187" s="310">
        <f>'4. LISTAS'!$M$5</f>
        <v>0.17</v>
      </c>
      <c r="AI187" s="296"/>
      <c r="AJ187" s="321"/>
      <c r="AK187" s="321"/>
      <c r="AL187" s="321"/>
    </row>
    <row r="188" spans="1:38" x14ac:dyDescent="0.2">
      <c r="A188" s="323" t="s">
        <v>585</v>
      </c>
      <c r="B188" s="322">
        <f>B157</f>
        <v>0</v>
      </c>
      <c r="C188" s="321"/>
      <c r="D188" s="321" t="str">
        <f>D157</f>
        <v>Projeto</v>
      </c>
      <c r="E188" s="321"/>
      <c r="F188" s="306">
        <f>IF(B187&lt;&gt;0,G188/B188,0)</f>
        <v>0</v>
      </c>
      <c r="G188" s="305">
        <f>IF($A$163='4. LISTAS'!$C$35,IF(V188="sim",AD188/(1-AG188),AD188/(1-AG188-(H188*(1+J188)))),IF($A$163='4. LISTAS'!$C$36,(AD188/(1-AG188-(H188*(1+J188)))),IF($A$163='4. LISTAS'!$C$37,(AB188/(1-AC188-AH188)),"Erro")))</f>
        <v>0</v>
      </c>
      <c r="H188" s="320">
        <f>IF(AND($A$163='4. LISTAS'!$C$35,'Fornec. TAGNA'!U188="Sim"),0,IF(OR($A$163='4. LISTAS'!$C$35, $A$163='4. LISTAS'!$C$36),(VLOOKUP('1.DASHBOARD'!$B$8,'4. LISTAS'!$F$2:$G$11,2,FALSE)),0))</f>
        <v>0.18</v>
      </c>
      <c r="I188" s="305">
        <f t="shared" si="64"/>
        <v>0</v>
      </c>
      <c r="J188" s="319">
        <f>VLOOKUP($A$163,'4. LISTAS'!$C$35:$F$37,4,0)</f>
        <v>0.1125</v>
      </c>
      <c r="K188" s="305">
        <f t="shared" si="65"/>
        <v>0</v>
      </c>
      <c r="L188" s="305">
        <f t="shared" si="66"/>
        <v>0</v>
      </c>
      <c r="M188" s="318"/>
      <c r="N188" s="296"/>
      <c r="O188" s="317"/>
      <c r="P188" s="317">
        <f t="shared" si="76"/>
        <v>37.149026125714286</v>
      </c>
      <c r="Q188" s="306">
        <f t="shared" si="76"/>
        <v>0</v>
      </c>
      <c r="R188" s="306">
        <f t="shared" si="76"/>
        <v>0</v>
      </c>
      <c r="S188" s="306">
        <f t="shared" si="76"/>
        <v>0</v>
      </c>
      <c r="T188" s="305"/>
      <c r="U188" s="316" t="str">
        <f t="shared" si="68"/>
        <v>Não</v>
      </c>
      <c r="V188" s="315" t="s">
        <v>454</v>
      </c>
      <c r="W188" s="296"/>
      <c r="X188" s="314">
        <f t="shared" si="69"/>
        <v>0</v>
      </c>
      <c r="Y188" s="312">
        <f t="shared" si="70"/>
        <v>0</v>
      </c>
      <c r="Z188" s="312">
        <f t="shared" si="71"/>
        <v>0</v>
      </c>
      <c r="AA188" s="294">
        <f>IF($A$163='4. LISTAS'!$C$35,(P188*B188+T188+Y188+Z188),IF($A$163='4. LISTAS'!$C$36,P188*B188+Y188,IF($A$163='4. LISTAS'!$C$37,P188*B188,"Erro")))</f>
        <v>0</v>
      </c>
      <c r="AB188" s="294">
        <f>IF($A$163='4. LISTAS'!$C$35,IF(V188="sim",AA188,AA188-X188),IF($A$163='4. LISTAS'!$C$36,IF(V188="Sim",AA188-X188,AA188-X188-Y188),IF($A$163='4. LISTAS'!$C$37,AA188,"erro")))</f>
        <v>0</v>
      </c>
      <c r="AC188" s="313">
        <f>'1.DASHBOARD'!$B$11</f>
        <v>0.25</v>
      </c>
      <c r="AD188" s="294">
        <f t="shared" si="72"/>
        <v>0</v>
      </c>
      <c r="AE188" s="312">
        <f t="shared" si="73"/>
        <v>0</v>
      </c>
      <c r="AF188" s="312">
        <f t="shared" si="74"/>
        <v>0</v>
      </c>
      <c r="AG188" s="311">
        <f>'4. LISTAS'!$M$6</f>
        <v>5.9299999999999999E-2</v>
      </c>
      <c r="AH188" s="310">
        <f>'4. LISTAS'!$M$5</f>
        <v>0.17</v>
      </c>
      <c r="AI188" s="296"/>
      <c r="AJ188" s="324"/>
      <c r="AK188" s="324"/>
      <c r="AL188" s="324"/>
    </row>
    <row r="189" spans="1:38" x14ac:dyDescent="0.2">
      <c r="A189" s="323" t="s">
        <v>584</v>
      </c>
      <c r="B189" s="322">
        <f>B158</f>
        <v>0</v>
      </c>
      <c r="C189" s="321"/>
      <c r="D189" s="321" t="str">
        <f>D158</f>
        <v>Testes</v>
      </c>
      <c r="E189" s="321"/>
      <c r="F189" s="306">
        <f>IF(B187&lt;&gt;0,G189/B189,0)</f>
        <v>0</v>
      </c>
      <c r="G189" s="305">
        <f>IF($A$163='4. LISTAS'!$C$35,IF(V189="sim",AD189/(1-AG189),AD189/(1-AG189-(H189*(1+J189)))),IF($A$163='4. LISTAS'!$C$36,(AD189/(1-AG189-(H189*(1+J189)))),IF($A$163='4. LISTAS'!$C$37,(AB189/(1-AC189-AH189)),"Erro")))</f>
        <v>0</v>
      </c>
      <c r="H189" s="320">
        <f>IF(AND($A$163='4. LISTAS'!$C$35,'Fornec. TAGNA'!U189="Sim"),0,IF(OR($A$163='4. LISTAS'!$C$35, $A$163='4. LISTAS'!$C$36),(VLOOKUP('1.DASHBOARD'!$B$8,'4. LISTAS'!$F$2:$G$11,2,FALSE)),0))</f>
        <v>0.18</v>
      </c>
      <c r="I189" s="305">
        <f t="shared" si="64"/>
        <v>0</v>
      </c>
      <c r="J189" s="319">
        <f>VLOOKUP($A$163,'4. LISTAS'!$C$35:$F$37,4,0)</f>
        <v>0.1125</v>
      </c>
      <c r="K189" s="305">
        <f t="shared" si="65"/>
        <v>0</v>
      </c>
      <c r="L189" s="305">
        <f t="shared" si="66"/>
        <v>0</v>
      </c>
      <c r="M189" s="318"/>
      <c r="N189" s="296"/>
      <c r="O189" s="317"/>
      <c r="P189" s="317">
        <f t="shared" si="76"/>
        <v>129.56768445553286</v>
      </c>
      <c r="Q189" s="306">
        <f t="shared" si="76"/>
        <v>0</v>
      </c>
      <c r="R189" s="306">
        <f t="shared" si="76"/>
        <v>0</v>
      </c>
      <c r="S189" s="306">
        <f t="shared" si="76"/>
        <v>0</v>
      </c>
      <c r="T189" s="305"/>
      <c r="U189" s="316" t="str">
        <f t="shared" si="68"/>
        <v>Não</v>
      </c>
      <c r="V189" s="315" t="s">
        <v>454</v>
      </c>
      <c r="W189" s="296"/>
      <c r="X189" s="314">
        <f t="shared" si="69"/>
        <v>0</v>
      </c>
      <c r="Y189" s="312">
        <f t="shared" si="70"/>
        <v>0</v>
      </c>
      <c r="Z189" s="312">
        <f t="shared" si="71"/>
        <v>0</v>
      </c>
      <c r="AA189" s="294">
        <f>IF($A$163='4. LISTAS'!$C$35,(P189*B189+T189+Y189+Z189),IF($A$163='4. LISTAS'!$C$36,P189*B189+Y189,IF($A$163='4. LISTAS'!$C$37,P189*B189,"Erro")))</f>
        <v>0</v>
      </c>
      <c r="AB189" s="294">
        <f>IF($A$163='4. LISTAS'!$C$35,IF(V189="sim",AA189,AA189-X189),IF($A$163='4. LISTAS'!$C$36,IF(V189="Sim",AA189-X189,AA189-X189-Y189),IF($A$163='4. LISTAS'!$C$37,AA189,"erro")))</f>
        <v>0</v>
      </c>
      <c r="AC189" s="313">
        <f>'1.DASHBOARD'!$B$11</f>
        <v>0.25</v>
      </c>
      <c r="AD189" s="294">
        <f t="shared" si="72"/>
        <v>0</v>
      </c>
      <c r="AE189" s="312">
        <f t="shared" si="73"/>
        <v>0</v>
      </c>
      <c r="AF189" s="312">
        <f t="shared" si="74"/>
        <v>0</v>
      </c>
      <c r="AG189" s="311">
        <f>'4. LISTAS'!$M$6</f>
        <v>5.9299999999999999E-2</v>
      </c>
      <c r="AH189" s="310">
        <f>'4. LISTAS'!$M$5</f>
        <v>0.17</v>
      </c>
      <c r="AI189" s="296"/>
      <c r="AJ189" s="321"/>
      <c r="AK189" s="321"/>
      <c r="AL189" s="321"/>
    </row>
    <row r="190" spans="1:38" x14ac:dyDescent="0.2">
      <c r="A190" s="323" t="s">
        <v>583</v>
      </c>
      <c r="B190" s="322">
        <f>B159</f>
        <v>0</v>
      </c>
      <c r="C190" s="321"/>
      <c r="D190" s="321" t="str">
        <f>D159</f>
        <v>Frete</v>
      </c>
      <c r="E190" s="321"/>
      <c r="F190" s="306">
        <f>IF(B187&lt;&gt;0,G190/B190,0)</f>
        <v>0</v>
      </c>
      <c r="G190" s="305">
        <f>IF($A$163='4. LISTAS'!$C$35,IF(V190="sim",AD190/(1-AG190),AD190/(1-AG190-(H190*(1+J190)))),IF($A$163='4. LISTAS'!$C$36,(AD190/(1-AG190-(H190*(1+J190)))),IF($A$163='4. LISTAS'!$C$37,(AB190/(1-AC190-AH190)),"Erro")))</f>
        <v>0</v>
      </c>
      <c r="H190" s="320">
        <f>IF(AND($A$163='4. LISTAS'!$C$35,'Fornec. TAGNA'!U190="Sim"),0,IF(OR($A$163='4. LISTAS'!$C$35, $A$163='4. LISTAS'!$C$36),(VLOOKUP('1.DASHBOARD'!$B$8,'4. LISTAS'!$F$2:$G$11,2,FALSE)),0))</f>
        <v>0.18</v>
      </c>
      <c r="I190" s="305">
        <f t="shared" si="64"/>
        <v>0</v>
      </c>
      <c r="J190" s="319">
        <f>VLOOKUP($A$163,'4. LISTAS'!$C$35:$F$37,4,0)</f>
        <v>0.1125</v>
      </c>
      <c r="K190" s="305">
        <f t="shared" si="65"/>
        <v>0</v>
      </c>
      <c r="L190" s="305">
        <f t="shared" si="66"/>
        <v>0</v>
      </c>
      <c r="M190" s="318"/>
      <c r="N190" s="296"/>
      <c r="O190" s="317"/>
      <c r="P190" s="317">
        <f t="shared" si="76"/>
        <v>300</v>
      </c>
      <c r="Q190" s="306">
        <f t="shared" si="76"/>
        <v>0</v>
      </c>
      <c r="R190" s="306">
        <f t="shared" si="76"/>
        <v>0</v>
      </c>
      <c r="S190" s="306">
        <f t="shared" si="76"/>
        <v>0</v>
      </c>
      <c r="T190" s="305"/>
      <c r="U190" s="316" t="str">
        <f t="shared" si="68"/>
        <v>Não</v>
      </c>
      <c r="V190" s="315" t="s">
        <v>454</v>
      </c>
      <c r="W190" s="296"/>
      <c r="X190" s="314">
        <f t="shared" si="69"/>
        <v>0</v>
      </c>
      <c r="Y190" s="312">
        <f t="shared" si="70"/>
        <v>0</v>
      </c>
      <c r="Z190" s="312">
        <f t="shared" si="71"/>
        <v>0</v>
      </c>
      <c r="AA190" s="294">
        <f>IF($A$163='4. LISTAS'!$C$35,(P190*B190+T190+Y190+Z190),IF($A$163='4. LISTAS'!$C$36,P190*B190+Y190,IF($A$163='4. LISTAS'!$C$37,P190*B190,"Erro")))</f>
        <v>0</v>
      </c>
      <c r="AB190" s="294">
        <f>IF($A$163='4. LISTAS'!$C$35,IF(V190="sim",AA190,AA190-X190),IF($A$163='4. LISTAS'!$C$36,IF(V190="Sim",AA190-X190,AA190-X190-Y190),IF($A$163='4. LISTAS'!$C$37,AA190,"erro")))</f>
        <v>0</v>
      </c>
      <c r="AC190" s="313"/>
      <c r="AD190" s="294">
        <f t="shared" si="72"/>
        <v>0</v>
      </c>
      <c r="AE190" s="312">
        <f t="shared" si="73"/>
        <v>0</v>
      </c>
      <c r="AF190" s="312">
        <f t="shared" si="74"/>
        <v>0</v>
      </c>
      <c r="AG190" s="311">
        <f>'4. LISTAS'!$M$6</f>
        <v>5.9299999999999999E-2</v>
      </c>
      <c r="AH190" s="310">
        <f>'4. LISTAS'!$M$5</f>
        <v>0.17</v>
      </c>
      <c r="AI190" s="296"/>
      <c r="AJ190" s="321"/>
      <c r="AK190" s="321"/>
      <c r="AL190" s="321"/>
    </row>
    <row r="191" spans="1:38" x14ac:dyDescent="0.2">
      <c r="A191" s="362" t="s">
        <v>453</v>
      </c>
      <c r="B191" s="361"/>
      <c r="C191" s="359"/>
      <c r="D191" s="360"/>
      <c r="E191" s="359"/>
      <c r="F191" s="358"/>
      <c r="G191" s="282">
        <f>SUM(G167:G190)</f>
        <v>0</v>
      </c>
      <c r="H191" s="284" t="s">
        <v>319</v>
      </c>
      <c r="I191" s="282">
        <f>SUBTOTAL(9,I167:I190)</f>
        <v>0</v>
      </c>
      <c r="J191" s="283" t="s">
        <v>319</v>
      </c>
      <c r="K191" s="282">
        <f>SUM(K167:K190)</f>
        <v>0</v>
      </c>
      <c r="L191" s="282">
        <f>SUM(L167:L190)</f>
        <v>0</v>
      </c>
      <c r="M191" s="357"/>
      <c r="N191" s="327"/>
      <c r="O191" s="356"/>
      <c r="P191" s="356"/>
      <c r="Q191" s="277"/>
      <c r="R191" s="277"/>
      <c r="S191" s="277"/>
      <c r="T191" s="278"/>
      <c r="U191" s="277"/>
      <c r="V191" s="355"/>
      <c r="W191" s="327"/>
      <c r="X191" s="354">
        <f t="shared" si="69"/>
        <v>0</v>
      </c>
      <c r="Y191" s="278">
        <f t="shared" si="70"/>
        <v>0</v>
      </c>
      <c r="Z191" s="278">
        <f t="shared" si="71"/>
        <v>0</v>
      </c>
      <c r="AA191" s="277"/>
      <c r="AB191" s="277"/>
      <c r="AC191" s="277"/>
      <c r="AD191" s="277"/>
      <c r="AE191" s="277"/>
      <c r="AF191" s="277"/>
      <c r="AG191" s="277"/>
      <c r="AH191" s="277"/>
      <c r="AI191" s="327"/>
      <c r="AJ191" s="353"/>
      <c r="AK191" s="353"/>
      <c r="AL191" s="353"/>
    </row>
    <row r="192" spans="1:38" x14ac:dyDescent="0.2">
      <c r="G192" s="352"/>
      <c r="N192" s="327"/>
      <c r="W192" s="327"/>
      <c r="AI192" s="327"/>
    </row>
    <row r="193" spans="1:38" x14ac:dyDescent="0.2">
      <c r="B193" s="350"/>
      <c r="D193" s="348" t="s">
        <v>508</v>
      </c>
      <c r="E193" s="348"/>
      <c r="F193" s="347"/>
      <c r="G193" s="347"/>
      <c r="H193" s="347"/>
      <c r="I193" s="347"/>
      <c r="J193" s="347"/>
      <c r="K193" s="347"/>
      <c r="L193" s="347"/>
      <c r="M193" s="346"/>
      <c r="N193" s="327"/>
      <c r="O193" s="345"/>
      <c r="P193" s="345" t="s">
        <v>511</v>
      </c>
      <c r="Q193" s="345"/>
      <c r="R193" s="345"/>
      <c r="S193" s="345"/>
      <c r="T193" s="344"/>
      <c r="U193" s="345"/>
      <c r="V193" s="345"/>
      <c r="W193" s="327"/>
      <c r="X193" s="344" t="s">
        <v>510</v>
      </c>
      <c r="Y193" s="344"/>
      <c r="Z193" s="344"/>
      <c r="AA193" s="344"/>
      <c r="AB193" s="344"/>
      <c r="AC193" s="344"/>
      <c r="AD193" s="344"/>
      <c r="AE193" s="344"/>
      <c r="AF193" s="344"/>
      <c r="AG193" s="344"/>
      <c r="AH193" s="344"/>
      <c r="AI193" s="327"/>
      <c r="AJ193" s="349"/>
      <c r="AK193" s="349"/>
      <c r="AL193" s="349"/>
    </row>
    <row r="194" spans="1:38" x14ac:dyDescent="0.2">
      <c r="A194" s="698" t="s">
        <v>509</v>
      </c>
      <c r="B194" s="698"/>
      <c r="C194" s="698"/>
      <c r="D194" s="348" t="s">
        <v>508</v>
      </c>
      <c r="E194" s="348"/>
      <c r="F194" s="347"/>
      <c r="G194" s="347"/>
      <c r="H194" s="347"/>
      <c r="I194" s="347"/>
      <c r="J194" s="347"/>
      <c r="K194" s="347"/>
      <c r="L194" s="347"/>
      <c r="M194" s="346"/>
      <c r="N194" s="327"/>
      <c r="O194" s="345"/>
      <c r="P194" s="345"/>
      <c r="Q194" s="345"/>
      <c r="R194" s="345"/>
      <c r="S194" s="345"/>
      <c r="T194" s="344"/>
      <c r="U194" s="345"/>
      <c r="V194" s="345"/>
      <c r="W194" s="327"/>
      <c r="X194" s="344"/>
      <c r="Y194" s="344"/>
      <c r="Z194" s="344"/>
      <c r="AA194" s="344"/>
      <c r="AB194" s="344"/>
      <c r="AC194" s="344"/>
      <c r="AD194" s="344"/>
      <c r="AE194" s="344"/>
      <c r="AF194" s="344"/>
      <c r="AG194" s="344"/>
      <c r="AH194" s="344"/>
      <c r="AI194" s="327"/>
      <c r="AJ194" s="343" t="s">
        <v>507</v>
      </c>
      <c r="AK194" s="343" t="s">
        <v>506</v>
      </c>
      <c r="AL194" s="343" t="s">
        <v>505</v>
      </c>
    </row>
    <row r="195" spans="1:38" ht="15" customHeight="1" x14ac:dyDescent="0.2">
      <c r="A195" s="699" t="s">
        <v>321</v>
      </c>
      <c r="B195" s="699" t="s">
        <v>504</v>
      </c>
      <c r="C195" s="700" t="s">
        <v>320</v>
      </c>
      <c r="D195" s="700" t="s">
        <v>503</v>
      </c>
      <c r="E195" s="700" t="s">
        <v>502</v>
      </c>
      <c r="F195" s="701" t="s">
        <v>501</v>
      </c>
      <c r="G195" s="701" t="s">
        <v>500</v>
      </c>
      <c r="H195" s="701" t="s">
        <v>499</v>
      </c>
      <c r="I195" s="701"/>
      <c r="J195" s="701" t="s">
        <v>490</v>
      </c>
      <c r="K195" s="701"/>
      <c r="L195" s="701" t="s">
        <v>498</v>
      </c>
      <c r="M195" s="696" t="s">
        <v>497</v>
      </c>
      <c r="N195" s="327"/>
      <c r="O195" s="693" t="s">
        <v>496</v>
      </c>
      <c r="P195" s="694" t="s">
        <v>495</v>
      </c>
      <c r="Q195" s="342" t="s">
        <v>491</v>
      </c>
      <c r="R195" s="339" t="s">
        <v>490</v>
      </c>
      <c r="S195" s="339" t="s">
        <v>489</v>
      </c>
      <c r="T195" s="693" t="s">
        <v>494</v>
      </c>
      <c r="U195" s="691" t="s">
        <v>493</v>
      </c>
      <c r="V195" s="702" t="s">
        <v>492</v>
      </c>
      <c r="W195" s="327"/>
      <c r="X195" s="341" t="s">
        <v>491</v>
      </c>
      <c r="Y195" s="339" t="s">
        <v>490</v>
      </c>
      <c r="Z195" s="339" t="s">
        <v>489</v>
      </c>
      <c r="AA195" s="693" t="s">
        <v>488</v>
      </c>
      <c r="AB195" s="693" t="s">
        <v>487</v>
      </c>
      <c r="AC195" s="691" t="s">
        <v>486</v>
      </c>
      <c r="AD195" s="691" t="s">
        <v>485</v>
      </c>
      <c r="AE195" s="691" t="s">
        <v>484</v>
      </c>
      <c r="AF195" s="691" t="s">
        <v>483</v>
      </c>
      <c r="AG195" s="691" t="s">
        <v>482</v>
      </c>
      <c r="AH195" s="691" t="s">
        <v>481</v>
      </c>
      <c r="AI195" s="327"/>
      <c r="AJ195" s="693"/>
      <c r="AK195" s="693"/>
      <c r="AL195" s="693"/>
    </row>
    <row r="196" spans="1:38" ht="18" customHeight="1" x14ac:dyDescent="0.2">
      <c r="A196" s="699"/>
      <c r="B196" s="699"/>
      <c r="C196" s="700"/>
      <c r="D196" s="700"/>
      <c r="E196" s="700"/>
      <c r="F196" s="701"/>
      <c r="G196" s="701"/>
      <c r="H196" s="339" t="s">
        <v>480</v>
      </c>
      <c r="I196" s="339" t="s">
        <v>479</v>
      </c>
      <c r="J196" s="339" t="s">
        <v>480</v>
      </c>
      <c r="K196" s="339" t="s">
        <v>479</v>
      </c>
      <c r="L196" s="701"/>
      <c r="M196" s="697"/>
      <c r="N196" s="327"/>
      <c r="O196" s="693"/>
      <c r="P196" s="695"/>
      <c r="Q196" s="339" t="s">
        <v>480</v>
      </c>
      <c r="R196" s="339" t="s">
        <v>480</v>
      </c>
      <c r="S196" s="339" t="s">
        <v>480</v>
      </c>
      <c r="T196" s="693"/>
      <c r="U196" s="692"/>
      <c r="V196" s="703"/>
      <c r="W196" s="327"/>
      <c r="X196" s="340" t="s">
        <v>479</v>
      </c>
      <c r="Y196" s="339" t="s">
        <v>479</v>
      </c>
      <c r="Z196" s="339" t="s">
        <v>479</v>
      </c>
      <c r="AA196" s="693"/>
      <c r="AB196" s="693"/>
      <c r="AC196" s="692"/>
      <c r="AD196" s="692"/>
      <c r="AE196" s="692"/>
      <c r="AF196" s="692"/>
      <c r="AG196" s="692"/>
      <c r="AH196" s="692"/>
      <c r="AI196" s="327"/>
      <c r="AJ196" s="693"/>
      <c r="AK196" s="693"/>
      <c r="AL196" s="693"/>
    </row>
    <row r="197" spans="1:38" ht="18" customHeight="1" x14ac:dyDescent="0.2">
      <c r="A197" s="338">
        <v>7</v>
      </c>
      <c r="B197" s="338">
        <v>1</v>
      </c>
      <c r="C197" s="324"/>
      <c r="D197" s="324"/>
      <c r="E197" s="324"/>
      <c r="F197" s="337">
        <f>G222</f>
        <v>0</v>
      </c>
      <c r="G197" s="337">
        <f>F197*B197</f>
        <v>0</v>
      </c>
      <c r="H197" s="336">
        <f>IF(OR($A$194='4. LISTAS'!$C$35, $A$194='4. LISTAS'!$C$36),(VLOOKUP('1.DASHBOARD'!$B$8,'4. LISTAS'!$F$2:$G$11,2,FALSE)),0)</f>
        <v>0.18</v>
      </c>
      <c r="I197" s="334">
        <f t="shared" ref="I197:I221" si="77">H197*(G197+K197)</f>
        <v>0</v>
      </c>
      <c r="J197" s="335">
        <f>VLOOKUP($A$194,'4. LISTAS'!$C$35:$F$37,4,0)</f>
        <v>0.1125</v>
      </c>
      <c r="K197" s="334">
        <f t="shared" ref="K197:K221" si="78">J197*G197</f>
        <v>0</v>
      </c>
      <c r="L197" s="334">
        <f t="shared" ref="L197:L221" si="79">G197+K197</f>
        <v>0</v>
      </c>
      <c r="M197" s="333"/>
      <c r="N197" s="327"/>
      <c r="O197" s="332"/>
      <c r="P197" s="332"/>
      <c r="Q197" s="331"/>
      <c r="R197" s="331"/>
      <c r="S197" s="331"/>
      <c r="T197" s="328"/>
      <c r="U197" s="326"/>
      <c r="V197" s="330"/>
      <c r="W197" s="327"/>
      <c r="X197" s="326">
        <f>SUM(X198:X221)</f>
        <v>0</v>
      </c>
      <c r="Y197" s="326">
        <f>SUM(Y198:Y221)</f>
        <v>0</v>
      </c>
      <c r="Z197" s="326">
        <f>SUM(Z198:Z221)</f>
        <v>0</v>
      </c>
      <c r="AA197" s="326">
        <f>SUM(AA198:AA221)</f>
        <v>0</v>
      </c>
      <c r="AB197" s="326">
        <f>SUM(AB198:AB221)</f>
        <v>0</v>
      </c>
      <c r="AC197" s="328"/>
      <c r="AD197" s="328"/>
      <c r="AE197" s="328"/>
      <c r="AF197" s="328"/>
      <c r="AG197" s="329">
        <f>AG198</f>
        <v>5.9299999999999999E-2</v>
      </c>
      <c r="AH197" s="328"/>
      <c r="AI197" s="327"/>
      <c r="AJ197" s="326"/>
      <c r="AK197" s="326"/>
      <c r="AL197" s="326"/>
    </row>
    <row r="198" spans="1:38" x14ac:dyDescent="0.2">
      <c r="A198" s="323" t="s">
        <v>582</v>
      </c>
      <c r="B198" s="323">
        <v>1</v>
      </c>
      <c r="C198" s="321"/>
      <c r="D198" s="321"/>
      <c r="E198" s="321"/>
      <c r="F198" s="306">
        <f t="shared" ref="F198:F217" si="80">G198/B198</f>
        <v>0</v>
      </c>
      <c r="G198" s="305">
        <f>IF($A$194='4. LISTAS'!$C$35,IF(V198="sim",AD198/(1-AG198),AD198/(1-AG198-(H198*(1+J198)))),IF($A$194='4. LISTAS'!$C$36,(AD198/(1-AG198-(H198*(1+J198)))),IF($A$194='4. LISTAS'!$C$37,(AB198/(1-AC198-AH198)),"Erro")))</f>
        <v>0</v>
      </c>
      <c r="H198" s="320">
        <f>IF(AND($A$194='4. LISTAS'!$C$35,'Fornec. TAGNA'!U198="Sim"),0,IF(OR($A$194='4. LISTAS'!$C$35, $A$194='4. LISTAS'!$C$36),(VLOOKUP('1.DASHBOARD'!$B$8,'4. LISTAS'!$F$2:$G$11,2,FALSE)),0))</f>
        <v>0.18</v>
      </c>
      <c r="I198" s="305">
        <f t="shared" si="77"/>
        <v>0</v>
      </c>
      <c r="J198" s="319">
        <f>VLOOKUP($A$194,'4. LISTAS'!$C$35:$F$37,4,0)</f>
        <v>0.1125</v>
      </c>
      <c r="K198" s="305">
        <f t="shared" si="78"/>
        <v>0</v>
      </c>
      <c r="L198" s="305">
        <f t="shared" si="79"/>
        <v>0</v>
      </c>
      <c r="M198" s="318"/>
      <c r="N198" s="296"/>
      <c r="O198" s="317"/>
      <c r="P198" s="317"/>
      <c r="Q198" s="320">
        <v>0.04</v>
      </c>
      <c r="R198" s="320">
        <v>0.15</v>
      </c>
      <c r="S198" s="320">
        <v>0</v>
      </c>
      <c r="T198" s="305"/>
      <c r="U198" s="316" t="str">
        <f t="shared" ref="U198:U221" si="81">IF(T198="","Não","Sim")</f>
        <v>Não</v>
      </c>
      <c r="V198" s="315" t="s">
        <v>454</v>
      </c>
      <c r="W198" s="296"/>
      <c r="X198" s="314">
        <f t="shared" ref="X198:X222" si="82">B198*P198*Q198</f>
        <v>0</v>
      </c>
      <c r="Y198" s="312">
        <f t="shared" ref="Y198:Y222" si="83">B198*P198*R198</f>
        <v>0</v>
      </c>
      <c r="Z198" s="312">
        <f t="shared" ref="Z198:Z222" si="84">B198*P198*S198</f>
        <v>0</v>
      </c>
      <c r="AA198" s="294">
        <f>IF($A$194='4. LISTAS'!$C$35,(P198*B198+T198+Y198+Z198),IF($A$194='4. LISTAS'!$C$36,P198*B198+Y198,IF($A$194='4. LISTAS'!$C$37,P198*B198,"Erro")))</f>
        <v>0</v>
      </c>
      <c r="AB198" s="294">
        <f>IF($A$194='4. LISTAS'!$C$35,IF(V198="sim",AA198,AA198-X198),IF($A$194='4. LISTAS'!$C$36,IF(V198="Sim",AA198-X198,AA198-X198-Y198),IF($A$194='4. LISTAS'!$C$37,AA198,"erro")))</f>
        <v>0</v>
      </c>
      <c r="AC198" s="325">
        <f>'1.DASHBOARD'!$B$14+'1.DASHBOARD'!$B$16</f>
        <v>0.30349999999999999</v>
      </c>
      <c r="AD198" s="294">
        <f t="shared" ref="AD198:AD221" si="85">AB198/(1-AC198)</f>
        <v>0</v>
      </c>
      <c r="AE198" s="312">
        <f t="shared" ref="AE198:AE221" si="86">X198</f>
        <v>0</v>
      </c>
      <c r="AF198" s="312">
        <f t="shared" ref="AF198:AF221" si="87">Y198</f>
        <v>0</v>
      </c>
      <c r="AG198" s="311">
        <f>'4. LISTAS'!$M$6</f>
        <v>5.9299999999999999E-2</v>
      </c>
      <c r="AH198" s="310">
        <f>'4. LISTAS'!$M$5</f>
        <v>0.17</v>
      </c>
      <c r="AI198" s="296"/>
      <c r="AJ198" s="324"/>
      <c r="AK198" s="324"/>
      <c r="AL198" s="324"/>
    </row>
    <row r="199" spans="1:38" x14ac:dyDescent="0.2">
      <c r="A199" s="323" t="s">
        <v>581</v>
      </c>
      <c r="B199" s="323">
        <v>1</v>
      </c>
      <c r="C199" s="321"/>
      <c r="D199" s="321"/>
      <c r="E199" s="321"/>
      <c r="F199" s="306">
        <f t="shared" si="80"/>
        <v>0</v>
      </c>
      <c r="G199" s="305">
        <f>IF($A$194='4. LISTAS'!$C$35,IF(V199="sim",AD199/(1-AG199),AD199/(1-AG199-(H199*(1+J199)))),IF($A$194='4. LISTAS'!$C$36,(AD199/(1-AG199-(H199*(1+J199)))),IF($A$194='4. LISTAS'!$C$37,(AB199/(1-AC199-AH199)),"Erro")))</f>
        <v>0</v>
      </c>
      <c r="H199" s="320">
        <f>IF(AND($A$194='4. LISTAS'!$C$35,'Fornec. TAGNA'!U199="Sim"),0,IF(OR($A$194='4. LISTAS'!$C$35, $A$194='4. LISTAS'!$C$36),(VLOOKUP('1.DASHBOARD'!$B$8,'4. LISTAS'!$F$2:$G$11,2,FALSE)),0))</f>
        <v>0.18</v>
      </c>
      <c r="I199" s="305">
        <f t="shared" si="77"/>
        <v>0</v>
      </c>
      <c r="J199" s="319">
        <f>VLOOKUP($A$194,'4. LISTAS'!$C$35:$F$37,4,0)</f>
        <v>0.1125</v>
      </c>
      <c r="K199" s="305">
        <f t="shared" si="78"/>
        <v>0</v>
      </c>
      <c r="L199" s="305">
        <f t="shared" si="79"/>
        <v>0</v>
      </c>
      <c r="M199" s="318"/>
      <c r="N199" s="296"/>
      <c r="O199" s="317"/>
      <c r="P199" s="317"/>
      <c r="Q199" s="320">
        <v>0.04</v>
      </c>
      <c r="R199" s="320">
        <v>0.15</v>
      </c>
      <c r="S199" s="320">
        <v>0</v>
      </c>
      <c r="T199" s="305"/>
      <c r="U199" s="316" t="str">
        <f t="shared" si="81"/>
        <v>Não</v>
      </c>
      <c r="V199" s="315" t="s">
        <v>454</v>
      </c>
      <c r="W199" s="296"/>
      <c r="X199" s="314">
        <f t="shared" si="82"/>
        <v>0</v>
      </c>
      <c r="Y199" s="312">
        <f t="shared" si="83"/>
        <v>0</v>
      </c>
      <c r="Z199" s="312">
        <f t="shared" si="84"/>
        <v>0</v>
      </c>
      <c r="AA199" s="294">
        <f>IF($A$194='4. LISTAS'!$C$35,(P199*B199+T199+Y199+Z199),IF($A$194='4. LISTAS'!$C$36,P199*B199+Y199,IF($A$194='4. LISTAS'!$C$37,P199*B199,"Erro")))</f>
        <v>0</v>
      </c>
      <c r="AB199" s="294">
        <f>IF($A$194='4. LISTAS'!$C$35,IF(V199="sim",AA199,AA199-X199),IF($A$194='4. LISTAS'!$C$36,IF(V199="Sim",AA199-X199,AA199-X199-Y199),IF($A$194='4. LISTAS'!$C$37,AA199,"erro")))</f>
        <v>0</v>
      </c>
      <c r="AC199" s="313">
        <f t="shared" ref="AC199:AC217" si="88">AC198</f>
        <v>0.30349999999999999</v>
      </c>
      <c r="AD199" s="294">
        <f t="shared" si="85"/>
        <v>0</v>
      </c>
      <c r="AE199" s="312">
        <f t="shared" si="86"/>
        <v>0</v>
      </c>
      <c r="AF199" s="312">
        <f t="shared" si="87"/>
        <v>0</v>
      </c>
      <c r="AG199" s="311">
        <f>'4. LISTAS'!$M$6</f>
        <v>5.9299999999999999E-2</v>
      </c>
      <c r="AH199" s="310">
        <f>'4. LISTAS'!$M$5</f>
        <v>0.17</v>
      </c>
    </row>
    <row r="200" spans="1:38" x14ac:dyDescent="0.2">
      <c r="A200" s="323" t="s">
        <v>580</v>
      </c>
      <c r="B200" s="323">
        <v>1</v>
      </c>
      <c r="C200" s="321"/>
      <c r="D200" s="321"/>
      <c r="E200" s="321"/>
      <c r="F200" s="306">
        <f t="shared" si="80"/>
        <v>0</v>
      </c>
      <c r="G200" s="305">
        <f>IF($A$194='4. LISTAS'!$C$35,IF(V200="sim",AD200/(1-AG200),AD200/(1-AG200-(H200*(1+J200)))),IF($A$194='4. LISTAS'!$C$36,(AD200/(1-AG200-(H200*(1+J200)))),IF($A$194='4. LISTAS'!$C$37,(AB200/(1-AC200-AH200)),"Erro")))</f>
        <v>0</v>
      </c>
      <c r="H200" s="320">
        <f>IF(AND($A$194='4. LISTAS'!$C$35,'Fornec. TAGNA'!U200="Sim"),0,IF(OR($A$194='4. LISTAS'!$C$35, $A$194='4. LISTAS'!$C$36),(VLOOKUP('1.DASHBOARD'!$B$8,'4. LISTAS'!$F$2:$G$11,2,FALSE)),0))</f>
        <v>0.18</v>
      </c>
      <c r="I200" s="305">
        <f t="shared" si="77"/>
        <v>0</v>
      </c>
      <c r="J200" s="319">
        <f>VLOOKUP($A$194,'4. LISTAS'!$C$35:$F$37,4,0)</f>
        <v>0.1125</v>
      </c>
      <c r="K200" s="305">
        <f t="shared" si="78"/>
        <v>0</v>
      </c>
      <c r="L200" s="305">
        <f t="shared" si="79"/>
        <v>0</v>
      </c>
      <c r="M200" s="318"/>
      <c r="N200" s="296"/>
      <c r="O200" s="317"/>
      <c r="P200" s="317"/>
      <c r="Q200" s="320">
        <v>0.04</v>
      </c>
      <c r="R200" s="320">
        <v>0.15</v>
      </c>
      <c r="S200" s="320">
        <v>0</v>
      </c>
      <c r="T200" s="305"/>
      <c r="U200" s="316" t="str">
        <f t="shared" si="81"/>
        <v>Não</v>
      </c>
      <c r="V200" s="315" t="s">
        <v>454</v>
      </c>
      <c r="W200" s="296"/>
      <c r="X200" s="314">
        <f t="shared" si="82"/>
        <v>0</v>
      </c>
      <c r="Y200" s="312">
        <f t="shared" si="83"/>
        <v>0</v>
      </c>
      <c r="Z200" s="312">
        <f t="shared" si="84"/>
        <v>0</v>
      </c>
      <c r="AA200" s="294">
        <f>IF($A$194='4. LISTAS'!$C$35,(P200*B200+T200+Y200+Z200),IF($A$194='4. LISTAS'!$C$36,P200*B200+Y200,IF($A$194='4. LISTAS'!$C$37,P200*B200,"Erro")))</f>
        <v>0</v>
      </c>
      <c r="AB200" s="294">
        <f>IF($A$194='4. LISTAS'!$C$35,IF(V200="sim",AA200,AA200-X200),IF($A$194='4. LISTAS'!$C$36,IF(V200="Sim",AA200-X200,AA200-X200-Y200),IF($A$194='4. LISTAS'!$C$37,AA200,"erro")))</f>
        <v>0</v>
      </c>
      <c r="AC200" s="313">
        <f t="shared" si="88"/>
        <v>0.30349999999999999</v>
      </c>
      <c r="AD200" s="294">
        <f t="shared" si="85"/>
        <v>0</v>
      </c>
      <c r="AE200" s="312">
        <f t="shared" si="86"/>
        <v>0</v>
      </c>
      <c r="AF200" s="312">
        <f t="shared" si="87"/>
        <v>0</v>
      </c>
      <c r="AG200" s="311">
        <f>'4. LISTAS'!$M$6</f>
        <v>5.9299999999999999E-2</v>
      </c>
      <c r="AH200" s="310">
        <f>'4. LISTAS'!$M$5</f>
        <v>0.17</v>
      </c>
    </row>
    <row r="201" spans="1:38" x14ac:dyDescent="0.2">
      <c r="A201" s="323" t="s">
        <v>579</v>
      </c>
      <c r="B201" s="323">
        <v>1</v>
      </c>
      <c r="C201" s="321"/>
      <c r="D201" s="321"/>
      <c r="E201" s="321"/>
      <c r="F201" s="306">
        <f t="shared" si="80"/>
        <v>0</v>
      </c>
      <c r="G201" s="305">
        <f>IF($A$194='4. LISTAS'!$C$35,IF(V201="sim",AD201/(1-AG201),AD201/(1-AG201-(H201*(1+J201)))),IF($A$194='4. LISTAS'!$C$36,(AD201/(1-AG201-(H201*(1+J201)))),IF($A$194='4. LISTAS'!$C$37,(AB201/(1-AC201-AH201)),"Erro")))</f>
        <v>0</v>
      </c>
      <c r="H201" s="320">
        <f>IF(AND($A$194='4. LISTAS'!$C$35,'Fornec. TAGNA'!U201="Sim"),0,IF(OR($A$194='4. LISTAS'!$C$35, $A$194='4. LISTAS'!$C$36),(VLOOKUP('1.DASHBOARD'!$B$8,'4. LISTAS'!$F$2:$G$11,2,FALSE)),0))</f>
        <v>0.18</v>
      </c>
      <c r="I201" s="305">
        <f t="shared" si="77"/>
        <v>0</v>
      </c>
      <c r="J201" s="319">
        <f>VLOOKUP($A$194,'4. LISTAS'!$C$35:$F$37,4,0)</f>
        <v>0.1125</v>
      </c>
      <c r="K201" s="305">
        <f t="shared" si="78"/>
        <v>0</v>
      </c>
      <c r="L201" s="305">
        <f t="shared" si="79"/>
        <v>0</v>
      </c>
      <c r="M201" s="318"/>
      <c r="N201" s="296"/>
      <c r="O201" s="317"/>
      <c r="P201" s="317"/>
      <c r="Q201" s="320">
        <v>0.04</v>
      </c>
      <c r="R201" s="320">
        <v>0.15</v>
      </c>
      <c r="S201" s="320">
        <v>0</v>
      </c>
      <c r="T201" s="305"/>
      <c r="U201" s="316" t="str">
        <f t="shared" si="81"/>
        <v>Não</v>
      </c>
      <c r="V201" s="315" t="s">
        <v>454</v>
      </c>
      <c r="W201" s="296"/>
      <c r="X201" s="314">
        <f t="shared" si="82"/>
        <v>0</v>
      </c>
      <c r="Y201" s="312">
        <f t="shared" si="83"/>
        <v>0</v>
      </c>
      <c r="Z201" s="312">
        <f t="shared" si="84"/>
        <v>0</v>
      </c>
      <c r="AA201" s="294">
        <f>IF($A$194='4. LISTAS'!$C$35,(P201*B201+T201+Y201+Z201),IF($A$194='4. LISTAS'!$C$36,P201*B201+Y201,IF($A$194='4. LISTAS'!$C$37,P201*B201,"Erro")))</f>
        <v>0</v>
      </c>
      <c r="AB201" s="294">
        <f>IF($A$194='4. LISTAS'!$C$35,IF(V201="sim",AA201,AA201-X201),IF($A$194='4. LISTAS'!$C$36,IF(V201="Sim",AA201-X201,AA201-X201-Y201),IF($A$194='4. LISTAS'!$C$37,AA201,"erro")))</f>
        <v>0</v>
      </c>
      <c r="AC201" s="313">
        <f t="shared" si="88"/>
        <v>0.30349999999999999</v>
      </c>
      <c r="AD201" s="294">
        <f t="shared" si="85"/>
        <v>0</v>
      </c>
      <c r="AE201" s="312">
        <f t="shared" si="86"/>
        <v>0</v>
      </c>
      <c r="AF201" s="312">
        <f t="shared" si="87"/>
        <v>0</v>
      </c>
      <c r="AG201" s="311">
        <f>'4. LISTAS'!$M$6</f>
        <v>5.9299999999999999E-2</v>
      </c>
      <c r="AH201" s="310">
        <f>'4. LISTAS'!$M$5</f>
        <v>0.17</v>
      </c>
    </row>
    <row r="202" spans="1:38" x14ac:dyDescent="0.2">
      <c r="A202" s="323" t="s">
        <v>578</v>
      </c>
      <c r="B202" s="323">
        <v>1</v>
      </c>
      <c r="C202" s="321"/>
      <c r="D202" s="321"/>
      <c r="E202" s="321"/>
      <c r="F202" s="306">
        <f t="shared" si="80"/>
        <v>0</v>
      </c>
      <c r="G202" s="305">
        <f>IF($A$194='4. LISTAS'!$C$35,IF(V202="sim",AD202/(1-AG202),AD202/(1-AG202-(H202*(1+J202)))),IF($A$194='4. LISTAS'!$C$36,(AD202/(1-AG202-(H202*(1+J202)))),IF($A$194='4. LISTAS'!$C$37,(AB202/(1-AC202-AH202)),"Erro")))</f>
        <v>0</v>
      </c>
      <c r="H202" s="320">
        <f>IF(AND($A$194='4. LISTAS'!$C$35,'Fornec. TAGNA'!U202="Sim"),0,IF(OR($A$194='4. LISTAS'!$C$35, $A$194='4. LISTAS'!$C$36),(VLOOKUP('1.DASHBOARD'!$B$8,'4. LISTAS'!$F$2:$G$11,2,FALSE)),0))</f>
        <v>0.18</v>
      </c>
      <c r="I202" s="305">
        <f t="shared" si="77"/>
        <v>0</v>
      </c>
      <c r="J202" s="319">
        <f>VLOOKUP($A$194,'4. LISTAS'!$C$35:$F$37,4,0)</f>
        <v>0.1125</v>
      </c>
      <c r="K202" s="305">
        <f t="shared" si="78"/>
        <v>0</v>
      </c>
      <c r="L202" s="305">
        <f t="shared" si="79"/>
        <v>0</v>
      </c>
      <c r="M202" s="318"/>
      <c r="N202" s="296"/>
      <c r="O202" s="317"/>
      <c r="P202" s="317"/>
      <c r="Q202" s="320">
        <v>0.04</v>
      </c>
      <c r="R202" s="320">
        <v>0.15</v>
      </c>
      <c r="S202" s="320">
        <v>0</v>
      </c>
      <c r="T202" s="305"/>
      <c r="U202" s="316" t="str">
        <f t="shared" si="81"/>
        <v>Não</v>
      </c>
      <c r="V202" s="315" t="s">
        <v>454</v>
      </c>
      <c r="W202" s="296"/>
      <c r="X202" s="314">
        <f t="shared" si="82"/>
        <v>0</v>
      </c>
      <c r="Y202" s="312">
        <f t="shared" si="83"/>
        <v>0</v>
      </c>
      <c r="Z202" s="312">
        <f t="shared" si="84"/>
        <v>0</v>
      </c>
      <c r="AA202" s="294">
        <f>IF($A$194='4. LISTAS'!$C$35,(P202*B202+T202+Y202+Z202),IF($A$194='4. LISTAS'!$C$36,P202*B202+Y202,IF($A$194='4. LISTAS'!$C$37,P202*B202,"Erro")))</f>
        <v>0</v>
      </c>
      <c r="AB202" s="294">
        <f>IF($A$194='4. LISTAS'!$C$35,IF(V202="sim",AA202,AA202-X202),IF($A$194='4. LISTAS'!$C$36,IF(V202="Sim",AA202-X202,AA202-X202-Y202),IF($A$194='4. LISTAS'!$C$37,AA202,"erro")))</f>
        <v>0</v>
      </c>
      <c r="AC202" s="313">
        <f t="shared" si="88"/>
        <v>0.30349999999999999</v>
      </c>
      <c r="AD202" s="294">
        <f t="shared" si="85"/>
        <v>0</v>
      </c>
      <c r="AE202" s="312">
        <f t="shared" si="86"/>
        <v>0</v>
      </c>
      <c r="AF202" s="312">
        <f t="shared" si="87"/>
        <v>0</v>
      </c>
      <c r="AG202" s="311">
        <f>'4. LISTAS'!$M$6</f>
        <v>5.9299999999999999E-2</v>
      </c>
      <c r="AH202" s="310">
        <f>'4. LISTAS'!$M$5</f>
        <v>0.17</v>
      </c>
    </row>
    <row r="203" spans="1:38" x14ac:dyDescent="0.2">
      <c r="A203" s="323" t="s">
        <v>577</v>
      </c>
      <c r="B203" s="323">
        <v>1</v>
      </c>
      <c r="C203" s="321"/>
      <c r="D203" s="321"/>
      <c r="E203" s="321"/>
      <c r="F203" s="306">
        <f t="shared" si="80"/>
        <v>0</v>
      </c>
      <c r="G203" s="305">
        <f>IF($A$194='4. LISTAS'!$C$35,IF(V203="sim",AD203/(1-AG203),AD203/(1-AG203-(H203*(1+J203)))),IF($A$194='4. LISTAS'!$C$36,(AD203/(1-AG203-(H203*(1+J203)))),IF($A$194='4. LISTAS'!$C$37,(AB203/(1-AC203-AH203)),"Erro")))</f>
        <v>0</v>
      </c>
      <c r="H203" s="320">
        <f>IF(AND($A$194='4. LISTAS'!$C$35,'Fornec. TAGNA'!U203="Sim"),0,IF(OR($A$194='4. LISTAS'!$C$35, $A$194='4. LISTAS'!$C$36),(VLOOKUP('1.DASHBOARD'!$B$8,'4. LISTAS'!$F$2:$G$11,2,FALSE)),0))</f>
        <v>0.18</v>
      </c>
      <c r="I203" s="305">
        <f t="shared" si="77"/>
        <v>0</v>
      </c>
      <c r="J203" s="319">
        <f>VLOOKUP($A$194,'4. LISTAS'!$C$35:$F$37,4,0)</f>
        <v>0.1125</v>
      </c>
      <c r="K203" s="305">
        <f t="shared" si="78"/>
        <v>0</v>
      </c>
      <c r="L203" s="305">
        <f t="shared" si="79"/>
        <v>0</v>
      </c>
      <c r="M203" s="318"/>
      <c r="N203" s="296"/>
      <c r="O203" s="317"/>
      <c r="P203" s="317"/>
      <c r="Q203" s="320">
        <v>0.04</v>
      </c>
      <c r="R203" s="320">
        <v>0.15</v>
      </c>
      <c r="S203" s="320">
        <v>0</v>
      </c>
      <c r="T203" s="305"/>
      <c r="U203" s="316" t="str">
        <f t="shared" si="81"/>
        <v>Não</v>
      </c>
      <c r="V203" s="315" t="s">
        <v>454</v>
      </c>
      <c r="W203" s="296"/>
      <c r="X203" s="314">
        <f t="shared" si="82"/>
        <v>0</v>
      </c>
      <c r="Y203" s="312">
        <f t="shared" si="83"/>
        <v>0</v>
      </c>
      <c r="Z203" s="312">
        <f t="shared" si="84"/>
        <v>0</v>
      </c>
      <c r="AA203" s="294">
        <f>IF($A$194='4. LISTAS'!$C$35,(P203*B203+T203+Y203+Z203),IF($A$194='4. LISTAS'!$C$36,P203*B203+Y203,IF($A$194='4. LISTAS'!$C$37,P203*B203,"Erro")))</f>
        <v>0</v>
      </c>
      <c r="AB203" s="294">
        <f>IF($A$194='4. LISTAS'!$C$35,IF(V203="sim",AA203,AA203-X203),IF($A$194='4. LISTAS'!$C$36,IF(V203="Sim",AA203-X203,AA203-X203-Y203),IF($A$194='4. LISTAS'!$C$37,AA203,"erro")))</f>
        <v>0</v>
      </c>
      <c r="AC203" s="313">
        <f t="shared" si="88"/>
        <v>0.30349999999999999</v>
      </c>
      <c r="AD203" s="294">
        <f t="shared" si="85"/>
        <v>0</v>
      </c>
      <c r="AE203" s="312">
        <f t="shared" si="86"/>
        <v>0</v>
      </c>
      <c r="AF203" s="312">
        <f t="shared" si="87"/>
        <v>0</v>
      </c>
      <c r="AG203" s="311">
        <f>'4. LISTAS'!$M$6</f>
        <v>5.9299999999999999E-2</v>
      </c>
      <c r="AH203" s="310">
        <f>'4. LISTAS'!$M$5</f>
        <v>0.17</v>
      </c>
    </row>
    <row r="204" spans="1:38" x14ac:dyDescent="0.2">
      <c r="A204" s="323" t="s">
        <v>576</v>
      </c>
      <c r="B204" s="323">
        <v>1</v>
      </c>
      <c r="C204" s="321"/>
      <c r="D204" s="321"/>
      <c r="E204" s="321"/>
      <c r="F204" s="306">
        <f t="shared" si="80"/>
        <v>0</v>
      </c>
      <c r="G204" s="305">
        <f>IF($A$194='4. LISTAS'!$C$35,IF(V204="sim",AD204/(1-AG204),AD204/(1-AG204-(H204*(1+J204)))),IF($A$194='4. LISTAS'!$C$36,(AD204/(1-AG204-(H204*(1+J204)))),IF($A$194='4. LISTAS'!$C$37,(AB204/(1-AC204-AH204)),"Erro")))</f>
        <v>0</v>
      </c>
      <c r="H204" s="320">
        <f>IF(AND($A$194='4. LISTAS'!$C$35,'Fornec. TAGNA'!U204="Sim"),0,IF(OR($A$194='4. LISTAS'!$C$35, $A$194='4. LISTAS'!$C$36),(VLOOKUP('1.DASHBOARD'!$B$8,'4. LISTAS'!$F$2:$G$11,2,FALSE)),0))</f>
        <v>0.18</v>
      </c>
      <c r="I204" s="305">
        <f t="shared" si="77"/>
        <v>0</v>
      </c>
      <c r="J204" s="319">
        <f>VLOOKUP($A$194,'4. LISTAS'!$C$35:$F$37,4,0)</f>
        <v>0.1125</v>
      </c>
      <c r="K204" s="305">
        <f t="shared" si="78"/>
        <v>0</v>
      </c>
      <c r="L204" s="305">
        <f t="shared" si="79"/>
        <v>0</v>
      </c>
      <c r="M204" s="318"/>
      <c r="N204" s="296"/>
      <c r="O204" s="317"/>
      <c r="P204" s="317"/>
      <c r="Q204" s="320">
        <v>0.04</v>
      </c>
      <c r="R204" s="320">
        <v>0.15</v>
      </c>
      <c r="S204" s="320">
        <v>0</v>
      </c>
      <c r="T204" s="305"/>
      <c r="U204" s="316" t="str">
        <f t="shared" si="81"/>
        <v>Não</v>
      </c>
      <c r="V204" s="315" t="s">
        <v>454</v>
      </c>
      <c r="W204" s="296"/>
      <c r="X204" s="314">
        <f t="shared" si="82"/>
        <v>0</v>
      </c>
      <c r="Y204" s="312">
        <f t="shared" si="83"/>
        <v>0</v>
      </c>
      <c r="Z204" s="312">
        <f t="shared" si="84"/>
        <v>0</v>
      </c>
      <c r="AA204" s="294">
        <f>IF($A$194='4. LISTAS'!$C$35,(P204*B204+T204+Y204+Z204),IF($A$194='4. LISTAS'!$C$36,P204*B204+Y204,IF($A$194='4. LISTAS'!$C$37,P204*B204,"Erro")))</f>
        <v>0</v>
      </c>
      <c r="AB204" s="294">
        <f>IF($A$194='4. LISTAS'!$C$35,IF(V204="sim",AA204,AA204-X204),IF($A$194='4. LISTAS'!$C$36,IF(V204="Sim",AA204-X204,AA204-X204-Y204),IF($A$194='4. LISTAS'!$C$37,AA204,"erro")))</f>
        <v>0</v>
      </c>
      <c r="AC204" s="313">
        <f t="shared" si="88"/>
        <v>0.30349999999999999</v>
      </c>
      <c r="AD204" s="294">
        <f t="shared" si="85"/>
        <v>0</v>
      </c>
      <c r="AE204" s="312">
        <f t="shared" si="86"/>
        <v>0</v>
      </c>
      <c r="AF204" s="312">
        <f t="shared" si="87"/>
        <v>0</v>
      </c>
      <c r="AG204" s="311">
        <f>'4. LISTAS'!$M$6</f>
        <v>5.9299999999999999E-2</v>
      </c>
      <c r="AH204" s="310">
        <f>'4. LISTAS'!$M$5</f>
        <v>0.17</v>
      </c>
    </row>
    <row r="205" spans="1:38" x14ac:dyDescent="0.2">
      <c r="A205" s="323" t="s">
        <v>575</v>
      </c>
      <c r="B205" s="323">
        <v>1</v>
      </c>
      <c r="C205" s="321"/>
      <c r="D205" s="321"/>
      <c r="E205" s="321"/>
      <c r="F205" s="306">
        <f t="shared" si="80"/>
        <v>0</v>
      </c>
      <c r="G205" s="305">
        <f>IF($A$194='4. LISTAS'!$C$35,IF(V205="sim",AD205/(1-AG205),AD205/(1-AG205-(H205*(1+J205)))),IF($A$194='4. LISTAS'!$C$36,(AD205/(1-AG205-(H205*(1+J205)))),IF($A$194='4. LISTAS'!$C$37,(AB205/(1-AC205-AH205)),"Erro")))</f>
        <v>0</v>
      </c>
      <c r="H205" s="320">
        <f>IF(AND($A$194='4. LISTAS'!$C$35,'Fornec. TAGNA'!U205="Sim"),0,IF(OR($A$194='4. LISTAS'!$C$35, $A$194='4. LISTAS'!$C$36),(VLOOKUP('1.DASHBOARD'!$B$8,'4. LISTAS'!$F$2:$G$11,2,FALSE)),0))</f>
        <v>0.18</v>
      </c>
      <c r="I205" s="305">
        <f t="shared" si="77"/>
        <v>0</v>
      </c>
      <c r="J205" s="319">
        <f>VLOOKUP($A$194,'4. LISTAS'!$C$35:$F$37,4,0)</f>
        <v>0.1125</v>
      </c>
      <c r="K205" s="305">
        <f t="shared" si="78"/>
        <v>0</v>
      </c>
      <c r="L205" s="305">
        <f t="shared" si="79"/>
        <v>0</v>
      </c>
      <c r="M205" s="318"/>
      <c r="N205" s="296"/>
      <c r="O205" s="317"/>
      <c r="P205" s="317"/>
      <c r="Q205" s="320">
        <v>0.04</v>
      </c>
      <c r="R205" s="320">
        <v>0.15</v>
      </c>
      <c r="S205" s="320">
        <v>0</v>
      </c>
      <c r="T205" s="305"/>
      <c r="U205" s="316" t="str">
        <f t="shared" si="81"/>
        <v>Não</v>
      </c>
      <c r="V205" s="315" t="s">
        <v>454</v>
      </c>
      <c r="W205" s="296"/>
      <c r="X205" s="314">
        <f t="shared" si="82"/>
        <v>0</v>
      </c>
      <c r="Y205" s="312">
        <f t="shared" si="83"/>
        <v>0</v>
      </c>
      <c r="Z205" s="312">
        <f t="shared" si="84"/>
        <v>0</v>
      </c>
      <c r="AA205" s="294">
        <f>IF($A$194='4. LISTAS'!$C$35,(P205*B205+T205+Y205+Z205),IF($A$194='4. LISTAS'!$C$36,P205*B205+Y205,IF($A$194='4. LISTAS'!$C$37,P205*B205,"Erro")))</f>
        <v>0</v>
      </c>
      <c r="AB205" s="294">
        <f>IF($A$194='4. LISTAS'!$C$35,IF(V205="sim",AA205,AA205-X205),IF($A$194='4. LISTAS'!$C$36,IF(V205="Sim",AA205-X205,AA205-X205-Y205),IF($A$194='4. LISTAS'!$C$37,AA205,"erro")))</f>
        <v>0</v>
      </c>
      <c r="AC205" s="313">
        <f t="shared" si="88"/>
        <v>0.30349999999999999</v>
      </c>
      <c r="AD205" s="294">
        <f t="shared" si="85"/>
        <v>0</v>
      </c>
      <c r="AE205" s="312">
        <f t="shared" si="86"/>
        <v>0</v>
      </c>
      <c r="AF205" s="312">
        <f t="shared" si="87"/>
        <v>0</v>
      </c>
      <c r="AG205" s="311">
        <f>'4. LISTAS'!$M$6</f>
        <v>5.9299999999999999E-2</v>
      </c>
      <c r="AH205" s="310">
        <f>'4. LISTAS'!$M$5</f>
        <v>0.17</v>
      </c>
    </row>
    <row r="206" spans="1:38" x14ac:dyDescent="0.2">
      <c r="A206" s="323" t="s">
        <v>574</v>
      </c>
      <c r="B206" s="323">
        <v>1</v>
      </c>
      <c r="C206" s="321"/>
      <c r="D206" s="321"/>
      <c r="E206" s="321"/>
      <c r="F206" s="306">
        <f t="shared" si="80"/>
        <v>0</v>
      </c>
      <c r="G206" s="305">
        <f>IF($A$194='4. LISTAS'!$C$35,IF(V206="sim",AD206/(1-AG206),AD206/(1-AG206-(H206*(1+J206)))),IF($A$194='4. LISTAS'!$C$36,(AD206/(1-AG206-(H206*(1+J206)))),IF($A$194='4. LISTAS'!$C$37,(AB206/(1-AC206-AH206)),"Erro")))</f>
        <v>0</v>
      </c>
      <c r="H206" s="320">
        <f>IF(AND($A$194='4. LISTAS'!$C$35,'Fornec. TAGNA'!U206="Sim"),0,IF(OR($A$194='4. LISTAS'!$C$35, $A$194='4. LISTAS'!$C$36),(VLOOKUP('1.DASHBOARD'!$B$8,'4. LISTAS'!$F$2:$G$11,2,FALSE)),0))</f>
        <v>0.18</v>
      </c>
      <c r="I206" s="305">
        <f t="shared" si="77"/>
        <v>0</v>
      </c>
      <c r="J206" s="319">
        <f>VLOOKUP($A$194,'4. LISTAS'!$C$35:$F$37,4,0)</f>
        <v>0.1125</v>
      </c>
      <c r="K206" s="305">
        <f t="shared" si="78"/>
        <v>0</v>
      </c>
      <c r="L206" s="305">
        <f t="shared" si="79"/>
        <v>0</v>
      </c>
      <c r="M206" s="318"/>
      <c r="N206" s="296"/>
      <c r="O206" s="317"/>
      <c r="P206" s="317"/>
      <c r="Q206" s="320">
        <v>0.04</v>
      </c>
      <c r="R206" s="320">
        <v>0.15</v>
      </c>
      <c r="S206" s="320">
        <v>0</v>
      </c>
      <c r="T206" s="305"/>
      <c r="U206" s="316" t="str">
        <f t="shared" si="81"/>
        <v>Não</v>
      </c>
      <c r="V206" s="315" t="s">
        <v>454</v>
      </c>
      <c r="W206" s="296"/>
      <c r="X206" s="314">
        <f t="shared" si="82"/>
        <v>0</v>
      </c>
      <c r="Y206" s="312">
        <f t="shared" si="83"/>
        <v>0</v>
      </c>
      <c r="Z206" s="312">
        <f t="shared" si="84"/>
        <v>0</v>
      </c>
      <c r="AA206" s="294">
        <f>IF($A$194='4. LISTAS'!$C$35,(P206*B206+T206+Y206+Z206),IF($A$194='4. LISTAS'!$C$36,P206*B206+Y206,IF($A$194='4. LISTAS'!$C$37,P206*B206,"Erro")))</f>
        <v>0</v>
      </c>
      <c r="AB206" s="294">
        <f>IF($A$194='4. LISTAS'!$C$35,IF(V206="sim",AA206,AA206-X206),IF($A$194='4. LISTAS'!$C$36,IF(V206="Sim",AA206-X206,AA206-X206-Y206),IF($A$194='4. LISTAS'!$C$37,AA206,"erro")))</f>
        <v>0</v>
      </c>
      <c r="AC206" s="313">
        <f t="shared" si="88"/>
        <v>0.30349999999999999</v>
      </c>
      <c r="AD206" s="294">
        <f t="shared" si="85"/>
        <v>0</v>
      </c>
      <c r="AE206" s="312">
        <f t="shared" si="86"/>
        <v>0</v>
      </c>
      <c r="AF206" s="312">
        <f t="shared" si="87"/>
        <v>0</v>
      </c>
      <c r="AG206" s="311">
        <f>'4. LISTAS'!$M$6</f>
        <v>5.9299999999999999E-2</v>
      </c>
      <c r="AH206" s="310">
        <f>'4. LISTAS'!$M$5</f>
        <v>0.17</v>
      </c>
    </row>
    <row r="207" spans="1:38" x14ac:dyDescent="0.2">
      <c r="A207" s="323" t="s">
        <v>573</v>
      </c>
      <c r="B207" s="323">
        <v>1</v>
      </c>
      <c r="C207" s="321"/>
      <c r="D207" s="321"/>
      <c r="E207" s="321"/>
      <c r="F207" s="306">
        <f t="shared" si="80"/>
        <v>0</v>
      </c>
      <c r="G207" s="305">
        <f>IF($A$194='4. LISTAS'!$C$35,IF(V207="sim",AD207/(1-AG207),AD207/(1-AG207-(H207*(1+J207)))),IF($A$194='4. LISTAS'!$C$36,(AD207/(1-AG207-(H207*(1+J207)))),IF($A$194='4. LISTAS'!$C$37,(AB207/(1-AC207-AH207)),"Erro")))</f>
        <v>0</v>
      </c>
      <c r="H207" s="320">
        <f>IF(AND($A$194='4. LISTAS'!$C$35,'Fornec. TAGNA'!U207="Sim"),0,IF(OR($A$194='4. LISTAS'!$C$35, $A$194='4. LISTAS'!$C$36),(VLOOKUP('1.DASHBOARD'!$B$8,'4. LISTAS'!$F$2:$G$11,2,FALSE)),0))</f>
        <v>0.18</v>
      </c>
      <c r="I207" s="305">
        <f t="shared" si="77"/>
        <v>0</v>
      </c>
      <c r="J207" s="319">
        <f>VLOOKUP($A$194,'4. LISTAS'!$C$35:$F$37,4,0)</f>
        <v>0.1125</v>
      </c>
      <c r="K207" s="305">
        <f t="shared" si="78"/>
        <v>0</v>
      </c>
      <c r="L207" s="305">
        <f t="shared" si="79"/>
        <v>0</v>
      </c>
      <c r="M207" s="318"/>
      <c r="N207" s="296"/>
      <c r="O207" s="317"/>
      <c r="P207" s="317"/>
      <c r="Q207" s="320">
        <v>0.04</v>
      </c>
      <c r="R207" s="320">
        <v>0.15</v>
      </c>
      <c r="S207" s="320">
        <v>0</v>
      </c>
      <c r="T207" s="305"/>
      <c r="U207" s="316" t="str">
        <f t="shared" si="81"/>
        <v>Não</v>
      </c>
      <c r="V207" s="315" t="s">
        <v>454</v>
      </c>
      <c r="W207" s="296"/>
      <c r="X207" s="314">
        <f t="shared" si="82"/>
        <v>0</v>
      </c>
      <c r="Y207" s="312">
        <f t="shared" si="83"/>
        <v>0</v>
      </c>
      <c r="Z207" s="312">
        <f t="shared" si="84"/>
        <v>0</v>
      </c>
      <c r="AA207" s="294">
        <f>IF($A$194='4. LISTAS'!$C$35,(P207*B207+T207+Y207+Z207),IF($A$194='4. LISTAS'!$C$36,P207*B207+Y207,IF($A$194='4. LISTAS'!$C$37,P207*B207,"Erro")))</f>
        <v>0</v>
      </c>
      <c r="AB207" s="294">
        <f>IF($A$194='4. LISTAS'!$C$35,IF(V207="sim",AA207,AA207-X207),IF($A$194='4. LISTAS'!$C$36,IF(V207="Sim",AA207-X207,AA207-X207-Y207),IF($A$194='4. LISTAS'!$C$37,AA207,"erro")))</f>
        <v>0</v>
      </c>
      <c r="AC207" s="313">
        <f t="shared" si="88"/>
        <v>0.30349999999999999</v>
      </c>
      <c r="AD207" s="294">
        <f t="shared" si="85"/>
        <v>0</v>
      </c>
      <c r="AE207" s="312">
        <f t="shared" si="86"/>
        <v>0</v>
      </c>
      <c r="AF207" s="312">
        <f t="shared" si="87"/>
        <v>0</v>
      </c>
      <c r="AG207" s="311">
        <f>'4. LISTAS'!$M$6</f>
        <v>5.9299999999999999E-2</v>
      </c>
      <c r="AH207" s="310">
        <f>'4. LISTAS'!$M$5</f>
        <v>0.17</v>
      </c>
    </row>
    <row r="208" spans="1:38" x14ac:dyDescent="0.2">
      <c r="A208" s="323" t="s">
        <v>572</v>
      </c>
      <c r="B208" s="323">
        <v>1</v>
      </c>
      <c r="C208" s="321"/>
      <c r="D208" s="321"/>
      <c r="E208" s="321"/>
      <c r="F208" s="306">
        <f t="shared" si="80"/>
        <v>0</v>
      </c>
      <c r="G208" s="305">
        <f>IF($A$194='4. LISTAS'!$C$35,IF(V208="sim",AD208/(1-AG208),AD208/(1-AG208-(H208*(1+J208)))),IF($A$194='4. LISTAS'!$C$36,(AD208/(1-AG208-(H208*(1+J208)))),IF($A$194='4. LISTAS'!$C$37,(AB208/(1-AC208-AH208)),"Erro")))</f>
        <v>0</v>
      </c>
      <c r="H208" s="320">
        <f>IF(AND($A$194='4. LISTAS'!$C$35,'Fornec. TAGNA'!U208="Sim"),0,IF(OR($A$194='4. LISTAS'!$C$35, $A$194='4. LISTAS'!$C$36),(VLOOKUP('1.DASHBOARD'!$B$8,'4. LISTAS'!$F$2:$G$11,2,FALSE)),0))</f>
        <v>0.18</v>
      </c>
      <c r="I208" s="305">
        <f t="shared" si="77"/>
        <v>0</v>
      </c>
      <c r="J208" s="319">
        <f>VLOOKUP($A$194,'4. LISTAS'!$C$35:$F$37,4,0)</f>
        <v>0.1125</v>
      </c>
      <c r="K208" s="305">
        <f t="shared" si="78"/>
        <v>0</v>
      </c>
      <c r="L208" s="305">
        <f t="shared" si="79"/>
        <v>0</v>
      </c>
      <c r="M208" s="318"/>
      <c r="N208" s="296"/>
      <c r="O208" s="317"/>
      <c r="P208" s="317"/>
      <c r="Q208" s="320">
        <v>0.04</v>
      </c>
      <c r="R208" s="320">
        <v>0.15</v>
      </c>
      <c r="S208" s="320">
        <v>0</v>
      </c>
      <c r="T208" s="305"/>
      <c r="U208" s="316" t="str">
        <f t="shared" si="81"/>
        <v>Não</v>
      </c>
      <c r="V208" s="315" t="s">
        <v>454</v>
      </c>
      <c r="W208" s="296"/>
      <c r="X208" s="314">
        <f t="shared" si="82"/>
        <v>0</v>
      </c>
      <c r="Y208" s="312">
        <f t="shared" si="83"/>
        <v>0</v>
      </c>
      <c r="Z208" s="312">
        <f t="shared" si="84"/>
        <v>0</v>
      </c>
      <c r="AA208" s="294">
        <f>IF($A$194='4. LISTAS'!$C$35,(P208*B208+T208+Y208+Z208),IF($A$194='4. LISTAS'!$C$36,P208*B208+Y208,IF($A$194='4. LISTAS'!$C$37,P208*B208,"Erro")))</f>
        <v>0</v>
      </c>
      <c r="AB208" s="294">
        <f>IF($A$194='4. LISTAS'!$C$35,IF(V208="sim",AA208,AA208-X208),IF($A$194='4. LISTAS'!$C$36,IF(V208="Sim",AA208-X208,AA208-X208-Y208),IF($A$194='4. LISTAS'!$C$37,AA208,"erro")))</f>
        <v>0</v>
      </c>
      <c r="AC208" s="313">
        <f t="shared" si="88"/>
        <v>0.30349999999999999</v>
      </c>
      <c r="AD208" s="294">
        <f t="shared" si="85"/>
        <v>0</v>
      </c>
      <c r="AE208" s="312">
        <f t="shared" si="86"/>
        <v>0</v>
      </c>
      <c r="AF208" s="312">
        <f t="shared" si="87"/>
        <v>0</v>
      </c>
      <c r="AG208" s="311">
        <f>'4. LISTAS'!$M$6</f>
        <v>5.9299999999999999E-2</v>
      </c>
      <c r="AH208" s="310">
        <f>'4. LISTAS'!$M$5</f>
        <v>0.17</v>
      </c>
    </row>
    <row r="209" spans="1:38" x14ac:dyDescent="0.2">
      <c r="A209" s="323" t="s">
        <v>571</v>
      </c>
      <c r="B209" s="323">
        <v>1</v>
      </c>
      <c r="C209" s="321"/>
      <c r="D209" s="321"/>
      <c r="E209" s="321"/>
      <c r="F209" s="306">
        <f t="shared" si="80"/>
        <v>0</v>
      </c>
      <c r="G209" s="305">
        <f>IF($A$194='4. LISTAS'!$C$35,IF(V209="sim",AD209/(1-AG209),AD209/(1-AG209-(H209*(1+J209)))),IF($A$194='4. LISTAS'!$C$36,(AD209/(1-AG209-(H209*(1+J209)))),IF($A$194='4. LISTAS'!$C$37,(AB209/(1-AC209-AH209)),"Erro")))</f>
        <v>0</v>
      </c>
      <c r="H209" s="320">
        <f>IF(AND($A$194='4. LISTAS'!$C$35,'Fornec. TAGNA'!U209="Sim"),0,IF(OR($A$194='4. LISTAS'!$C$35, $A$194='4. LISTAS'!$C$36),(VLOOKUP('1.DASHBOARD'!$B$8,'4. LISTAS'!$F$2:$G$11,2,FALSE)),0))</f>
        <v>0.18</v>
      </c>
      <c r="I209" s="305">
        <f t="shared" si="77"/>
        <v>0</v>
      </c>
      <c r="J209" s="319">
        <f>VLOOKUP($A$194,'4. LISTAS'!$C$35:$F$37,4,0)</f>
        <v>0.1125</v>
      </c>
      <c r="K209" s="305">
        <f t="shared" si="78"/>
        <v>0</v>
      </c>
      <c r="L209" s="305">
        <f t="shared" si="79"/>
        <v>0</v>
      </c>
      <c r="M209" s="318"/>
      <c r="N209" s="296"/>
      <c r="O209" s="317"/>
      <c r="P209" s="317"/>
      <c r="Q209" s="320">
        <v>0.04</v>
      </c>
      <c r="R209" s="320">
        <v>0.15</v>
      </c>
      <c r="S209" s="320">
        <v>0</v>
      </c>
      <c r="T209" s="305"/>
      <c r="U209" s="316" t="str">
        <f t="shared" si="81"/>
        <v>Não</v>
      </c>
      <c r="V209" s="315" t="s">
        <v>454</v>
      </c>
      <c r="W209" s="296"/>
      <c r="X209" s="314">
        <f t="shared" si="82"/>
        <v>0</v>
      </c>
      <c r="Y209" s="312">
        <f t="shared" si="83"/>
        <v>0</v>
      </c>
      <c r="Z209" s="312">
        <f t="shared" si="84"/>
        <v>0</v>
      </c>
      <c r="AA209" s="294">
        <f>IF($A$194='4. LISTAS'!$C$35,(P209*B209+T209+Y209+Z209),IF($A$194='4. LISTAS'!$C$36,P209*B209+Y209,IF($A$194='4. LISTAS'!$C$37,P209*B209,"Erro")))</f>
        <v>0</v>
      </c>
      <c r="AB209" s="294">
        <f>IF($A$194='4. LISTAS'!$C$35,IF(V209="sim",AA209,AA209-X209),IF($A$194='4. LISTAS'!$C$36,IF(V209="Sim",AA209-X209,AA209-X209-Y209),IF($A$194='4. LISTAS'!$C$37,AA209,"erro")))</f>
        <v>0</v>
      </c>
      <c r="AC209" s="313">
        <f t="shared" si="88"/>
        <v>0.30349999999999999</v>
      </c>
      <c r="AD209" s="294">
        <f t="shared" si="85"/>
        <v>0</v>
      </c>
      <c r="AE209" s="312">
        <f t="shared" si="86"/>
        <v>0</v>
      </c>
      <c r="AF209" s="312">
        <f t="shared" si="87"/>
        <v>0</v>
      </c>
      <c r="AG209" s="311">
        <f>'4. LISTAS'!$M$6</f>
        <v>5.9299999999999999E-2</v>
      </c>
      <c r="AH209" s="310">
        <f>'4. LISTAS'!$M$5</f>
        <v>0.17</v>
      </c>
    </row>
    <row r="210" spans="1:38" x14ac:dyDescent="0.2">
      <c r="A210" s="323" t="s">
        <v>570</v>
      </c>
      <c r="B210" s="323">
        <v>1</v>
      </c>
      <c r="C210" s="321"/>
      <c r="D210" s="321"/>
      <c r="E210" s="321"/>
      <c r="F210" s="306">
        <f t="shared" si="80"/>
        <v>0</v>
      </c>
      <c r="G210" s="305">
        <f>IF($A$194='4. LISTAS'!$C$35,IF(V210="sim",AD210/(1-AG210),AD210/(1-AG210-(H210*(1+J210)))),IF($A$194='4. LISTAS'!$C$36,(AD210/(1-AG210-(H210*(1+J210)))),IF($A$194='4. LISTAS'!$C$37,(AB210/(1-AC210-AH210)),"Erro")))</f>
        <v>0</v>
      </c>
      <c r="H210" s="320">
        <f>IF(AND($A$194='4. LISTAS'!$C$35,'Fornec. TAGNA'!U210="Sim"),0,IF(OR($A$194='4. LISTAS'!$C$35, $A$194='4. LISTAS'!$C$36),(VLOOKUP('1.DASHBOARD'!$B$8,'4. LISTAS'!$F$2:$G$11,2,FALSE)),0))</f>
        <v>0.18</v>
      </c>
      <c r="I210" s="305">
        <f t="shared" si="77"/>
        <v>0</v>
      </c>
      <c r="J210" s="319">
        <f>VLOOKUP($A$194,'4. LISTAS'!$C$35:$F$37,4,0)</f>
        <v>0.1125</v>
      </c>
      <c r="K210" s="305">
        <f t="shared" si="78"/>
        <v>0</v>
      </c>
      <c r="L210" s="305">
        <f t="shared" si="79"/>
        <v>0</v>
      </c>
      <c r="M210" s="318"/>
      <c r="N210" s="296"/>
      <c r="O210" s="317"/>
      <c r="P210" s="317"/>
      <c r="Q210" s="320">
        <v>0.04</v>
      </c>
      <c r="R210" s="320">
        <v>0.15</v>
      </c>
      <c r="S210" s="320">
        <v>0</v>
      </c>
      <c r="T210" s="305"/>
      <c r="U210" s="316" t="str">
        <f t="shared" si="81"/>
        <v>Não</v>
      </c>
      <c r="V210" s="315" t="s">
        <v>454</v>
      </c>
      <c r="W210" s="296"/>
      <c r="X210" s="314">
        <f t="shared" si="82"/>
        <v>0</v>
      </c>
      <c r="Y210" s="312">
        <f t="shared" si="83"/>
        <v>0</v>
      </c>
      <c r="Z210" s="312">
        <f t="shared" si="84"/>
        <v>0</v>
      </c>
      <c r="AA210" s="294">
        <f>IF($A$194='4. LISTAS'!$C$35,(P210*B210+T210+Y210+Z210),IF($A$194='4. LISTAS'!$C$36,P210*B210+Y210,IF($A$194='4. LISTAS'!$C$37,P210*B210,"Erro")))</f>
        <v>0</v>
      </c>
      <c r="AB210" s="294">
        <f>IF($A$194='4. LISTAS'!$C$35,IF(V210="sim",AA210,AA210-X210),IF($A$194='4. LISTAS'!$C$36,IF(V210="Sim",AA210-X210,AA210-X210-Y210),IF($A$194='4. LISTAS'!$C$37,AA210,"erro")))</f>
        <v>0</v>
      </c>
      <c r="AC210" s="313">
        <f t="shared" si="88"/>
        <v>0.30349999999999999</v>
      </c>
      <c r="AD210" s="294">
        <f t="shared" si="85"/>
        <v>0</v>
      </c>
      <c r="AE210" s="312">
        <f t="shared" si="86"/>
        <v>0</v>
      </c>
      <c r="AF210" s="312">
        <f t="shared" si="87"/>
        <v>0</v>
      </c>
      <c r="AG210" s="311">
        <f>'4. LISTAS'!$M$6</f>
        <v>5.9299999999999999E-2</v>
      </c>
      <c r="AH210" s="310">
        <f>'4. LISTAS'!$M$5</f>
        <v>0.17</v>
      </c>
    </row>
    <row r="211" spans="1:38" x14ac:dyDescent="0.2">
      <c r="A211" s="323" t="s">
        <v>569</v>
      </c>
      <c r="B211" s="323">
        <v>1</v>
      </c>
      <c r="C211" s="321"/>
      <c r="D211" s="321"/>
      <c r="E211" s="321"/>
      <c r="F211" s="306">
        <f t="shared" si="80"/>
        <v>0</v>
      </c>
      <c r="G211" s="305">
        <f>IF($A$194='4. LISTAS'!$C$35,IF(V211="sim",AD211/(1-AG211),AD211/(1-AG211-(H211*(1+J211)))),IF($A$194='4. LISTAS'!$C$36,(AD211/(1-AG211-(H211*(1+J211)))),IF($A$194='4. LISTAS'!$C$37,(AB211/(1-AC211-AH211)),"Erro")))</f>
        <v>0</v>
      </c>
      <c r="H211" s="320">
        <f>IF(AND($A$194='4. LISTAS'!$C$35,'Fornec. TAGNA'!U211="Sim"),0,IF(OR($A$194='4. LISTAS'!$C$35, $A$194='4. LISTAS'!$C$36),(VLOOKUP('1.DASHBOARD'!$B$8,'4. LISTAS'!$F$2:$G$11,2,FALSE)),0))</f>
        <v>0.18</v>
      </c>
      <c r="I211" s="305">
        <f t="shared" si="77"/>
        <v>0</v>
      </c>
      <c r="J211" s="319">
        <f>VLOOKUP($A$194,'4. LISTAS'!$C$35:$F$37,4,0)</f>
        <v>0.1125</v>
      </c>
      <c r="K211" s="305">
        <f t="shared" si="78"/>
        <v>0</v>
      </c>
      <c r="L211" s="305">
        <f t="shared" si="79"/>
        <v>0</v>
      </c>
      <c r="M211" s="318"/>
      <c r="N211" s="296"/>
      <c r="O211" s="317"/>
      <c r="P211" s="317"/>
      <c r="Q211" s="320">
        <v>0.04</v>
      </c>
      <c r="R211" s="320">
        <v>0.15</v>
      </c>
      <c r="S211" s="320">
        <v>0</v>
      </c>
      <c r="T211" s="305"/>
      <c r="U211" s="316" t="str">
        <f t="shared" si="81"/>
        <v>Não</v>
      </c>
      <c r="V211" s="315" t="s">
        <v>454</v>
      </c>
      <c r="W211" s="296"/>
      <c r="X211" s="314">
        <f t="shared" si="82"/>
        <v>0</v>
      </c>
      <c r="Y211" s="312">
        <f t="shared" si="83"/>
        <v>0</v>
      </c>
      <c r="Z211" s="312">
        <f t="shared" si="84"/>
        <v>0</v>
      </c>
      <c r="AA211" s="294">
        <f>IF($A$194='4. LISTAS'!$C$35,(P211*B211+T211+Y211+Z211),IF($A$194='4. LISTAS'!$C$36,P211*B211+Y211,IF($A$194='4. LISTAS'!$C$37,P211*B211,"Erro")))</f>
        <v>0</v>
      </c>
      <c r="AB211" s="294">
        <f>IF($A$194='4. LISTAS'!$C$35,IF(V211="sim",AA211,AA211-X211),IF($A$194='4. LISTAS'!$C$36,IF(V211="Sim",AA211-X211,AA211-X211-Y211),IF($A$194='4. LISTAS'!$C$37,AA211,"erro")))</f>
        <v>0</v>
      </c>
      <c r="AC211" s="313">
        <f t="shared" si="88"/>
        <v>0.30349999999999999</v>
      </c>
      <c r="AD211" s="294">
        <f t="shared" si="85"/>
        <v>0</v>
      </c>
      <c r="AE211" s="312">
        <f t="shared" si="86"/>
        <v>0</v>
      </c>
      <c r="AF211" s="312">
        <f t="shared" si="87"/>
        <v>0</v>
      </c>
      <c r="AG211" s="311">
        <f>'4. LISTAS'!$M$6</f>
        <v>5.9299999999999999E-2</v>
      </c>
      <c r="AH211" s="310">
        <f>'4. LISTAS'!$M$5</f>
        <v>0.17</v>
      </c>
    </row>
    <row r="212" spans="1:38" x14ac:dyDescent="0.2">
      <c r="A212" s="323" t="s">
        <v>568</v>
      </c>
      <c r="B212" s="323">
        <v>1</v>
      </c>
      <c r="C212" s="321"/>
      <c r="D212" s="321"/>
      <c r="E212" s="321"/>
      <c r="F212" s="306">
        <f t="shared" si="80"/>
        <v>0</v>
      </c>
      <c r="G212" s="305">
        <f>IF($A$194='4. LISTAS'!$C$35,IF(V212="sim",AD212/(1-AG212),AD212/(1-AG212-(H212*(1+J212)))),IF($A$194='4. LISTAS'!$C$36,(AD212/(1-AG212-(H212*(1+J212)))),IF($A$194='4. LISTAS'!$C$37,(AB212/(1-AC212-AH212)),"Erro")))</f>
        <v>0</v>
      </c>
      <c r="H212" s="320">
        <f>IF(AND($A$194='4. LISTAS'!$C$35,'Fornec. TAGNA'!U212="Sim"),0,IF(OR($A$194='4. LISTAS'!$C$35, $A$194='4. LISTAS'!$C$36),(VLOOKUP('1.DASHBOARD'!$B$8,'4. LISTAS'!$F$2:$G$11,2,FALSE)),0))</f>
        <v>0.18</v>
      </c>
      <c r="I212" s="305">
        <f t="shared" si="77"/>
        <v>0</v>
      </c>
      <c r="J212" s="319">
        <f>VLOOKUP($A$194,'4. LISTAS'!$C$35:$F$37,4,0)</f>
        <v>0.1125</v>
      </c>
      <c r="K212" s="305">
        <f t="shared" si="78"/>
        <v>0</v>
      </c>
      <c r="L212" s="305">
        <f t="shared" si="79"/>
        <v>0</v>
      </c>
      <c r="M212" s="318"/>
      <c r="N212" s="296"/>
      <c r="O212" s="317"/>
      <c r="P212" s="317"/>
      <c r="Q212" s="320">
        <v>0.04</v>
      </c>
      <c r="R212" s="320">
        <v>0.15</v>
      </c>
      <c r="S212" s="320">
        <v>0</v>
      </c>
      <c r="T212" s="305"/>
      <c r="U212" s="316" t="str">
        <f t="shared" si="81"/>
        <v>Não</v>
      </c>
      <c r="V212" s="315" t="s">
        <v>454</v>
      </c>
      <c r="W212" s="296"/>
      <c r="X212" s="314">
        <f t="shared" si="82"/>
        <v>0</v>
      </c>
      <c r="Y212" s="312">
        <f t="shared" si="83"/>
        <v>0</v>
      </c>
      <c r="Z212" s="312">
        <f t="shared" si="84"/>
        <v>0</v>
      </c>
      <c r="AA212" s="294">
        <f>IF($A$194='4. LISTAS'!$C$35,(P212*B212+T212+Y212+Z212),IF($A$194='4. LISTAS'!$C$36,P212*B212+Y212,IF($A$194='4. LISTAS'!$C$37,P212*B212,"Erro")))</f>
        <v>0</v>
      </c>
      <c r="AB212" s="294">
        <f>IF($A$194='4. LISTAS'!$C$35,IF(V212="sim",AA212,AA212-X212),IF($A$194='4. LISTAS'!$C$36,IF(V212="Sim",AA212-X212,AA212-X212-Y212),IF($A$194='4. LISTAS'!$C$37,AA212,"erro")))</f>
        <v>0</v>
      </c>
      <c r="AC212" s="313">
        <f t="shared" si="88"/>
        <v>0.30349999999999999</v>
      </c>
      <c r="AD212" s="294">
        <f t="shared" si="85"/>
        <v>0</v>
      </c>
      <c r="AE212" s="312">
        <f t="shared" si="86"/>
        <v>0</v>
      </c>
      <c r="AF212" s="312">
        <f t="shared" si="87"/>
        <v>0</v>
      </c>
      <c r="AG212" s="311">
        <f>'4. LISTAS'!$M$6</f>
        <v>5.9299999999999999E-2</v>
      </c>
      <c r="AH212" s="310">
        <f>'4. LISTAS'!$M$5</f>
        <v>0.17</v>
      </c>
    </row>
    <row r="213" spans="1:38" x14ac:dyDescent="0.2">
      <c r="A213" s="323" t="s">
        <v>567</v>
      </c>
      <c r="B213" s="323">
        <v>1</v>
      </c>
      <c r="C213" s="321"/>
      <c r="D213" s="321"/>
      <c r="E213" s="321"/>
      <c r="F213" s="306">
        <f t="shared" si="80"/>
        <v>0</v>
      </c>
      <c r="G213" s="305">
        <f>IF($A$194='4. LISTAS'!$C$35,IF(V213="sim",AD213/(1-AG213),AD213/(1-AG213-(H213*(1+J213)))),IF($A$194='4. LISTAS'!$C$36,(AD213/(1-AG213-(H213*(1+J213)))),IF($A$194='4. LISTAS'!$C$37,(AB213/(1-AC213-AH213)),"Erro")))</f>
        <v>0</v>
      </c>
      <c r="H213" s="320">
        <f>IF(AND($A$194='4. LISTAS'!$C$35,'Fornec. TAGNA'!U213="Sim"),0,IF(OR($A$194='4. LISTAS'!$C$35, $A$194='4. LISTAS'!$C$36),(VLOOKUP('1.DASHBOARD'!$B$8,'4. LISTAS'!$F$2:$G$11,2,FALSE)),0))</f>
        <v>0.18</v>
      </c>
      <c r="I213" s="305">
        <f t="shared" si="77"/>
        <v>0</v>
      </c>
      <c r="J213" s="319">
        <f>VLOOKUP($A$194,'4. LISTAS'!$C$35:$F$37,4,0)</f>
        <v>0.1125</v>
      </c>
      <c r="K213" s="305">
        <f t="shared" si="78"/>
        <v>0</v>
      </c>
      <c r="L213" s="305">
        <f t="shared" si="79"/>
        <v>0</v>
      </c>
      <c r="M213" s="318"/>
      <c r="N213" s="296"/>
      <c r="O213" s="317"/>
      <c r="P213" s="317"/>
      <c r="Q213" s="320">
        <v>0.04</v>
      </c>
      <c r="R213" s="320">
        <v>0.15</v>
      </c>
      <c r="S213" s="320">
        <v>0</v>
      </c>
      <c r="T213" s="305"/>
      <c r="U213" s="316" t="str">
        <f t="shared" si="81"/>
        <v>Não</v>
      </c>
      <c r="V213" s="315" t="s">
        <v>454</v>
      </c>
      <c r="W213" s="296"/>
      <c r="X213" s="314">
        <f t="shared" si="82"/>
        <v>0</v>
      </c>
      <c r="Y213" s="312">
        <f t="shared" si="83"/>
        <v>0</v>
      </c>
      <c r="Z213" s="312">
        <f t="shared" si="84"/>
        <v>0</v>
      </c>
      <c r="AA213" s="294">
        <f>IF($A$194='4. LISTAS'!$C$35,(P213*B213+T213+Y213+Z213),IF($A$194='4. LISTAS'!$C$36,P213*B213+Y213,IF($A$194='4. LISTAS'!$C$37,P213*B213,"Erro")))</f>
        <v>0</v>
      </c>
      <c r="AB213" s="294">
        <f>IF($A$194='4. LISTAS'!$C$35,IF(V213="sim",AA213,AA213-X213),IF($A$194='4. LISTAS'!$C$36,IF(V213="Sim",AA213-X213,AA213-X213-Y213),IF($A$194='4. LISTAS'!$C$37,AA213,"erro")))</f>
        <v>0</v>
      </c>
      <c r="AC213" s="313">
        <f t="shared" si="88"/>
        <v>0.30349999999999999</v>
      </c>
      <c r="AD213" s="294">
        <f t="shared" si="85"/>
        <v>0</v>
      </c>
      <c r="AE213" s="312">
        <f t="shared" si="86"/>
        <v>0</v>
      </c>
      <c r="AF213" s="312">
        <f t="shared" si="87"/>
        <v>0</v>
      </c>
      <c r="AG213" s="311">
        <f>'4. LISTAS'!$M$6</f>
        <v>5.9299999999999999E-2</v>
      </c>
      <c r="AH213" s="310">
        <f>'4. LISTAS'!$M$5</f>
        <v>0.17</v>
      </c>
    </row>
    <row r="214" spans="1:38" x14ac:dyDescent="0.2">
      <c r="A214" s="323" t="s">
        <v>566</v>
      </c>
      <c r="B214" s="323">
        <v>1</v>
      </c>
      <c r="C214" s="321"/>
      <c r="D214" s="321"/>
      <c r="E214" s="321"/>
      <c r="F214" s="306">
        <f t="shared" si="80"/>
        <v>0</v>
      </c>
      <c r="G214" s="305">
        <f>IF($A$194='4. LISTAS'!$C$35,IF(V214="sim",AD214/(1-AG214),AD214/(1-AG214-(H214*(1+J214)))),IF($A$194='4. LISTAS'!$C$36,(AD214/(1-AG214-(H214*(1+J214)))),IF($A$194='4. LISTAS'!$C$37,(AB214/(1-AC214-AH214)),"Erro")))</f>
        <v>0</v>
      </c>
      <c r="H214" s="320">
        <f>IF(AND($A$194='4. LISTAS'!$C$35,'Fornec. TAGNA'!U214="Sim"),0,IF(OR($A$194='4. LISTAS'!$C$35, $A$194='4. LISTAS'!$C$36),(VLOOKUP('1.DASHBOARD'!$B$8,'4. LISTAS'!$F$2:$G$11,2,FALSE)),0))</f>
        <v>0.18</v>
      </c>
      <c r="I214" s="305">
        <f t="shared" si="77"/>
        <v>0</v>
      </c>
      <c r="J214" s="319">
        <f>VLOOKUP($A$194,'4. LISTAS'!$C$35:$F$37,4,0)</f>
        <v>0.1125</v>
      </c>
      <c r="K214" s="305">
        <f t="shared" si="78"/>
        <v>0</v>
      </c>
      <c r="L214" s="305">
        <f t="shared" si="79"/>
        <v>0</v>
      </c>
      <c r="M214" s="318"/>
      <c r="N214" s="296"/>
      <c r="O214" s="317"/>
      <c r="P214" s="317"/>
      <c r="Q214" s="320">
        <v>0.04</v>
      </c>
      <c r="R214" s="320">
        <v>0.15</v>
      </c>
      <c r="S214" s="320">
        <v>0</v>
      </c>
      <c r="T214" s="305"/>
      <c r="U214" s="316" t="str">
        <f t="shared" si="81"/>
        <v>Não</v>
      </c>
      <c r="V214" s="315" t="s">
        <v>454</v>
      </c>
      <c r="W214" s="296"/>
      <c r="X214" s="314">
        <f t="shared" si="82"/>
        <v>0</v>
      </c>
      <c r="Y214" s="312">
        <f t="shared" si="83"/>
        <v>0</v>
      </c>
      <c r="Z214" s="312">
        <f t="shared" si="84"/>
        <v>0</v>
      </c>
      <c r="AA214" s="294">
        <f>IF($A$194='4. LISTAS'!$C$35,(P214*B214+T214+Y214+Z214),IF($A$194='4. LISTAS'!$C$36,P214*B214+Y214,IF($A$194='4. LISTAS'!$C$37,P214*B214,"Erro")))</f>
        <v>0</v>
      </c>
      <c r="AB214" s="294">
        <f>IF($A$194='4. LISTAS'!$C$35,IF(V214="sim",AA214,AA214-X214),IF($A$194='4. LISTAS'!$C$36,IF(V214="Sim",AA214-X214,AA214-X214-Y214),IF($A$194='4. LISTAS'!$C$37,AA214,"erro")))</f>
        <v>0</v>
      </c>
      <c r="AC214" s="313">
        <f t="shared" si="88"/>
        <v>0.30349999999999999</v>
      </c>
      <c r="AD214" s="294">
        <f t="shared" si="85"/>
        <v>0</v>
      </c>
      <c r="AE214" s="312">
        <f t="shared" si="86"/>
        <v>0</v>
      </c>
      <c r="AF214" s="312">
        <f t="shared" si="87"/>
        <v>0</v>
      </c>
      <c r="AG214" s="311">
        <f>'4. LISTAS'!$M$6</f>
        <v>5.9299999999999999E-2</v>
      </c>
      <c r="AH214" s="310">
        <f>'4. LISTAS'!$M$5</f>
        <v>0.17</v>
      </c>
    </row>
    <row r="215" spans="1:38" x14ac:dyDescent="0.2">
      <c r="A215" s="323" t="s">
        <v>565</v>
      </c>
      <c r="B215" s="323">
        <v>1</v>
      </c>
      <c r="C215" s="321"/>
      <c r="D215" s="321"/>
      <c r="E215" s="321"/>
      <c r="F215" s="306">
        <f t="shared" si="80"/>
        <v>0</v>
      </c>
      <c r="G215" s="305">
        <f>IF($A$194='4. LISTAS'!$C$35,IF(V215="sim",AD215/(1-AG215),AD215/(1-AG215-(H215*(1+J215)))),IF($A$194='4. LISTAS'!$C$36,(AD215/(1-AG215-(H215*(1+J215)))),IF($A$194='4. LISTAS'!$C$37,(AB215/(1-AC215-AH215)),"Erro")))</f>
        <v>0</v>
      </c>
      <c r="H215" s="320">
        <f>IF(AND($A$194='4. LISTAS'!$C$35,'Fornec. TAGNA'!U215="Sim"),0,IF(OR($A$194='4. LISTAS'!$C$35, $A$194='4. LISTAS'!$C$36),(VLOOKUP('1.DASHBOARD'!$B$8,'4. LISTAS'!$F$2:$G$11,2,FALSE)),0))</f>
        <v>0.18</v>
      </c>
      <c r="I215" s="305">
        <f t="shared" si="77"/>
        <v>0</v>
      </c>
      <c r="J215" s="319">
        <f>VLOOKUP($A$194,'4. LISTAS'!$C$35:$F$37,4,0)</f>
        <v>0.1125</v>
      </c>
      <c r="K215" s="305">
        <f t="shared" si="78"/>
        <v>0</v>
      </c>
      <c r="L215" s="305">
        <f t="shared" si="79"/>
        <v>0</v>
      </c>
      <c r="M215" s="318"/>
      <c r="N215" s="296"/>
      <c r="O215" s="317"/>
      <c r="P215" s="317"/>
      <c r="Q215" s="320">
        <v>0.04</v>
      </c>
      <c r="R215" s="320">
        <v>0.15</v>
      </c>
      <c r="S215" s="320">
        <v>0</v>
      </c>
      <c r="T215" s="305"/>
      <c r="U215" s="316" t="str">
        <f t="shared" si="81"/>
        <v>Não</v>
      </c>
      <c r="V215" s="315" t="s">
        <v>454</v>
      </c>
      <c r="W215" s="296"/>
      <c r="X215" s="314">
        <f t="shared" si="82"/>
        <v>0</v>
      </c>
      <c r="Y215" s="312">
        <f t="shared" si="83"/>
        <v>0</v>
      </c>
      <c r="Z215" s="312">
        <f t="shared" si="84"/>
        <v>0</v>
      </c>
      <c r="AA215" s="294">
        <f>IF($A$194='4. LISTAS'!$C$35,(P215*B215+T215+Y215+Z215),IF($A$194='4. LISTAS'!$C$36,P215*B215+Y215,IF($A$194='4. LISTAS'!$C$37,P215*B215,"Erro")))</f>
        <v>0</v>
      </c>
      <c r="AB215" s="294">
        <f>IF($A$194='4. LISTAS'!$C$35,IF(V215="sim",AA215,AA215-X215),IF($A$194='4. LISTAS'!$C$36,IF(V215="Sim",AA215-X215,AA215-X215-Y215),IF($A$194='4. LISTAS'!$C$37,AA215,"erro")))</f>
        <v>0</v>
      </c>
      <c r="AC215" s="313">
        <f t="shared" si="88"/>
        <v>0.30349999999999999</v>
      </c>
      <c r="AD215" s="294">
        <f t="shared" si="85"/>
        <v>0</v>
      </c>
      <c r="AE215" s="312">
        <f t="shared" si="86"/>
        <v>0</v>
      </c>
      <c r="AF215" s="312">
        <f t="shared" si="87"/>
        <v>0</v>
      </c>
      <c r="AG215" s="311">
        <f>'4. LISTAS'!$M$6</f>
        <v>5.9299999999999999E-2</v>
      </c>
      <c r="AH215" s="310">
        <f>'4. LISTAS'!$M$5</f>
        <v>0.17</v>
      </c>
      <c r="AI215" s="296"/>
      <c r="AJ215" s="321"/>
      <c r="AK215" s="321"/>
      <c r="AL215" s="321"/>
    </row>
    <row r="216" spans="1:38" x14ac:dyDescent="0.2">
      <c r="A216" s="323" t="s">
        <v>564</v>
      </c>
      <c r="B216" s="323">
        <v>1</v>
      </c>
      <c r="C216" s="321"/>
      <c r="D216" s="321"/>
      <c r="E216" s="321"/>
      <c r="F216" s="306">
        <f t="shared" si="80"/>
        <v>0</v>
      </c>
      <c r="G216" s="305">
        <f>IF($A$194='4. LISTAS'!$C$35,IF(V216="sim",AD216/(1-AG216),AD216/(1-AG216-(H216*(1+J216)))),IF($A$194='4. LISTAS'!$C$36,(AD216/(1-AG216-(H216*(1+J216)))),IF($A$194='4. LISTAS'!$C$37,(AB216/(1-AC216-AH216)),"Erro")))</f>
        <v>0</v>
      </c>
      <c r="H216" s="320">
        <f>IF(AND($A$194='4. LISTAS'!$C$35,'Fornec. TAGNA'!U216="Sim"),0,IF(OR($A$194='4. LISTAS'!$C$35, $A$194='4. LISTAS'!$C$36),(VLOOKUP('1.DASHBOARD'!$B$8,'4. LISTAS'!$F$2:$G$11,2,FALSE)),0))</f>
        <v>0.18</v>
      </c>
      <c r="I216" s="305">
        <f t="shared" si="77"/>
        <v>0</v>
      </c>
      <c r="J216" s="319">
        <f>VLOOKUP($A$194,'4. LISTAS'!$C$35:$F$37,4,0)</f>
        <v>0.1125</v>
      </c>
      <c r="K216" s="305">
        <f t="shared" si="78"/>
        <v>0</v>
      </c>
      <c r="L216" s="305">
        <f t="shared" si="79"/>
        <v>0</v>
      </c>
      <c r="M216" s="318"/>
      <c r="N216" s="296"/>
      <c r="O216" s="317"/>
      <c r="P216" s="317"/>
      <c r="Q216" s="320">
        <v>0.04</v>
      </c>
      <c r="R216" s="320">
        <v>0.15</v>
      </c>
      <c r="S216" s="320">
        <v>0</v>
      </c>
      <c r="T216" s="305"/>
      <c r="U216" s="316" t="str">
        <f t="shared" si="81"/>
        <v>Não</v>
      </c>
      <c r="V216" s="315" t="s">
        <v>454</v>
      </c>
      <c r="W216" s="296"/>
      <c r="X216" s="314">
        <f t="shared" si="82"/>
        <v>0</v>
      </c>
      <c r="Y216" s="312">
        <f t="shared" si="83"/>
        <v>0</v>
      </c>
      <c r="Z216" s="312">
        <f t="shared" si="84"/>
        <v>0</v>
      </c>
      <c r="AA216" s="294">
        <f>IF($A$194='4. LISTAS'!$C$35,(P216*B216+T216+Y216+Z216),IF($A$194='4. LISTAS'!$C$36,P216*B216+Y216,IF($A$194='4. LISTAS'!$C$37,P216*B216,"Erro")))</f>
        <v>0</v>
      </c>
      <c r="AB216" s="294">
        <f>IF($A$194='4. LISTAS'!$C$35,IF(V216="sim",AA216,AA216-X216),IF($A$194='4. LISTAS'!$C$36,IF(V216="Sim",AA216-X216,AA216-X216-Y216),IF($A$194='4. LISTAS'!$C$37,AA216,"erro")))</f>
        <v>0</v>
      </c>
      <c r="AC216" s="313">
        <f t="shared" si="88"/>
        <v>0.30349999999999999</v>
      </c>
      <c r="AD216" s="294">
        <f t="shared" si="85"/>
        <v>0</v>
      </c>
      <c r="AE216" s="312">
        <f t="shared" si="86"/>
        <v>0</v>
      </c>
      <c r="AF216" s="312">
        <f t="shared" si="87"/>
        <v>0</v>
      </c>
      <c r="AG216" s="311">
        <f>'4. LISTAS'!$M$6</f>
        <v>5.9299999999999999E-2</v>
      </c>
      <c r="AH216" s="310">
        <f>'4. LISTAS'!$M$5</f>
        <v>0.17</v>
      </c>
      <c r="AI216" s="296"/>
      <c r="AJ216" s="321"/>
      <c r="AK216" s="321"/>
      <c r="AL216" s="321"/>
    </row>
    <row r="217" spans="1:38" x14ac:dyDescent="0.2">
      <c r="A217" s="323" t="s">
        <v>563</v>
      </c>
      <c r="B217" s="323">
        <v>1</v>
      </c>
      <c r="C217" s="321"/>
      <c r="D217" s="321"/>
      <c r="E217" s="321"/>
      <c r="F217" s="306">
        <f t="shared" si="80"/>
        <v>0</v>
      </c>
      <c r="G217" s="305">
        <f>IF($A$194='4. LISTAS'!$C$35,IF(V217="sim",AD217/(1-AG217),AD217/(1-AG217-(H217*(1+J217)))),IF($A$194='4. LISTAS'!$C$36,(AD217/(1-AG217-(H217*(1+J217)))),IF($A$194='4. LISTAS'!$C$37,(AB217/(1-AC217-AH217)),"Erro")))</f>
        <v>0</v>
      </c>
      <c r="H217" s="320">
        <f>IF(AND($A$194='4. LISTAS'!$C$35,'Fornec. TAGNA'!U217="Sim"),0,IF(OR($A$194='4. LISTAS'!$C$35, $A$194='4. LISTAS'!$C$36),(VLOOKUP('1.DASHBOARD'!$B$8,'4. LISTAS'!$F$2:$G$11,2,FALSE)),0))</f>
        <v>0.18</v>
      </c>
      <c r="I217" s="305">
        <f t="shared" si="77"/>
        <v>0</v>
      </c>
      <c r="J217" s="319">
        <f>VLOOKUP($A$194,'4. LISTAS'!$C$35:$F$37,4,0)</f>
        <v>0.1125</v>
      </c>
      <c r="K217" s="305">
        <f t="shared" si="78"/>
        <v>0</v>
      </c>
      <c r="L217" s="305">
        <f t="shared" si="79"/>
        <v>0</v>
      </c>
      <c r="M217" s="318"/>
      <c r="N217" s="296"/>
      <c r="O217" s="317"/>
      <c r="P217" s="317"/>
      <c r="Q217" s="320">
        <v>0.04</v>
      </c>
      <c r="R217" s="320">
        <v>0.15</v>
      </c>
      <c r="S217" s="320">
        <v>0</v>
      </c>
      <c r="T217" s="305"/>
      <c r="U217" s="316" t="str">
        <f t="shared" si="81"/>
        <v>Não</v>
      </c>
      <c r="V217" s="315" t="s">
        <v>454</v>
      </c>
      <c r="W217" s="296"/>
      <c r="X217" s="314">
        <f t="shared" si="82"/>
        <v>0</v>
      </c>
      <c r="Y217" s="312">
        <f t="shared" si="83"/>
        <v>0</v>
      </c>
      <c r="Z217" s="312">
        <f t="shared" si="84"/>
        <v>0</v>
      </c>
      <c r="AA217" s="294">
        <f>IF($A$194='4. LISTAS'!$C$35,(P217*B217+T217+Y217+Z217),IF($A$194='4. LISTAS'!$C$36,P217*B217+Y217,IF($A$194='4. LISTAS'!$C$37,P217*B217,"Erro")))</f>
        <v>0</v>
      </c>
      <c r="AB217" s="294">
        <f>IF($A$194='4. LISTAS'!$C$35,IF(V217="sim",AA217,AA217-X217),IF($A$194='4. LISTAS'!$C$36,IF(V217="Sim",AA217-X217,AA217-X217-Y217),IF($A$194='4. LISTAS'!$C$37,AA217,"erro")))</f>
        <v>0</v>
      </c>
      <c r="AC217" s="313">
        <f t="shared" si="88"/>
        <v>0.30349999999999999</v>
      </c>
      <c r="AD217" s="294">
        <f t="shared" si="85"/>
        <v>0</v>
      </c>
      <c r="AE217" s="312">
        <f t="shared" si="86"/>
        <v>0</v>
      </c>
      <c r="AF217" s="312">
        <f t="shared" si="87"/>
        <v>0</v>
      </c>
      <c r="AG217" s="311">
        <f>'4. LISTAS'!$M$6</f>
        <v>5.9299999999999999E-2</v>
      </c>
      <c r="AH217" s="310">
        <f>'4. LISTAS'!$M$5</f>
        <v>0.17</v>
      </c>
      <c r="AI217" s="296"/>
      <c r="AJ217" s="321"/>
      <c r="AK217" s="321"/>
      <c r="AL217" s="321"/>
    </row>
    <row r="218" spans="1:38" x14ac:dyDescent="0.2">
      <c r="A218" s="323" t="s">
        <v>562</v>
      </c>
      <c r="B218" s="322">
        <f>B187</f>
        <v>0</v>
      </c>
      <c r="C218" s="321"/>
      <c r="D218" s="321" t="str">
        <f>D187</f>
        <v>Gestão + Compras</v>
      </c>
      <c r="E218" s="321"/>
      <c r="F218" s="306">
        <f>IF(B218&lt;&gt;0,G218/B218,0)</f>
        <v>0</v>
      </c>
      <c r="G218" s="305">
        <f>IF($A$194='4. LISTAS'!$C$35,IF(V218="sim",AD218/(1-AG218),AD218/(1-AG218-(H218*(1+J218)))),IF($A$194='4. LISTAS'!$C$36,(AD218/(1-AG218-(H218*(1+J218)))),IF($A$194='4. LISTAS'!$C$37,(AB218/(1-AC218-AH218)),"Erro")))</f>
        <v>0</v>
      </c>
      <c r="H218" s="320">
        <f>IF(AND($A$194='4. LISTAS'!$C$35,'Fornec. TAGNA'!U218="Sim"),0,IF(OR($A$194='4. LISTAS'!$C$35, $A$194='4. LISTAS'!$C$36),(VLOOKUP('1.DASHBOARD'!$B$8,'4. LISTAS'!$F$2:$G$11,2,FALSE)),0))</f>
        <v>0.18</v>
      </c>
      <c r="I218" s="305">
        <f t="shared" si="77"/>
        <v>0</v>
      </c>
      <c r="J218" s="319">
        <f>VLOOKUP($A$194,'4. LISTAS'!$C$35:$F$37,4,0)</f>
        <v>0.1125</v>
      </c>
      <c r="K218" s="305">
        <f t="shared" si="78"/>
        <v>0</v>
      </c>
      <c r="L218" s="305">
        <f t="shared" si="79"/>
        <v>0</v>
      </c>
      <c r="M218" s="318"/>
      <c r="N218" s="296"/>
      <c r="O218" s="317"/>
      <c r="P218" s="317">
        <f t="shared" ref="P218:S221" si="89">P187</f>
        <v>355.22537921211438</v>
      </c>
      <c r="Q218" s="306">
        <f t="shared" si="89"/>
        <v>0</v>
      </c>
      <c r="R218" s="306">
        <f t="shared" si="89"/>
        <v>0</v>
      </c>
      <c r="S218" s="306">
        <f t="shared" si="89"/>
        <v>0</v>
      </c>
      <c r="T218" s="305"/>
      <c r="U218" s="316" t="str">
        <f t="shared" si="81"/>
        <v>Não</v>
      </c>
      <c r="V218" s="315" t="s">
        <v>454</v>
      </c>
      <c r="W218" s="296"/>
      <c r="X218" s="314">
        <f t="shared" si="82"/>
        <v>0</v>
      </c>
      <c r="Y218" s="312">
        <f t="shared" si="83"/>
        <v>0</v>
      </c>
      <c r="Z218" s="312">
        <f t="shared" si="84"/>
        <v>0</v>
      </c>
      <c r="AA218" s="294">
        <f>IF($A$194='4. LISTAS'!$C$35,(P218*B218+T218+Y218+Z218),IF($A$194='4. LISTAS'!$C$36,P218*B218+Y218,IF($A$194='4. LISTAS'!$C$37,P218*B218,"Erro")))</f>
        <v>0</v>
      </c>
      <c r="AB218" s="294">
        <f>IF($A$194='4. LISTAS'!$C$35,IF(V218="sim",AA218,AA218-X218),IF($A$194='4. LISTAS'!$C$36,IF(V218="Sim",AA218-X218,AA218-X218-Y218),IF($A$194='4. LISTAS'!$C$37,AA218,"erro")))</f>
        <v>0</v>
      </c>
      <c r="AC218" s="313">
        <f>'1.DASHBOARD'!$B$11</f>
        <v>0.25</v>
      </c>
      <c r="AD218" s="294">
        <f t="shared" si="85"/>
        <v>0</v>
      </c>
      <c r="AE218" s="312">
        <f t="shared" si="86"/>
        <v>0</v>
      </c>
      <c r="AF218" s="312">
        <f t="shared" si="87"/>
        <v>0</v>
      </c>
      <c r="AG218" s="311">
        <f>'4. LISTAS'!$M$6</f>
        <v>5.9299999999999999E-2</v>
      </c>
      <c r="AH218" s="310">
        <f>'4. LISTAS'!$M$5</f>
        <v>0.17</v>
      </c>
      <c r="AI218" s="296"/>
      <c r="AJ218" s="321"/>
      <c r="AK218" s="321"/>
      <c r="AL218" s="321"/>
    </row>
    <row r="219" spans="1:38" x14ac:dyDescent="0.2">
      <c r="A219" s="323" t="s">
        <v>561</v>
      </c>
      <c r="B219" s="322">
        <f>B188</f>
        <v>0</v>
      </c>
      <c r="C219" s="321"/>
      <c r="D219" s="321" t="str">
        <f>D188</f>
        <v>Projeto</v>
      </c>
      <c r="E219" s="321"/>
      <c r="F219" s="306">
        <f>IF(B218&lt;&gt;0,G219/B219,0)</f>
        <v>0</v>
      </c>
      <c r="G219" s="305">
        <f>IF($A$194='4. LISTAS'!$C$35,IF(V219="sim",AD219/(1-AG219),AD219/(1-AG219-(H219*(1+J219)))),IF($A$194='4. LISTAS'!$C$36,(AD219/(1-AG219-(H219*(1+J219)))),IF($A$194='4. LISTAS'!$C$37,(AB219/(1-AC219-AH219)),"Erro")))</f>
        <v>0</v>
      </c>
      <c r="H219" s="320">
        <f>IF(AND($A$194='4. LISTAS'!$C$35,'Fornec. TAGNA'!U219="Sim"),0,IF(OR($A$194='4. LISTAS'!$C$35, $A$194='4. LISTAS'!$C$36),(VLOOKUP('1.DASHBOARD'!$B$8,'4. LISTAS'!$F$2:$G$11,2,FALSE)),0))</f>
        <v>0.18</v>
      </c>
      <c r="I219" s="305">
        <f t="shared" si="77"/>
        <v>0</v>
      </c>
      <c r="J219" s="319">
        <f>VLOOKUP($A$194,'4. LISTAS'!$C$35:$F$37,4,0)</f>
        <v>0.1125</v>
      </c>
      <c r="K219" s="305">
        <f t="shared" si="78"/>
        <v>0</v>
      </c>
      <c r="L219" s="305">
        <f t="shared" si="79"/>
        <v>0</v>
      </c>
      <c r="M219" s="318"/>
      <c r="N219" s="296"/>
      <c r="O219" s="317"/>
      <c r="P219" s="317">
        <f t="shared" si="89"/>
        <v>37.149026125714286</v>
      </c>
      <c r="Q219" s="306">
        <f t="shared" si="89"/>
        <v>0</v>
      </c>
      <c r="R219" s="306">
        <f t="shared" si="89"/>
        <v>0</v>
      </c>
      <c r="S219" s="306">
        <f t="shared" si="89"/>
        <v>0</v>
      </c>
      <c r="T219" s="305"/>
      <c r="U219" s="316" t="str">
        <f t="shared" si="81"/>
        <v>Não</v>
      </c>
      <c r="V219" s="315" t="s">
        <v>454</v>
      </c>
      <c r="W219" s="296"/>
      <c r="X219" s="314">
        <f t="shared" si="82"/>
        <v>0</v>
      </c>
      <c r="Y219" s="312">
        <f t="shared" si="83"/>
        <v>0</v>
      </c>
      <c r="Z219" s="312">
        <f t="shared" si="84"/>
        <v>0</v>
      </c>
      <c r="AA219" s="294">
        <f>IF($A$194='4. LISTAS'!$C$35,(P219*B219+T219+Y219+Z219),IF($A$194='4. LISTAS'!$C$36,P219*B219+Y219,IF($A$194='4. LISTAS'!$C$37,P219*B219,"Erro")))</f>
        <v>0</v>
      </c>
      <c r="AB219" s="294">
        <f>IF($A$194='4. LISTAS'!$C$35,IF(V219="sim",AA219,AA219-X219),IF($A$194='4. LISTAS'!$C$36,IF(V219="Sim",AA219-X219,AA219-X219-Y219),IF($A$194='4. LISTAS'!$C$37,AA219,"erro")))</f>
        <v>0</v>
      </c>
      <c r="AC219" s="313">
        <f>'1.DASHBOARD'!$B$11</f>
        <v>0.25</v>
      </c>
      <c r="AD219" s="294">
        <f t="shared" si="85"/>
        <v>0</v>
      </c>
      <c r="AE219" s="312">
        <f t="shared" si="86"/>
        <v>0</v>
      </c>
      <c r="AF219" s="312">
        <f t="shared" si="87"/>
        <v>0</v>
      </c>
      <c r="AG219" s="311">
        <f>'4. LISTAS'!$M$6</f>
        <v>5.9299999999999999E-2</v>
      </c>
      <c r="AH219" s="310">
        <f>'4. LISTAS'!$M$5</f>
        <v>0.17</v>
      </c>
      <c r="AI219" s="296"/>
      <c r="AJ219" s="324"/>
      <c r="AK219" s="324"/>
      <c r="AL219" s="324"/>
    </row>
    <row r="220" spans="1:38" x14ac:dyDescent="0.2">
      <c r="A220" s="323" t="s">
        <v>560</v>
      </c>
      <c r="B220" s="322">
        <f>B189</f>
        <v>0</v>
      </c>
      <c r="C220" s="321"/>
      <c r="D220" s="321" t="str">
        <f>D189</f>
        <v>Testes</v>
      </c>
      <c r="E220" s="321"/>
      <c r="F220" s="306">
        <f>IF(B218&lt;&gt;0,G220/B220,0)</f>
        <v>0</v>
      </c>
      <c r="G220" s="305">
        <f>IF($A$194='4. LISTAS'!$C$35,IF(V220="sim",AD220/(1-AG220),AD220/(1-AG220-(H220*(1+J220)))),IF($A$194='4. LISTAS'!$C$36,(AD220/(1-AG220-(H220*(1+J220)))),IF($A$194='4. LISTAS'!$C$37,(AB220/(1-AC220-AH220)),"Erro")))</f>
        <v>0</v>
      </c>
      <c r="H220" s="320">
        <f>IF(AND($A$194='4. LISTAS'!$C$35,'Fornec. TAGNA'!U220="Sim"),0,IF(OR($A$194='4. LISTAS'!$C$35, $A$194='4. LISTAS'!$C$36),(VLOOKUP('1.DASHBOARD'!$B$8,'4. LISTAS'!$F$2:$G$11,2,FALSE)),0))</f>
        <v>0.18</v>
      </c>
      <c r="I220" s="305">
        <f t="shared" si="77"/>
        <v>0</v>
      </c>
      <c r="J220" s="319">
        <f>VLOOKUP($A$194,'4. LISTAS'!$C$35:$F$37,4,0)</f>
        <v>0.1125</v>
      </c>
      <c r="K220" s="305">
        <f t="shared" si="78"/>
        <v>0</v>
      </c>
      <c r="L220" s="305">
        <f t="shared" si="79"/>
        <v>0</v>
      </c>
      <c r="M220" s="318"/>
      <c r="N220" s="296"/>
      <c r="O220" s="317"/>
      <c r="P220" s="317">
        <f t="shared" si="89"/>
        <v>129.56768445553286</v>
      </c>
      <c r="Q220" s="306">
        <f t="shared" si="89"/>
        <v>0</v>
      </c>
      <c r="R220" s="306">
        <f t="shared" si="89"/>
        <v>0</v>
      </c>
      <c r="S220" s="306">
        <f t="shared" si="89"/>
        <v>0</v>
      </c>
      <c r="T220" s="305"/>
      <c r="U220" s="316" t="str">
        <f t="shared" si="81"/>
        <v>Não</v>
      </c>
      <c r="V220" s="315" t="s">
        <v>454</v>
      </c>
      <c r="W220" s="296"/>
      <c r="X220" s="314">
        <f t="shared" si="82"/>
        <v>0</v>
      </c>
      <c r="Y220" s="312">
        <f t="shared" si="83"/>
        <v>0</v>
      </c>
      <c r="Z220" s="312">
        <f t="shared" si="84"/>
        <v>0</v>
      </c>
      <c r="AA220" s="294">
        <f>IF($A$194='4. LISTAS'!$C$35,(P220*B220+T220+Y220+Z220),IF($A$194='4. LISTAS'!$C$36,P220*B220+Y220,IF($A$194='4. LISTAS'!$C$37,P220*B220,"Erro")))</f>
        <v>0</v>
      </c>
      <c r="AB220" s="294">
        <f>IF($A$194='4. LISTAS'!$C$35,IF(V220="sim",AA220,AA220-X220),IF($A$194='4. LISTAS'!$C$36,IF(V220="Sim",AA220-X220,AA220-X220-Y220),IF($A$194='4. LISTAS'!$C$37,AA220,"erro")))</f>
        <v>0</v>
      </c>
      <c r="AC220" s="313">
        <f>'1.DASHBOARD'!$B$11</f>
        <v>0.25</v>
      </c>
      <c r="AD220" s="294">
        <f t="shared" si="85"/>
        <v>0</v>
      </c>
      <c r="AE220" s="312">
        <f t="shared" si="86"/>
        <v>0</v>
      </c>
      <c r="AF220" s="312">
        <f t="shared" si="87"/>
        <v>0</v>
      </c>
      <c r="AG220" s="311">
        <f>'4. LISTAS'!$M$6</f>
        <v>5.9299999999999999E-2</v>
      </c>
      <c r="AH220" s="310">
        <f>'4. LISTAS'!$M$5</f>
        <v>0.17</v>
      </c>
      <c r="AI220" s="296"/>
      <c r="AJ220" s="321"/>
      <c r="AK220" s="321"/>
      <c r="AL220" s="321"/>
    </row>
    <row r="221" spans="1:38" x14ac:dyDescent="0.2">
      <c r="A221" s="323" t="s">
        <v>559</v>
      </c>
      <c r="B221" s="322">
        <f>B190</f>
        <v>0</v>
      </c>
      <c r="C221" s="321"/>
      <c r="D221" s="321" t="str">
        <f>D190</f>
        <v>Frete</v>
      </c>
      <c r="E221" s="321"/>
      <c r="F221" s="306">
        <f>IF(B218&lt;&gt;0,G221/B221,0)</f>
        <v>0</v>
      </c>
      <c r="G221" s="305">
        <f>IF($A$194='4. LISTAS'!$C$35,IF(V221="sim",AD221/(1-AG221),AD221/(1-AG221-(H221*(1+J221)))),IF($A$194='4. LISTAS'!$C$36,(AD221/(1-AG221-(H221*(1+J221)))),IF($A$194='4. LISTAS'!$C$37,(AB221/(1-AC221-AH221)),"Erro")))</f>
        <v>0</v>
      </c>
      <c r="H221" s="320">
        <f>IF(AND($A$194='4. LISTAS'!$C$35,'Fornec. TAGNA'!U221="Sim"),0,IF(OR($A$194='4. LISTAS'!$C$35, $A$194='4. LISTAS'!$C$36),(VLOOKUP('1.DASHBOARD'!$B$8,'4. LISTAS'!$F$2:$G$11,2,FALSE)),0))</f>
        <v>0.18</v>
      </c>
      <c r="I221" s="305">
        <f t="shared" si="77"/>
        <v>0</v>
      </c>
      <c r="J221" s="319">
        <f>VLOOKUP($A$194,'4. LISTAS'!$C$35:$F$37,4,0)</f>
        <v>0.1125</v>
      </c>
      <c r="K221" s="305">
        <f t="shared" si="78"/>
        <v>0</v>
      </c>
      <c r="L221" s="305">
        <f t="shared" si="79"/>
        <v>0</v>
      </c>
      <c r="M221" s="318"/>
      <c r="N221" s="296"/>
      <c r="O221" s="317"/>
      <c r="P221" s="317">
        <f t="shared" si="89"/>
        <v>300</v>
      </c>
      <c r="Q221" s="306">
        <f t="shared" si="89"/>
        <v>0</v>
      </c>
      <c r="R221" s="306">
        <f t="shared" si="89"/>
        <v>0</v>
      </c>
      <c r="S221" s="306">
        <f t="shared" si="89"/>
        <v>0</v>
      </c>
      <c r="T221" s="305"/>
      <c r="U221" s="316" t="str">
        <f t="shared" si="81"/>
        <v>Não</v>
      </c>
      <c r="V221" s="315" t="s">
        <v>454</v>
      </c>
      <c r="W221" s="296"/>
      <c r="X221" s="314">
        <f t="shared" si="82"/>
        <v>0</v>
      </c>
      <c r="Y221" s="312">
        <f t="shared" si="83"/>
        <v>0</v>
      </c>
      <c r="Z221" s="312">
        <f t="shared" si="84"/>
        <v>0</v>
      </c>
      <c r="AA221" s="294">
        <f>IF($A$194='4. LISTAS'!$C$35,(P221*B221+T221+Y221+Z221),IF($A$194='4. LISTAS'!$C$36,P221*B221+Y221,IF($A$194='4. LISTAS'!$C$37,P221*B221,"Erro")))</f>
        <v>0</v>
      </c>
      <c r="AB221" s="294">
        <f>IF($A$194='4. LISTAS'!$C$35,IF(V221="sim",AA221,AA221-X221),IF($A$194='4. LISTAS'!$C$36,IF(V221="Sim",AA221-X221,AA221-X221-Y221),IF($A$194='4. LISTAS'!$C$37,AA221,"erro")))</f>
        <v>0</v>
      </c>
      <c r="AC221" s="313"/>
      <c r="AD221" s="294">
        <f t="shared" si="85"/>
        <v>0</v>
      </c>
      <c r="AE221" s="312">
        <f t="shared" si="86"/>
        <v>0</v>
      </c>
      <c r="AF221" s="312">
        <f t="shared" si="87"/>
        <v>0</v>
      </c>
      <c r="AG221" s="311">
        <f>'4. LISTAS'!$M$6</f>
        <v>5.9299999999999999E-2</v>
      </c>
      <c r="AH221" s="310">
        <f>'4. LISTAS'!$M$5</f>
        <v>0.17</v>
      </c>
      <c r="AI221" s="296"/>
      <c r="AJ221" s="321"/>
      <c r="AK221" s="321"/>
      <c r="AL221" s="321"/>
    </row>
    <row r="222" spans="1:38" x14ac:dyDescent="0.2">
      <c r="A222" s="362" t="s">
        <v>453</v>
      </c>
      <c r="B222" s="361"/>
      <c r="C222" s="359"/>
      <c r="D222" s="360"/>
      <c r="E222" s="359"/>
      <c r="F222" s="358"/>
      <c r="G222" s="282">
        <f>SUM(G198:G221)</f>
        <v>0</v>
      </c>
      <c r="H222" s="284" t="s">
        <v>319</v>
      </c>
      <c r="I222" s="282">
        <f>SUBTOTAL(9,I198:I221)</f>
        <v>0</v>
      </c>
      <c r="J222" s="283" t="s">
        <v>319</v>
      </c>
      <c r="K222" s="282">
        <f>SUM(K198:K221)</f>
        <v>0</v>
      </c>
      <c r="L222" s="282">
        <f>SUM(L198:L221)</f>
        <v>0</v>
      </c>
      <c r="M222" s="357"/>
      <c r="N222" s="327"/>
      <c r="O222" s="356"/>
      <c r="P222" s="356"/>
      <c r="Q222" s="277"/>
      <c r="R222" s="277"/>
      <c r="S222" s="277"/>
      <c r="T222" s="278"/>
      <c r="U222" s="277"/>
      <c r="V222" s="355"/>
      <c r="W222" s="327"/>
      <c r="X222" s="354">
        <f t="shared" si="82"/>
        <v>0</v>
      </c>
      <c r="Y222" s="278">
        <f t="shared" si="83"/>
        <v>0</v>
      </c>
      <c r="Z222" s="278">
        <f t="shared" si="84"/>
        <v>0</v>
      </c>
      <c r="AA222" s="277"/>
      <c r="AB222" s="277"/>
      <c r="AC222" s="277"/>
      <c r="AD222" s="277"/>
      <c r="AE222" s="277"/>
      <c r="AF222" s="277"/>
      <c r="AG222" s="277"/>
      <c r="AH222" s="277"/>
      <c r="AI222" s="327"/>
      <c r="AJ222" s="353"/>
      <c r="AK222" s="353"/>
      <c r="AL222" s="353"/>
    </row>
    <row r="223" spans="1:38" x14ac:dyDescent="0.2">
      <c r="G223" s="352"/>
      <c r="N223" s="327"/>
      <c r="W223" s="327"/>
      <c r="AI223" s="327"/>
    </row>
    <row r="224" spans="1:38" x14ac:dyDescent="0.2">
      <c r="B224" s="350"/>
      <c r="D224" s="348" t="s">
        <v>508</v>
      </c>
      <c r="E224" s="348"/>
      <c r="F224" s="347"/>
      <c r="G224" s="347"/>
      <c r="H224" s="347"/>
      <c r="I224" s="347"/>
      <c r="J224" s="347"/>
      <c r="K224" s="347"/>
      <c r="L224" s="347"/>
      <c r="M224" s="346"/>
      <c r="N224" s="327"/>
      <c r="O224" s="345"/>
      <c r="P224" s="345" t="s">
        <v>511</v>
      </c>
      <c r="Q224" s="345"/>
      <c r="R224" s="345"/>
      <c r="S224" s="345"/>
      <c r="T224" s="344"/>
      <c r="U224" s="345"/>
      <c r="V224" s="345"/>
      <c r="W224" s="327"/>
      <c r="X224" s="344" t="s">
        <v>510</v>
      </c>
      <c r="Y224" s="344"/>
      <c r="Z224" s="344"/>
      <c r="AA224" s="344"/>
      <c r="AB224" s="344"/>
      <c r="AC224" s="344"/>
      <c r="AD224" s="344"/>
      <c r="AE224" s="344"/>
      <c r="AF224" s="344"/>
      <c r="AG224" s="344"/>
      <c r="AH224" s="344"/>
      <c r="AI224" s="327"/>
      <c r="AJ224" s="349"/>
      <c r="AK224" s="349"/>
      <c r="AL224" s="349"/>
    </row>
    <row r="225" spans="1:38" x14ac:dyDescent="0.2">
      <c r="A225" s="698" t="s">
        <v>509</v>
      </c>
      <c r="B225" s="698"/>
      <c r="C225" s="698"/>
      <c r="D225" s="348" t="s">
        <v>508</v>
      </c>
      <c r="E225" s="348"/>
      <c r="F225" s="347"/>
      <c r="G225" s="347"/>
      <c r="H225" s="347"/>
      <c r="I225" s="347"/>
      <c r="J225" s="347"/>
      <c r="K225" s="347"/>
      <c r="L225" s="347"/>
      <c r="M225" s="346"/>
      <c r="N225" s="327"/>
      <c r="O225" s="345"/>
      <c r="P225" s="345"/>
      <c r="Q225" s="345"/>
      <c r="R225" s="345"/>
      <c r="S225" s="345"/>
      <c r="T225" s="344"/>
      <c r="U225" s="345"/>
      <c r="V225" s="345"/>
      <c r="W225" s="327"/>
      <c r="X225" s="344"/>
      <c r="Y225" s="344"/>
      <c r="Z225" s="344"/>
      <c r="AA225" s="344"/>
      <c r="AB225" s="344"/>
      <c r="AC225" s="344"/>
      <c r="AD225" s="344"/>
      <c r="AE225" s="344"/>
      <c r="AF225" s="344"/>
      <c r="AG225" s="344"/>
      <c r="AH225" s="344"/>
      <c r="AI225" s="327"/>
      <c r="AJ225" s="343" t="s">
        <v>507</v>
      </c>
      <c r="AK225" s="343" t="s">
        <v>506</v>
      </c>
      <c r="AL225" s="343" t="s">
        <v>505</v>
      </c>
    </row>
    <row r="226" spans="1:38" ht="15" customHeight="1" x14ac:dyDescent="0.2">
      <c r="A226" s="699" t="s">
        <v>321</v>
      </c>
      <c r="B226" s="699" t="s">
        <v>504</v>
      </c>
      <c r="C226" s="700" t="s">
        <v>320</v>
      </c>
      <c r="D226" s="700" t="s">
        <v>503</v>
      </c>
      <c r="E226" s="700" t="s">
        <v>502</v>
      </c>
      <c r="F226" s="701" t="s">
        <v>501</v>
      </c>
      <c r="G226" s="701" t="s">
        <v>500</v>
      </c>
      <c r="H226" s="701" t="s">
        <v>499</v>
      </c>
      <c r="I226" s="701"/>
      <c r="J226" s="701" t="s">
        <v>490</v>
      </c>
      <c r="K226" s="701"/>
      <c r="L226" s="701" t="s">
        <v>498</v>
      </c>
      <c r="M226" s="696" t="s">
        <v>497</v>
      </c>
      <c r="N226" s="327"/>
      <c r="O226" s="693" t="s">
        <v>496</v>
      </c>
      <c r="P226" s="694" t="s">
        <v>495</v>
      </c>
      <c r="Q226" s="342" t="s">
        <v>491</v>
      </c>
      <c r="R226" s="339" t="s">
        <v>490</v>
      </c>
      <c r="S226" s="339" t="s">
        <v>489</v>
      </c>
      <c r="T226" s="693" t="s">
        <v>494</v>
      </c>
      <c r="U226" s="691" t="s">
        <v>493</v>
      </c>
      <c r="V226" s="702" t="s">
        <v>492</v>
      </c>
      <c r="W226" s="327"/>
      <c r="X226" s="341" t="s">
        <v>491</v>
      </c>
      <c r="Y226" s="339" t="s">
        <v>490</v>
      </c>
      <c r="Z226" s="339" t="s">
        <v>489</v>
      </c>
      <c r="AA226" s="693" t="s">
        <v>488</v>
      </c>
      <c r="AB226" s="693" t="s">
        <v>487</v>
      </c>
      <c r="AC226" s="691" t="s">
        <v>486</v>
      </c>
      <c r="AD226" s="691" t="s">
        <v>485</v>
      </c>
      <c r="AE226" s="691" t="s">
        <v>484</v>
      </c>
      <c r="AF226" s="691" t="s">
        <v>483</v>
      </c>
      <c r="AG226" s="691" t="s">
        <v>482</v>
      </c>
      <c r="AH226" s="691" t="s">
        <v>481</v>
      </c>
      <c r="AI226" s="327"/>
      <c r="AJ226" s="693"/>
      <c r="AK226" s="693"/>
      <c r="AL226" s="693"/>
    </row>
    <row r="227" spans="1:38" ht="18" customHeight="1" x14ac:dyDescent="0.2">
      <c r="A227" s="699"/>
      <c r="B227" s="699"/>
      <c r="C227" s="700"/>
      <c r="D227" s="700"/>
      <c r="E227" s="700"/>
      <c r="F227" s="701"/>
      <c r="G227" s="701"/>
      <c r="H227" s="339" t="s">
        <v>480</v>
      </c>
      <c r="I227" s="339" t="s">
        <v>479</v>
      </c>
      <c r="J227" s="339" t="s">
        <v>480</v>
      </c>
      <c r="K227" s="339" t="s">
        <v>479</v>
      </c>
      <c r="L227" s="701"/>
      <c r="M227" s="697"/>
      <c r="N227" s="327"/>
      <c r="O227" s="693"/>
      <c r="P227" s="695"/>
      <c r="Q227" s="339" t="s">
        <v>480</v>
      </c>
      <c r="R227" s="339" t="s">
        <v>480</v>
      </c>
      <c r="S227" s="339" t="s">
        <v>480</v>
      </c>
      <c r="T227" s="693"/>
      <c r="U227" s="692"/>
      <c r="V227" s="703"/>
      <c r="W227" s="327"/>
      <c r="X227" s="340" t="s">
        <v>479</v>
      </c>
      <c r="Y227" s="339" t="s">
        <v>479</v>
      </c>
      <c r="Z227" s="339" t="s">
        <v>479</v>
      </c>
      <c r="AA227" s="693"/>
      <c r="AB227" s="693"/>
      <c r="AC227" s="692"/>
      <c r="AD227" s="692"/>
      <c r="AE227" s="692"/>
      <c r="AF227" s="692"/>
      <c r="AG227" s="692"/>
      <c r="AH227" s="692"/>
      <c r="AI227" s="327"/>
      <c r="AJ227" s="693"/>
      <c r="AK227" s="693"/>
      <c r="AL227" s="693"/>
    </row>
    <row r="228" spans="1:38" ht="18" customHeight="1" x14ac:dyDescent="0.2">
      <c r="A228" s="338">
        <v>8</v>
      </c>
      <c r="B228" s="338">
        <v>1</v>
      </c>
      <c r="C228" s="324"/>
      <c r="D228" s="324"/>
      <c r="E228" s="324"/>
      <c r="F228" s="337">
        <f>G253</f>
        <v>0</v>
      </c>
      <c r="G228" s="337">
        <f>F228*B228</f>
        <v>0</v>
      </c>
      <c r="H228" s="336">
        <f>IF(OR($A$225='4. LISTAS'!$C$35, $A$225='4. LISTAS'!$C$36),(VLOOKUP('1.DASHBOARD'!$B$8,'4. LISTAS'!$F$2:$G$11,2,FALSE)),0)</f>
        <v>0.18</v>
      </c>
      <c r="I228" s="334">
        <f t="shared" ref="I228:I252" si="90">H228*(G228+K228)</f>
        <v>0</v>
      </c>
      <c r="J228" s="335">
        <f>VLOOKUP($A$225,'4. LISTAS'!$C$35:$F$37,4,0)</f>
        <v>0.1125</v>
      </c>
      <c r="K228" s="334">
        <f t="shared" ref="K228:K252" si="91">J228*G228</f>
        <v>0</v>
      </c>
      <c r="L228" s="334">
        <f t="shared" ref="L228:L252" si="92">G228+K228</f>
        <v>0</v>
      </c>
      <c r="M228" s="333"/>
      <c r="N228" s="327"/>
      <c r="O228" s="332"/>
      <c r="P228" s="332"/>
      <c r="Q228" s="331"/>
      <c r="R228" s="331"/>
      <c r="S228" s="331"/>
      <c r="T228" s="328"/>
      <c r="U228" s="326"/>
      <c r="V228" s="330"/>
      <c r="W228" s="327"/>
      <c r="X228" s="326">
        <f>SUM(X229:X252)</f>
        <v>0</v>
      </c>
      <c r="Y228" s="326">
        <f>SUM(Y229:Y252)</f>
        <v>0</v>
      </c>
      <c r="Z228" s="326">
        <f>SUM(Z229:Z252)</f>
        <v>0</v>
      </c>
      <c r="AA228" s="326">
        <f>SUM(AA229:AA252)</f>
        <v>0</v>
      </c>
      <c r="AB228" s="326">
        <f>SUM(AB229:AB252)</f>
        <v>0</v>
      </c>
      <c r="AC228" s="328"/>
      <c r="AD228" s="328"/>
      <c r="AE228" s="328"/>
      <c r="AF228" s="328"/>
      <c r="AG228" s="329">
        <f>AG229</f>
        <v>5.9299999999999999E-2</v>
      </c>
      <c r="AH228" s="328"/>
      <c r="AI228" s="327"/>
      <c r="AJ228" s="326"/>
      <c r="AK228" s="326"/>
      <c r="AL228" s="326"/>
    </row>
    <row r="229" spans="1:38" x14ac:dyDescent="0.2">
      <c r="A229" s="323" t="s">
        <v>558</v>
      </c>
      <c r="B229" s="323">
        <v>1</v>
      </c>
      <c r="C229" s="321"/>
      <c r="D229" s="321"/>
      <c r="E229" s="321"/>
      <c r="F229" s="306">
        <f t="shared" ref="F229:F248" si="93">G229/B229</f>
        <v>0</v>
      </c>
      <c r="G229" s="305">
        <f>IF($A$225='4. LISTAS'!$C$35,IF(V229="sim",AD229/(1-AG229),AD229/(1-AG229-(H229*(1+J229)))),IF($A$225='4. LISTAS'!$C$36,(AD229/(1-AG229-(H229*(1+J229)))),IF($A$225='4. LISTAS'!$C$37,(AB229/(1-AC229-AH229)),"Erro")))</f>
        <v>0</v>
      </c>
      <c r="H229" s="320">
        <f>IF(OR($A$225='4. LISTAS'!$C$35, $A$225='4. LISTAS'!$C$36),(VLOOKUP('1.DASHBOARD'!$B$8,'4. LISTAS'!$F$2:$G$11,2,FALSE)),0)</f>
        <v>0.18</v>
      </c>
      <c r="I229" s="305">
        <f t="shared" si="90"/>
        <v>0</v>
      </c>
      <c r="J229" s="319">
        <f>VLOOKUP($A$225,'4. LISTAS'!$C$35:$F$37,4,0)</f>
        <v>0.1125</v>
      </c>
      <c r="K229" s="305">
        <f t="shared" si="91"/>
        <v>0</v>
      </c>
      <c r="L229" s="305">
        <f t="shared" si="92"/>
        <v>0</v>
      </c>
      <c r="M229" s="318"/>
      <c r="N229" s="296"/>
      <c r="O229" s="317"/>
      <c r="P229" s="317"/>
      <c r="Q229" s="320">
        <v>0.04</v>
      </c>
      <c r="R229" s="320">
        <v>0.15</v>
      </c>
      <c r="S229" s="320">
        <v>0</v>
      </c>
      <c r="T229" s="305"/>
      <c r="U229" s="316" t="str">
        <f t="shared" ref="U229:U252" si="94">IF(T229="","Não","Sim")</f>
        <v>Não</v>
      </c>
      <c r="V229" s="315" t="s">
        <v>454</v>
      </c>
      <c r="W229" s="296"/>
      <c r="X229" s="314">
        <f t="shared" ref="X229:X253" si="95">B229*P229*Q229</f>
        <v>0</v>
      </c>
      <c r="Y229" s="312">
        <f t="shared" ref="Y229:Y253" si="96">B229*P229*R229</f>
        <v>0</v>
      </c>
      <c r="Z229" s="312">
        <f t="shared" ref="Z229:Z253" si="97">B229*P229*S229</f>
        <v>0</v>
      </c>
      <c r="AA229" s="294">
        <f>IF($A$225='4. LISTAS'!$C$35,(P229*B229+T229+Y229+Z229),IF($A$225='4. LISTAS'!$C$36,P229*B229+Y229,IF($A$225='4. LISTAS'!$C$37,P229*B229,"Erro")))</f>
        <v>0</v>
      </c>
      <c r="AB229" s="294">
        <f>IF($A$225='4. LISTAS'!$C$35,IF(V229="sim",AA229,AA229-X229),IF($A$225='4. LISTAS'!$C$36,IF(V229="Sim",AA229-X229,AA229-X229-Y229),IF($A$225='4. LISTAS'!$C$37,AA229,"erro")))</f>
        <v>0</v>
      </c>
      <c r="AC229" s="325">
        <f>'1.DASHBOARD'!$B$14+'1.DASHBOARD'!$B$16</f>
        <v>0.30349999999999999</v>
      </c>
      <c r="AD229" s="294">
        <f t="shared" ref="AD229:AD252" si="98">AB229/(1-AC229)</f>
        <v>0</v>
      </c>
      <c r="AE229" s="312">
        <f t="shared" ref="AE229:AE252" si="99">X229</f>
        <v>0</v>
      </c>
      <c r="AF229" s="312">
        <f t="shared" ref="AF229:AF252" si="100">Y229</f>
        <v>0</v>
      </c>
      <c r="AG229" s="311">
        <f>'4. LISTAS'!$M$6</f>
        <v>5.9299999999999999E-2</v>
      </c>
      <c r="AH229" s="310">
        <f>'4. LISTAS'!$M$5</f>
        <v>0.17</v>
      </c>
      <c r="AI229" s="296"/>
      <c r="AJ229" s="324"/>
      <c r="AK229" s="324"/>
      <c r="AL229" s="324"/>
    </row>
    <row r="230" spans="1:38" x14ac:dyDescent="0.2">
      <c r="A230" s="323" t="s">
        <v>557</v>
      </c>
      <c r="B230" s="323">
        <v>1</v>
      </c>
      <c r="C230" s="321"/>
      <c r="D230" s="321"/>
      <c r="E230" s="321"/>
      <c r="F230" s="306">
        <f t="shared" si="93"/>
        <v>0</v>
      </c>
      <c r="G230" s="305">
        <f>IF($A$225='4. LISTAS'!$C$35,IF(V230="sim",AD230/(1-AG230),AD230/(1-AG230-(H230*(1+J230)))),IF($A$225='4. LISTAS'!$C$36,(AD230/(1-AG230-(H230*(1+J230)))),IF($A$225='4. LISTAS'!$C$37,(AB230/(1-AC230-AH230)),"Erro")))</f>
        <v>0</v>
      </c>
      <c r="H230" s="320">
        <f>IF(OR($A$225='4. LISTAS'!$C$35, $A$225='4. LISTAS'!$C$36),(VLOOKUP('1.DASHBOARD'!$B$8,'4. LISTAS'!$F$2:$G$11,2,FALSE)),0)</f>
        <v>0.18</v>
      </c>
      <c r="I230" s="305">
        <f t="shared" si="90"/>
        <v>0</v>
      </c>
      <c r="J230" s="319">
        <f>VLOOKUP($A$225,'4. LISTAS'!$C$35:$F$37,4,0)</f>
        <v>0.1125</v>
      </c>
      <c r="K230" s="305">
        <f t="shared" si="91"/>
        <v>0</v>
      </c>
      <c r="L230" s="305">
        <f t="shared" si="92"/>
        <v>0</v>
      </c>
      <c r="M230" s="318"/>
      <c r="N230" s="296"/>
      <c r="O230" s="317"/>
      <c r="P230" s="317"/>
      <c r="Q230" s="320">
        <v>0.04</v>
      </c>
      <c r="R230" s="320">
        <v>0.15</v>
      </c>
      <c r="S230" s="320">
        <v>0</v>
      </c>
      <c r="T230" s="305"/>
      <c r="U230" s="316" t="str">
        <f t="shared" si="94"/>
        <v>Não</v>
      </c>
      <c r="V230" s="315" t="s">
        <v>454</v>
      </c>
      <c r="W230" s="296"/>
      <c r="X230" s="314">
        <f t="shared" si="95"/>
        <v>0</v>
      </c>
      <c r="Y230" s="312">
        <f t="shared" si="96"/>
        <v>0</v>
      </c>
      <c r="Z230" s="312">
        <f t="shared" si="97"/>
        <v>0</v>
      </c>
      <c r="AA230" s="294">
        <f>IF($A$225='4. LISTAS'!$C$35,(P230*B230+T230+Y230+Z230),IF($A$225='4. LISTAS'!$C$36,P230*B230+Y230,IF($A$225='4. LISTAS'!$C$37,P230*B230,"Erro")))</f>
        <v>0</v>
      </c>
      <c r="AB230" s="294">
        <f>IF($A$225='4. LISTAS'!$C$35,IF(V230="sim",AA230,AA230-X230),IF($A$225='4. LISTAS'!$C$36,IF(V230="Sim",AA230-X230,AA230-X230-Y230),IF($A$225='4. LISTAS'!$C$37,AA230,"erro")))</f>
        <v>0</v>
      </c>
      <c r="AC230" s="313">
        <f t="shared" ref="AC230:AC248" si="101">AC229</f>
        <v>0.30349999999999999</v>
      </c>
      <c r="AD230" s="294">
        <f t="shared" si="98"/>
        <v>0</v>
      </c>
      <c r="AE230" s="312">
        <f t="shared" si="99"/>
        <v>0</v>
      </c>
      <c r="AF230" s="312">
        <f t="shared" si="100"/>
        <v>0</v>
      </c>
      <c r="AG230" s="311">
        <f>'4. LISTAS'!$M$6</f>
        <v>5.9299999999999999E-2</v>
      </c>
      <c r="AH230" s="310">
        <f>'4. LISTAS'!$M$5</f>
        <v>0.17</v>
      </c>
      <c r="AI230" s="296"/>
      <c r="AJ230" s="321"/>
      <c r="AK230" s="321"/>
      <c r="AL230" s="321"/>
    </row>
    <row r="231" spans="1:38" x14ac:dyDescent="0.2">
      <c r="A231" s="323" t="s">
        <v>556</v>
      </c>
      <c r="B231" s="323">
        <v>1</v>
      </c>
      <c r="C231" s="321"/>
      <c r="D231" s="321"/>
      <c r="E231" s="321"/>
      <c r="F231" s="306">
        <f t="shared" si="93"/>
        <v>0</v>
      </c>
      <c r="G231" s="305">
        <f>IF($A$225='4. LISTAS'!$C$35,IF(V231="sim",AD231/(1-AG231),AD231/(1-AG231-(H231*(1+J231)))),IF($A$225='4. LISTAS'!$C$36,(AD231/(1-AG231-(H231*(1+J231)))),IF($A$225='4. LISTAS'!$C$37,(AB231/(1-AC231-AH231)),"Erro")))</f>
        <v>0</v>
      </c>
      <c r="H231" s="320">
        <f>IF(OR($A$225='4. LISTAS'!$C$35, $A$225='4. LISTAS'!$C$36),(VLOOKUP('1.DASHBOARD'!$B$8,'4. LISTAS'!$F$2:$G$11,2,FALSE)),0)</f>
        <v>0.18</v>
      </c>
      <c r="I231" s="305">
        <f t="shared" si="90"/>
        <v>0</v>
      </c>
      <c r="J231" s="319">
        <f>VLOOKUP($A$225,'4. LISTAS'!$C$35:$F$37,4,0)</f>
        <v>0.1125</v>
      </c>
      <c r="K231" s="305">
        <f t="shared" si="91"/>
        <v>0</v>
      </c>
      <c r="L231" s="305">
        <f t="shared" si="92"/>
        <v>0</v>
      </c>
      <c r="M231" s="318"/>
      <c r="N231" s="296"/>
      <c r="O231" s="317"/>
      <c r="P231" s="317"/>
      <c r="Q231" s="320">
        <v>0.04</v>
      </c>
      <c r="R231" s="320">
        <v>0.15</v>
      </c>
      <c r="S231" s="320">
        <v>0</v>
      </c>
      <c r="T231" s="305"/>
      <c r="U231" s="316" t="str">
        <f t="shared" si="94"/>
        <v>Não</v>
      </c>
      <c r="V231" s="315" t="s">
        <v>454</v>
      </c>
      <c r="W231" s="296"/>
      <c r="X231" s="314">
        <f t="shared" si="95"/>
        <v>0</v>
      </c>
      <c r="Y231" s="312">
        <f t="shared" si="96"/>
        <v>0</v>
      </c>
      <c r="Z231" s="312">
        <f t="shared" si="97"/>
        <v>0</v>
      </c>
      <c r="AA231" s="294">
        <f>IF($A$225='4. LISTAS'!$C$35,(P231*B231+T231+Y231+Z231),IF($A$225='4. LISTAS'!$C$36,P231*B231+Y231,IF($A$225='4. LISTAS'!$C$37,P231*B231,"Erro")))</f>
        <v>0</v>
      </c>
      <c r="AB231" s="294">
        <f>IF($A$225='4. LISTAS'!$C$35,IF(V231="sim",AA231,AA231-X231),IF($A$225='4. LISTAS'!$C$36,IF(V231="Sim",AA231-X231,AA231-X231-Y231),IF($A$225='4. LISTAS'!$C$37,AA231,"erro")))</f>
        <v>0</v>
      </c>
      <c r="AC231" s="313">
        <f t="shared" si="101"/>
        <v>0.30349999999999999</v>
      </c>
      <c r="AD231" s="294">
        <f t="shared" si="98"/>
        <v>0</v>
      </c>
      <c r="AE231" s="312">
        <f t="shared" si="99"/>
        <v>0</v>
      </c>
      <c r="AF231" s="312">
        <f t="shared" si="100"/>
        <v>0</v>
      </c>
      <c r="AG231" s="311">
        <f>'4. LISTAS'!$M$6</f>
        <v>5.9299999999999999E-2</v>
      </c>
      <c r="AH231" s="310">
        <f>'4. LISTAS'!$M$5</f>
        <v>0.17</v>
      </c>
    </row>
    <row r="232" spans="1:38" x14ac:dyDescent="0.2">
      <c r="A232" s="323" t="s">
        <v>555</v>
      </c>
      <c r="B232" s="323">
        <v>1</v>
      </c>
      <c r="C232" s="321"/>
      <c r="D232" s="321"/>
      <c r="E232" s="321"/>
      <c r="F232" s="306">
        <f t="shared" si="93"/>
        <v>0</v>
      </c>
      <c r="G232" s="305">
        <f>IF($A$225='4. LISTAS'!$C$35,IF(V232="sim",AD232/(1-AG232),AD232/(1-AG232-(H232*(1+J232)))),IF($A$225='4. LISTAS'!$C$36,(AD232/(1-AG232-(H232*(1+J232)))),IF($A$225='4. LISTAS'!$C$37,(AB232/(1-AC232-AH232)),"Erro")))</f>
        <v>0</v>
      </c>
      <c r="H232" s="320">
        <f>IF(OR($A$225='4. LISTAS'!$C$35, $A$225='4. LISTAS'!$C$36),(VLOOKUP('1.DASHBOARD'!$B$8,'4. LISTAS'!$F$2:$G$11,2,FALSE)),0)</f>
        <v>0.18</v>
      </c>
      <c r="I232" s="305">
        <f t="shared" si="90"/>
        <v>0</v>
      </c>
      <c r="J232" s="319">
        <f>VLOOKUP($A$225,'4. LISTAS'!$C$35:$F$37,4,0)</f>
        <v>0.1125</v>
      </c>
      <c r="K232" s="305">
        <f t="shared" si="91"/>
        <v>0</v>
      </c>
      <c r="L232" s="305">
        <f t="shared" si="92"/>
        <v>0</v>
      </c>
      <c r="M232" s="318"/>
      <c r="N232" s="296"/>
      <c r="O232" s="317"/>
      <c r="P232" s="317"/>
      <c r="Q232" s="320">
        <v>0.04</v>
      </c>
      <c r="R232" s="320">
        <v>0.15</v>
      </c>
      <c r="S232" s="320">
        <v>0</v>
      </c>
      <c r="T232" s="305"/>
      <c r="U232" s="316" t="str">
        <f t="shared" si="94"/>
        <v>Não</v>
      </c>
      <c r="V232" s="315" t="s">
        <v>454</v>
      </c>
      <c r="W232" s="296"/>
      <c r="X232" s="314">
        <f t="shared" si="95"/>
        <v>0</v>
      </c>
      <c r="Y232" s="312">
        <f t="shared" si="96"/>
        <v>0</v>
      </c>
      <c r="Z232" s="312">
        <f t="shared" si="97"/>
        <v>0</v>
      </c>
      <c r="AA232" s="294">
        <f>IF($A$225='4. LISTAS'!$C$35,(P232*B232+T232+Y232+Z232),IF($A$225='4. LISTAS'!$C$36,P232*B232+Y232,IF($A$225='4. LISTAS'!$C$37,P232*B232,"Erro")))</f>
        <v>0</v>
      </c>
      <c r="AB232" s="294">
        <f>IF($A$225='4. LISTAS'!$C$35,IF(V232="sim",AA232,AA232-X232),IF($A$225='4. LISTAS'!$C$36,IF(V232="Sim",AA232-X232,AA232-X232-Y232),IF($A$225='4. LISTAS'!$C$37,AA232,"erro")))</f>
        <v>0</v>
      </c>
      <c r="AC232" s="313">
        <f t="shared" si="101"/>
        <v>0.30349999999999999</v>
      </c>
      <c r="AD232" s="294">
        <f t="shared" si="98"/>
        <v>0</v>
      </c>
      <c r="AE232" s="312">
        <f t="shared" si="99"/>
        <v>0</v>
      </c>
      <c r="AF232" s="312">
        <f t="shared" si="100"/>
        <v>0</v>
      </c>
      <c r="AG232" s="311">
        <f>'4. LISTAS'!$M$6</f>
        <v>5.9299999999999999E-2</v>
      </c>
      <c r="AH232" s="310">
        <f>'4. LISTAS'!$M$5</f>
        <v>0.17</v>
      </c>
    </row>
    <row r="233" spans="1:38" x14ac:dyDescent="0.2">
      <c r="A233" s="323" t="s">
        <v>554</v>
      </c>
      <c r="B233" s="323">
        <v>1</v>
      </c>
      <c r="C233" s="321"/>
      <c r="D233" s="321"/>
      <c r="E233" s="321"/>
      <c r="F233" s="306">
        <f t="shared" si="93"/>
        <v>0</v>
      </c>
      <c r="G233" s="305">
        <f>IF($A$225='4. LISTAS'!$C$35,IF(V233="sim",AD233/(1-AG233),AD233/(1-AG233-(H233*(1+J233)))),IF($A$225='4. LISTAS'!$C$36,(AD233/(1-AG233-(H233*(1+J233)))),IF($A$225='4. LISTAS'!$C$37,(AB233/(1-AC233-AH233)),"Erro")))</f>
        <v>0</v>
      </c>
      <c r="H233" s="320">
        <f>IF(OR($A$225='4. LISTAS'!$C$35, $A$225='4. LISTAS'!$C$36),(VLOOKUP('1.DASHBOARD'!$B$8,'4. LISTAS'!$F$2:$G$11,2,FALSE)),0)</f>
        <v>0.18</v>
      </c>
      <c r="I233" s="305">
        <f t="shared" si="90"/>
        <v>0</v>
      </c>
      <c r="J233" s="319">
        <f>VLOOKUP($A$225,'4. LISTAS'!$C$35:$F$37,4,0)</f>
        <v>0.1125</v>
      </c>
      <c r="K233" s="305">
        <f t="shared" si="91"/>
        <v>0</v>
      </c>
      <c r="L233" s="305">
        <f t="shared" si="92"/>
        <v>0</v>
      </c>
      <c r="M233" s="318"/>
      <c r="N233" s="296"/>
      <c r="O233" s="317"/>
      <c r="P233" s="317"/>
      <c r="Q233" s="320">
        <v>0.04</v>
      </c>
      <c r="R233" s="320">
        <v>0.15</v>
      </c>
      <c r="S233" s="320">
        <v>0</v>
      </c>
      <c r="T233" s="305"/>
      <c r="U233" s="316" t="str">
        <f t="shared" si="94"/>
        <v>Não</v>
      </c>
      <c r="V233" s="315" t="s">
        <v>454</v>
      </c>
      <c r="W233" s="296"/>
      <c r="X233" s="314">
        <f t="shared" si="95"/>
        <v>0</v>
      </c>
      <c r="Y233" s="312">
        <f t="shared" si="96"/>
        <v>0</v>
      </c>
      <c r="Z233" s="312">
        <f t="shared" si="97"/>
        <v>0</v>
      </c>
      <c r="AA233" s="294">
        <f>IF($A$225='4. LISTAS'!$C$35,(P233*B233+T233+Y233+Z233),IF($A$225='4. LISTAS'!$C$36,P233*B233+Y233,IF($A$225='4. LISTAS'!$C$37,P233*B233,"Erro")))</f>
        <v>0</v>
      </c>
      <c r="AB233" s="294">
        <f>IF($A$225='4. LISTAS'!$C$35,IF(V233="sim",AA233,AA233-X233),IF($A$225='4. LISTAS'!$C$36,IF(V233="Sim",AA233-X233,AA233-X233-Y233),IF($A$225='4. LISTAS'!$C$37,AA233,"erro")))</f>
        <v>0</v>
      </c>
      <c r="AC233" s="313">
        <f t="shared" si="101"/>
        <v>0.30349999999999999</v>
      </c>
      <c r="AD233" s="294">
        <f t="shared" si="98"/>
        <v>0</v>
      </c>
      <c r="AE233" s="312">
        <f t="shared" si="99"/>
        <v>0</v>
      </c>
      <c r="AF233" s="312">
        <f t="shared" si="100"/>
        <v>0</v>
      </c>
      <c r="AG233" s="311">
        <f>'4. LISTAS'!$M$6</f>
        <v>5.9299999999999999E-2</v>
      </c>
      <c r="AH233" s="310">
        <f>'4. LISTAS'!$M$5</f>
        <v>0.17</v>
      </c>
    </row>
    <row r="234" spans="1:38" x14ac:dyDescent="0.2">
      <c r="A234" s="323" t="s">
        <v>553</v>
      </c>
      <c r="B234" s="323">
        <v>1</v>
      </c>
      <c r="C234" s="321"/>
      <c r="D234" s="321"/>
      <c r="E234" s="321"/>
      <c r="F234" s="306">
        <f t="shared" si="93"/>
        <v>0</v>
      </c>
      <c r="G234" s="305">
        <f>IF($A$225='4. LISTAS'!$C$35,IF(V234="sim",AD234/(1-AG234),AD234/(1-AG234-(H234*(1+J234)))),IF($A$225='4. LISTAS'!$C$36,(AD234/(1-AG234-(H234*(1+J234)))),IF($A$225='4. LISTAS'!$C$37,(AB234/(1-AC234-AH234)),"Erro")))</f>
        <v>0</v>
      </c>
      <c r="H234" s="320">
        <f>IF(OR($A$225='4. LISTAS'!$C$35, $A$225='4. LISTAS'!$C$36),(VLOOKUP('1.DASHBOARD'!$B$8,'4. LISTAS'!$F$2:$G$11,2,FALSE)),0)</f>
        <v>0.18</v>
      </c>
      <c r="I234" s="305">
        <f t="shared" si="90"/>
        <v>0</v>
      </c>
      <c r="J234" s="319">
        <f>VLOOKUP($A$225,'4. LISTAS'!$C$35:$F$37,4,0)</f>
        <v>0.1125</v>
      </c>
      <c r="K234" s="305">
        <f t="shared" si="91"/>
        <v>0</v>
      </c>
      <c r="L234" s="305">
        <f t="shared" si="92"/>
        <v>0</v>
      </c>
      <c r="M234" s="318"/>
      <c r="N234" s="296"/>
      <c r="O234" s="317"/>
      <c r="P234" s="317"/>
      <c r="Q234" s="320">
        <v>0.04</v>
      </c>
      <c r="R234" s="320">
        <v>0.15</v>
      </c>
      <c r="S234" s="320">
        <v>0</v>
      </c>
      <c r="T234" s="305"/>
      <c r="U234" s="316" t="str">
        <f t="shared" si="94"/>
        <v>Não</v>
      </c>
      <c r="V234" s="315" t="s">
        <v>454</v>
      </c>
      <c r="W234" s="296"/>
      <c r="X234" s="314">
        <f t="shared" si="95"/>
        <v>0</v>
      </c>
      <c r="Y234" s="312">
        <f t="shared" si="96"/>
        <v>0</v>
      </c>
      <c r="Z234" s="312">
        <f t="shared" si="97"/>
        <v>0</v>
      </c>
      <c r="AA234" s="294">
        <f>IF($A$225='4. LISTAS'!$C$35,(P234*B234+T234+Y234+Z234),IF($A$225='4. LISTAS'!$C$36,P234*B234+Y234,IF($A$225='4. LISTAS'!$C$37,P234*B234,"Erro")))</f>
        <v>0</v>
      </c>
      <c r="AB234" s="294">
        <f>IF($A$225='4. LISTAS'!$C$35,IF(V234="sim",AA234,AA234-X234),IF($A$225='4. LISTAS'!$C$36,IF(V234="Sim",AA234-X234,AA234-X234-Y234),IF($A$225='4. LISTAS'!$C$37,AA234,"erro")))</f>
        <v>0</v>
      </c>
      <c r="AC234" s="313">
        <f t="shared" si="101"/>
        <v>0.30349999999999999</v>
      </c>
      <c r="AD234" s="294">
        <f t="shared" si="98"/>
        <v>0</v>
      </c>
      <c r="AE234" s="312">
        <f t="shared" si="99"/>
        <v>0</v>
      </c>
      <c r="AF234" s="312">
        <f t="shared" si="100"/>
        <v>0</v>
      </c>
      <c r="AG234" s="311">
        <f>'4. LISTAS'!$M$6</f>
        <v>5.9299999999999999E-2</v>
      </c>
      <c r="AH234" s="310">
        <f>'4. LISTAS'!$M$5</f>
        <v>0.17</v>
      </c>
    </row>
    <row r="235" spans="1:38" x14ac:dyDescent="0.2">
      <c r="A235" s="323" t="s">
        <v>552</v>
      </c>
      <c r="B235" s="323">
        <v>1</v>
      </c>
      <c r="C235" s="321"/>
      <c r="D235" s="321"/>
      <c r="E235" s="321"/>
      <c r="F235" s="306">
        <f t="shared" si="93"/>
        <v>0</v>
      </c>
      <c r="G235" s="305">
        <f>IF($A$225='4. LISTAS'!$C$35,IF(V235="sim",AD235/(1-AG235),AD235/(1-AG235-(H235*(1+J235)))),IF($A$225='4. LISTAS'!$C$36,(AD235/(1-AG235-(H235*(1+J235)))),IF($A$225='4. LISTAS'!$C$37,(AB235/(1-AC235-AH235)),"Erro")))</f>
        <v>0</v>
      </c>
      <c r="H235" s="320">
        <f>IF(OR($A$225='4. LISTAS'!$C$35, $A$225='4. LISTAS'!$C$36),(VLOOKUP('1.DASHBOARD'!$B$8,'4. LISTAS'!$F$2:$G$11,2,FALSE)),0)</f>
        <v>0.18</v>
      </c>
      <c r="I235" s="305">
        <f t="shared" si="90"/>
        <v>0</v>
      </c>
      <c r="J235" s="319">
        <f>VLOOKUP($A$225,'4. LISTAS'!$C$35:$F$37,4,0)</f>
        <v>0.1125</v>
      </c>
      <c r="K235" s="305">
        <f t="shared" si="91"/>
        <v>0</v>
      </c>
      <c r="L235" s="305">
        <f t="shared" si="92"/>
        <v>0</v>
      </c>
      <c r="M235" s="318"/>
      <c r="N235" s="296"/>
      <c r="O235" s="317"/>
      <c r="P235" s="317"/>
      <c r="Q235" s="320">
        <v>0.04</v>
      </c>
      <c r="R235" s="320">
        <v>0.15</v>
      </c>
      <c r="S235" s="320">
        <v>0</v>
      </c>
      <c r="T235" s="305"/>
      <c r="U235" s="316" t="str">
        <f t="shared" si="94"/>
        <v>Não</v>
      </c>
      <c r="V235" s="315" t="s">
        <v>454</v>
      </c>
      <c r="W235" s="296"/>
      <c r="X235" s="314">
        <f t="shared" si="95"/>
        <v>0</v>
      </c>
      <c r="Y235" s="312">
        <f t="shared" si="96"/>
        <v>0</v>
      </c>
      <c r="Z235" s="312">
        <f t="shared" si="97"/>
        <v>0</v>
      </c>
      <c r="AA235" s="294">
        <f>IF($A$225='4. LISTAS'!$C$35,(P235*B235+T235+Y235+Z235),IF($A$225='4. LISTAS'!$C$36,P235*B235+Y235,IF($A$225='4. LISTAS'!$C$37,P235*B235,"Erro")))</f>
        <v>0</v>
      </c>
      <c r="AB235" s="294">
        <f>IF($A$225='4. LISTAS'!$C$35,IF(V235="sim",AA235,AA235-X235),IF($A$225='4. LISTAS'!$C$36,IF(V235="Sim",AA235-X235,AA235-X235-Y235),IF($A$225='4. LISTAS'!$C$37,AA235,"erro")))</f>
        <v>0</v>
      </c>
      <c r="AC235" s="313">
        <f t="shared" si="101"/>
        <v>0.30349999999999999</v>
      </c>
      <c r="AD235" s="294">
        <f t="shared" si="98"/>
        <v>0</v>
      </c>
      <c r="AE235" s="312">
        <f t="shared" si="99"/>
        <v>0</v>
      </c>
      <c r="AF235" s="312">
        <f t="shared" si="100"/>
        <v>0</v>
      </c>
      <c r="AG235" s="311">
        <f>'4. LISTAS'!$M$6</f>
        <v>5.9299999999999999E-2</v>
      </c>
      <c r="AH235" s="310">
        <f>'4. LISTAS'!$M$5</f>
        <v>0.17</v>
      </c>
    </row>
    <row r="236" spans="1:38" x14ac:dyDescent="0.2">
      <c r="A236" s="323" t="s">
        <v>551</v>
      </c>
      <c r="B236" s="323">
        <v>1</v>
      </c>
      <c r="C236" s="321"/>
      <c r="D236" s="321"/>
      <c r="E236" s="321"/>
      <c r="F236" s="306">
        <f t="shared" si="93"/>
        <v>0</v>
      </c>
      <c r="G236" s="305">
        <f>IF($A$225='4. LISTAS'!$C$35,IF(V236="sim",AD236/(1-AG236),AD236/(1-AG236-(H236*(1+J236)))),IF($A$225='4. LISTAS'!$C$36,(AD236/(1-AG236-(H236*(1+J236)))),IF($A$225='4. LISTAS'!$C$37,(AB236/(1-AC236-AH236)),"Erro")))</f>
        <v>0</v>
      </c>
      <c r="H236" s="320">
        <f>IF(OR($A$225='4. LISTAS'!$C$35, $A$225='4. LISTAS'!$C$36),(VLOOKUP('1.DASHBOARD'!$B$8,'4. LISTAS'!$F$2:$G$11,2,FALSE)),0)</f>
        <v>0.18</v>
      </c>
      <c r="I236" s="305">
        <f t="shared" si="90"/>
        <v>0</v>
      </c>
      <c r="J236" s="319">
        <f>VLOOKUP($A$225,'4. LISTAS'!$C$35:$F$37,4,0)</f>
        <v>0.1125</v>
      </c>
      <c r="K236" s="305">
        <f t="shared" si="91"/>
        <v>0</v>
      </c>
      <c r="L236" s="305">
        <f t="shared" si="92"/>
        <v>0</v>
      </c>
      <c r="M236" s="318"/>
      <c r="N236" s="296"/>
      <c r="O236" s="317"/>
      <c r="P236" s="317"/>
      <c r="Q236" s="320">
        <v>0.04</v>
      </c>
      <c r="R236" s="320">
        <v>0.15</v>
      </c>
      <c r="S236" s="320">
        <v>0</v>
      </c>
      <c r="T236" s="305"/>
      <c r="U236" s="316" t="str">
        <f t="shared" si="94"/>
        <v>Não</v>
      </c>
      <c r="V236" s="315" t="s">
        <v>454</v>
      </c>
      <c r="W236" s="296"/>
      <c r="X236" s="314">
        <f t="shared" si="95"/>
        <v>0</v>
      </c>
      <c r="Y236" s="312">
        <f t="shared" si="96"/>
        <v>0</v>
      </c>
      <c r="Z236" s="312">
        <f t="shared" si="97"/>
        <v>0</v>
      </c>
      <c r="AA236" s="294">
        <f>IF($A$225='4. LISTAS'!$C$35,(P236*B236+T236+Y236+Z236),IF($A$225='4. LISTAS'!$C$36,P236*B236+Y236,IF($A$225='4. LISTAS'!$C$37,P236*B236,"Erro")))</f>
        <v>0</v>
      </c>
      <c r="AB236" s="294">
        <f>IF($A$225='4. LISTAS'!$C$35,IF(V236="sim",AA236,AA236-X236),IF($A$225='4. LISTAS'!$C$36,IF(V236="Sim",AA236-X236,AA236-X236-Y236),IF($A$225='4. LISTAS'!$C$37,AA236,"erro")))</f>
        <v>0</v>
      </c>
      <c r="AC236" s="313">
        <f t="shared" si="101"/>
        <v>0.30349999999999999</v>
      </c>
      <c r="AD236" s="294">
        <f t="shared" si="98"/>
        <v>0</v>
      </c>
      <c r="AE236" s="312">
        <f t="shared" si="99"/>
        <v>0</v>
      </c>
      <c r="AF236" s="312">
        <f t="shared" si="100"/>
        <v>0</v>
      </c>
      <c r="AG236" s="311">
        <f>'4. LISTAS'!$M$6</f>
        <v>5.9299999999999999E-2</v>
      </c>
      <c r="AH236" s="310">
        <f>'4. LISTAS'!$M$5</f>
        <v>0.17</v>
      </c>
    </row>
    <row r="237" spans="1:38" x14ac:dyDescent="0.2">
      <c r="A237" s="323" t="s">
        <v>550</v>
      </c>
      <c r="B237" s="323">
        <v>1</v>
      </c>
      <c r="C237" s="321"/>
      <c r="D237" s="321"/>
      <c r="E237" s="321"/>
      <c r="F237" s="306">
        <f t="shared" si="93"/>
        <v>0</v>
      </c>
      <c r="G237" s="305">
        <f>IF($A$225='4. LISTAS'!$C$35,IF(V237="sim",AD237/(1-AG237),AD237/(1-AG237-(H237*(1+J237)))),IF($A$225='4. LISTAS'!$C$36,(AD237/(1-AG237-(H237*(1+J237)))),IF($A$225='4. LISTAS'!$C$37,(AB237/(1-AC237-AH237)),"Erro")))</f>
        <v>0</v>
      </c>
      <c r="H237" s="320">
        <f>IF(OR($A$225='4. LISTAS'!$C$35, $A$225='4. LISTAS'!$C$36),(VLOOKUP('1.DASHBOARD'!$B$8,'4. LISTAS'!$F$2:$G$11,2,FALSE)),0)</f>
        <v>0.18</v>
      </c>
      <c r="I237" s="305">
        <f t="shared" si="90"/>
        <v>0</v>
      </c>
      <c r="J237" s="319">
        <f>VLOOKUP($A$225,'4. LISTAS'!$C$35:$F$37,4,0)</f>
        <v>0.1125</v>
      </c>
      <c r="K237" s="305">
        <f t="shared" si="91"/>
        <v>0</v>
      </c>
      <c r="L237" s="305">
        <f t="shared" si="92"/>
        <v>0</v>
      </c>
      <c r="M237" s="318"/>
      <c r="N237" s="296"/>
      <c r="O237" s="317"/>
      <c r="P237" s="317"/>
      <c r="Q237" s="320">
        <v>0.04</v>
      </c>
      <c r="R237" s="320">
        <v>0.15</v>
      </c>
      <c r="S237" s="320">
        <v>0</v>
      </c>
      <c r="T237" s="305"/>
      <c r="U237" s="316" t="str">
        <f t="shared" si="94"/>
        <v>Não</v>
      </c>
      <c r="V237" s="315" t="s">
        <v>454</v>
      </c>
      <c r="W237" s="296"/>
      <c r="X237" s="314">
        <f t="shared" si="95"/>
        <v>0</v>
      </c>
      <c r="Y237" s="312">
        <f t="shared" si="96"/>
        <v>0</v>
      </c>
      <c r="Z237" s="312">
        <f t="shared" si="97"/>
        <v>0</v>
      </c>
      <c r="AA237" s="294">
        <f>IF($A$225='4. LISTAS'!$C$35,(P237*B237+T237+Y237+Z237),IF($A$225='4. LISTAS'!$C$36,P237*B237+Y237,IF($A$225='4. LISTAS'!$C$37,P237*B237,"Erro")))</f>
        <v>0</v>
      </c>
      <c r="AB237" s="294">
        <f>IF($A$225='4. LISTAS'!$C$35,IF(V237="sim",AA237,AA237-X237),IF($A$225='4. LISTAS'!$C$36,IF(V237="Sim",AA237-X237,AA237-X237-Y237),IF($A$225='4. LISTAS'!$C$37,AA237,"erro")))</f>
        <v>0</v>
      </c>
      <c r="AC237" s="313">
        <f t="shared" si="101"/>
        <v>0.30349999999999999</v>
      </c>
      <c r="AD237" s="294">
        <f t="shared" si="98"/>
        <v>0</v>
      </c>
      <c r="AE237" s="312">
        <f t="shared" si="99"/>
        <v>0</v>
      </c>
      <c r="AF237" s="312">
        <f t="shared" si="100"/>
        <v>0</v>
      </c>
      <c r="AG237" s="311">
        <f>'4. LISTAS'!$M$6</f>
        <v>5.9299999999999999E-2</v>
      </c>
      <c r="AH237" s="310">
        <f>'4. LISTAS'!$M$5</f>
        <v>0.17</v>
      </c>
    </row>
    <row r="238" spans="1:38" x14ac:dyDescent="0.2">
      <c r="A238" s="323" t="s">
        <v>549</v>
      </c>
      <c r="B238" s="323">
        <v>1</v>
      </c>
      <c r="C238" s="321"/>
      <c r="D238" s="321"/>
      <c r="E238" s="321"/>
      <c r="F238" s="306">
        <f t="shared" si="93"/>
        <v>0</v>
      </c>
      <c r="G238" s="305">
        <f>IF($A$225='4. LISTAS'!$C$35,IF(V238="sim",AD238/(1-AG238),AD238/(1-AG238-(H238*(1+J238)))),IF($A$225='4. LISTAS'!$C$36,(AD238/(1-AG238-(H238*(1+J238)))),IF($A$225='4. LISTAS'!$C$37,(AB238/(1-AC238-AH238)),"Erro")))</f>
        <v>0</v>
      </c>
      <c r="H238" s="320">
        <f>IF(OR($A$225='4. LISTAS'!$C$35, $A$225='4. LISTAS'!$C$36),(VLOOKUP('1.DASHBOARD'!$B$8,'4. LISTAS'!$F$2:$G$11,2,FALSE)),0)</f>
        <v>0.18</v>
      </c>
      <c r="I238" s="305">
        <f t="shared" si="90"/>
        <v>0</v>
      </c>
      <c r="J238" s="319">
        <f>VLOOKUP($A$225,'4. LISTAS'!$C$35:$F$37,4,0)</f>
        <v>0.1125</v>
      </c>
      <c r="K238" s="305">
        <f t="shared" si="91"/>
        <v>0</v>
      </c>
      <c r="L238" s="305">
        <f t="shared" si="92"/>
        <v>0</v>
      </c>
      <c r="M238" s="318"/>
      <c r="N238" s="296"/>
      <c r="O238" s="317"/>
      <c r="P238" s="317"/>
      <c r="Q238" s="320">
        <v>0.04</v>
      </c>
      <c r="R238" s="320">
        <v>0.15</v>
      </c>
      <c r="S238" s="320">
        <v>0</v>
      </c>
      <c r="T238" s="305"/>
      <c r="U238" s="316" t="str">
        <f t="shared" si="94"/>
        <v>Não</v>
      </c>
      <c r="V238" s="315" t="s">
        <v>454</v>
      </c>
      <c r="W238" s="296"/>
      <c r="X238" s="314">
        <f t="shared" si="95"/>
        <v>0</v>
      </c>
      <c r="Y238" s="312">
        <f t="shared" si="96"/>
        <v>0</v>
      </c>
      <c r="Z238" s="312">
        <f t="shared" si="97"/>
        <v>0</v>
      </c>
      <c r="AA238" s="294">
        <f>IF($A$225='4. LISTAS'!$C$35,(P238*B238+T238+Y238+Z238),IF($A$225='4. LISTAS'!$C$36,P238*B238+Y238,IF($A$225='4. LISTAS'!$C$37,P238*B238,"Erro")))</f>
        <v>0</v>
      </c>
      <c r="AB238" s="294">
        <f>IF($A$225='4. LISTAS'!$C$35,IF(V238="sim",AA238,AA238-X238),IF($A$225='4. LISTAS'!$C$36,IF(V238="Sim",AA238-X238,AA238-X238-Y238),IF($A$225='4. LISTAS'!$C$37,AA238,"erro")))</f>
        <v>0</v>
      </c>
      <c r="AC238" s="313">
        <f t="shared" si="101"/>
        <v>0.30349999999999999</v>
      </c>
      <c r="AD238" s="294">
        <f t="shared" si="98"/>
        <v>0</v>
      </c>
      <c r="AE238" s="312">
        <f t="shared" si="99"/>
        <v>0</v>
      </c>
      <c r="AF238" s="312">
        <f t="shared" si="100"/>
        <v>0</v>
      </c>
      <c r="AG238" s="311">
        <f>'4. LISTAS'!$M$6</f>
        <v>5.9299999999999999E-2</v>
      </c>
      <c r="AH238" s="310">
        <f>'4. LISTAS'!$M$5</f>
        <v>0.17</v>
      </c>
    </row>
    <row r="239" spans="1:38" x14ac:dyDescent="0.2">
      <c r="A239" s="323" t="s">
        <v>548</v>
      </c>
      <c r="B239" s="323">
        <v>1</v>
      </c>
      <c r="C239" s="321"/>
      <c r="D239" s="321"/>
      <c r="E239" s="321"/>
      <c r="F239" s="306">
        <f t="shared" si="93"/>
        <v>0</v>
      </c>
      <c r="G239" s="305">
        <f>IF($A$225='4. LISTAS'!$C$35,IF(V239="sim",AD239/(1-AG239),AD239/(1-AG239-(H239*(1+J239)))),IF($A$225='4. LISTAS'!$C$36,(AD239/(1-AG239-(H239*(1+J239)))),IF($A$225='4. LISTAS'!$C$37,(AB239/(1-AC239-AH239)),"Erro")))</f>
        <v>0</v>
      </c>
      <c r="H239" s="320">
        <f>IF(OR($A$225='4. LISTAS'!$C$35, $A$225='4. LISTAS'!$C$36),(VLOOKUP('1.DASHBOARD'!$B$8,'4. LISTAS'!$F$2:$G$11,2,FALSE)),0)</f>
        <v>0.18</v>
      </c>
      <c r="I239" s="305">
        <f t="shared" si="90"/>
        <v>0</v>
      </c>
      <c r="J239" s="319">
        <f>VLOOKUP($A$225,'4. LISTAS'!$C$35:$F$37,4,0)</f>
        <v>0.1125</v>
      </c>
      <c r="K239" s="305">
        <f t="shared" si="91"/>
        <v>0</v>
      </c>
      <c r="L239" s="305">
        <f t="shared" si="92"/>
        <v>0</v>
      </c>
      <c r="M239" s="318"/>
      <c r="N239" s="296"/>
      <c r="O239" s="317"/>
      <c r="P239" s="317"/>
      <c r="Q239" s="320">
        <v>0.04</v>
      </c>
      <c r="R239" s="320">
        <v>0.15</v>
      </c>
      <c r="S239" s="320">
        <v>0</v>
      </c>
      <c r="T239" s="305"/>
      <c r="U239" s="316" t="str">
        <f t="shared" si="94"/>
        <v>Não</v>
      </c>
      <c r="V239" s="315" t="s">
        <v>454</v>
      </c>
      <c r="W239" s="296"/>
      <c r="X239" s="314">
        <f t="shared" si="95"/>
        <v>0</v>
      </c>
      <c r="Y239" s="312">
        <f t="shared" si="96"/>
        <v>0</v>
      </c>
      <c r="Z239" s="312">
        <f t="shared" si="97"/>
        <v>0</v>
      </c>
      <c r="AA239" s="294">
        <f>IF($A$225='4. LISTAS'!$C$35,(P239*B239+T239+Y239+Z239),IF($A$225='4. LISTAS'!$C$36,P239*B239+Y239,IF($A$225='4. LISTAS'!$C$37,P239*B239,"Erro")))</f>
        <v>0</v>
      </c>
      <c r="AB239" s="294">
        <f>IF($A$225='4. LISTAS'!$C$35,IF(V239="sim",AA239,AA239-X239),IF($A$225='4. LISTAS'!$C$36,IF(V239="Sim",AA239-X239,AA239-X239-Y239),IF($A$225='4. LISTAS'!$C$37,AA239,"erro")))</f>
        <v>0</v>
      </c>
      <c r="AC239" s="313">
        <f t="shared" si="101"/>
        <v>0.30349999999999999</v>
      </c>
      <c r="AD239" s="294">
        <f t="shared" si="98"/>
        <v>0</v>
      </c>
      <c r="AE239" s="312">
        <f t="shared" si="99"/>
        <v>0</v>
      </c>
      <c r="AF239" s="312">
        <f t="shared" si="100"/>
        <v>0</v>
      </c>
      <c r="AG239" s="311">
        <f>'4. LISTAS'!$M$6</f>
        <v>5.9299999999999999E-2</v>
      </c>
      <c r="AH239" s="310">
        <f>'4. LISTAS'!$M$5</f>
        <v>0.17</v>
      </c>
    </row>
    <row r="240" spans="1:38" x14ac:dyDescent="0.2">
      <c r="A240" s="323" t="s">
        <v>547</v>
      </c>
      <c r="B240" s="323">
        <v>1</v>
      </c>
      <c r="C240" s="321"/>
      <c r="D240" s="321"/>
      <c r="E240" s="321"/>
      <c r="F240" s="306">
        <f t="shared" si="93"/>
        <v>0</v>
      </c>
      <c r="G240" s="305">
        <f>IF($A$225='4. LISTAS'!$C$35,IF(V240="sim",AD240/(1-AG240),AD240/(1-AG240-(H240*(1+J240)))),IF($A$225='4. LISTAS'!$C$36,(AD240/(1-AG240-(H240*(1+J240)))),IF($A$225='4. LISTAS'!$C$37,(AB240/(1-AC240-AH240)),"Erro")))</f>
        <v>0</v>
      </c>
      <c r="H240" s="320">
        <f>IF(OR($A$225='4. LISTAS'!$C$35, $A$225='4. LISTAS'!$C$36),(VLOOKUP('1.DASHBOARD'!$B$8,'4. LISTAS'!$F$2:$G$11,2,FALSE)),0)</f>
        <v>0.18</v>
      </c>
      <c r="I240" s="305">
        <f t="shared" si="90"/>
        <v>0</v>
      </c>
      <c r="J240" s="319">
        <f>VLOOKUP($A$225,'4. LISTAS'!$C$35:$F$37,4,0)</f>
        <v>0.1125</v>
      </c>
      <c r="K240" s="305">
        <f t="shared" si="91"/>
        <v>0</v>
      </c>
      <c r="L240" s="305">
        <f t="shared" si="92"/>
        <v>0</v>
      </c>
      <c r="M240" s="318"/>
      <c r="N240" s="296"/>
      <c r="O240" s="317"/>
      <c r="P240" s="317"/>
      <c r="Q240" s="320">
        <v>0.04</v>
      </c>
      <c r="R240" s="320">
        <v>0.15</v>
      </c>
      <c r="S240" s="320">
        <v>0</v>
      </c>
      <c r="T240" s="305"/>
      <c r="U240" s="316" t="str">
        <f t="shared" si="94"/>
        <v>Não</v>
      </c>
      <c r="V240" s="315" t="s">
        <v>454</v>
      </c>
      <c r="W240" s="296"/>
      <c r="X240" s="314">
        <f t="shared" si="95"/>
        <v>0</v>
      </c>
      <c r="Y240" s="312">
        <f t="shared" si="96"/>
        <v>0</v>
      </c>
      <c r="Z240" s="312">
        <f t="shared" si="97"/>
        <v>0</v>
      </c>
      <c r="AA240" s="294">
        <f>IF($A$225='4. LISTAS'!$C$35,(P240*B240+T240+Y240+Z240),IF($A$225='4. LISTAS'!$C$36,P240*B240+Y240,IF($A$225='4. LISTAS'!$C$37,P240*B240,"Erro")))</f>
        <v>0</v>
      </c>
      <c r="AB240" s="294">
        <f>IF($A$225='4. LISTAS'!$C$35,IF(V240="sim",AA240,AA240-X240),IF($A$225='4. LISTAS'!$C$36,IF(V240="Sim",AA240-X240,AA240-X240-Y240),IF($A$225='4. LISTAS'!$C$37,AA240,"erro")))</f>
        <v>0</v>
      </c>
      <c r="AC240" s="313">
        <f t="shared" si="101"/>
        <v>0.30349999999999999</v>
      </c>
      <c r="AD240" s="294">
        <f t="shared" si="98"/>
        <v>0</v>
      </c>
      <c r="AE240" s="312">
        <f t="shared" si="99"/>
        <v>0</v>
      </c>
      <c r="AF240" s="312">
        <f t="shared" si="100"/>
        <v>0</v>
      </c>
      <c r="AG240" s="311">
        <f>'4. LISTAS'!$M$6</f>
        <v>5.9299999999999999E-2</v>
      </c>
      <c r="AH240" s="310">
        <f>'4. LISTAS'!$M$5</f>
        <v>0.17</v>
      </c>
    </row>
    <row r="241" spans="1:38" x14ac:dyDescent="0.2">
      <c r="A241" s="323" t="s">
        <v>546</v>
      </c>
      <c r="B241" s="323">
        <v>1</v>
      </c>
      <c r="C241" s="321"/>
      <c r="D241" s="321"/>
      <c r="E241" s="321"/>
      <c r="F241" s="306">
        <f t="shared" si="93"/>
        <v>0</v>
      </c>
      <c r="G241" s="305">
        <f>IF($A$225='4. LISTAS'!$C$35,IF(V241="sim",AD241/(1-AG241),AD241/(1-AG241-(H241*(1+J241)))),IF($A$225='4. LISTAS'!$C$36,(AD241/(1-AG241-(H241*(1+J241)))),IF($A$225='4. LISTAS'!$C$37,(AB241/(1-AC241-AH241)),"Erro")))</f>
        <v>0</v>
      </c>
      <c r="H241" s="320">
        <f>IF(OR($A$225='4. LISTAS'!$C$35, $A$225='4. LISTAS'!$C$36),(VLOOKUP('1.DASHBOARD'!$B$8,'4. LISTAS'!$F$2:$G$11,2,FALSE)),0)</f>
        <v>0.18</v>
      </c>
      <c r="I241" s="305">
        <f t="shared" si="90"/>
        <v>0</v>
      </c>
      <c r="J241" s="319">
        <f>VLOOKUP($A$225,'4. LISTAS'!$C$35:$F$37,4,0)</f>
        <v>0.1125</v>
      </c>
      <c r="K241" s="305">
        <f t="shared" si="91"/>
        <v>0</v>
      </c>
      <c r="L241" s="305">
        <f t="shared" si="92"/>
        <v>0</v>
      </c>
      <c r="M241" s="318"/>
      <c r="N241" s="296"/>
      <c r="O241" s="317"/>
      <c r="P241" s="317"/>
      <c r="Q241" s="320">
        <v>0.04</v>
      </c>
      <c r="R241" s="320">
        <v>0.15</v>
      </c>
      <c r="S241" s="320">
        <v>0</v>
      </c>
      <c r="T241" s="305"/>
      <c r="U241" s="316" t="str">
        <f t="shared" si="94"/>
        <v>Não</v>
      </c>
      <c r="V241" s="315" t="s">
        <v>454</v>
      </c>
      <c r="W241" s="296"/>
      <c r="X241" s="314">
        <f t="shared" si="95"/>
        <v>0</v>
      </c>
      <c r="Y241" s="312">
        <f t="shared" si="96"/>
        <v>0</v>
      </c>
      <c r="Z241" s="312">
        <f t="shared" si="97"/>
        <v>0</v>
      </c>
      <c r="AA241" s="294">
        <f>IF($A$225='4. LISTAS'!$C$35,(P241*B241+T241+Y241+Z241),IF($A$225='4. LISTAS'!$C$36,P241*B241+Y241,IF($A$225='4. LISTAS'!$C$37,P241*B241,"Erro")))</f>
        <v>0</v>
      </c>
      <c r="AB241" s="294">
        <f>IF($A$225='4. LISTAS'!$C$35,IF(V241="sim",AA241,AA241-X241),IF($A$225='4. LISTAS'!$C$36,IF(V241="Sim",AA241-X241,AA241-X241-Y241),IF($A$225='4. LISTAS'!$C$37,AA241,"erro")))</f>
        <v>0</v>
      </c>
      <c r="AC241" s="313">
        <f t="shared" si="101"/>
        <v>0.30349999999999999</v>
      </c>
      <c r="AD241" s="294">
        <f t="shared" si="98"/>
        <v>0</v>
      </c>
      <c r="AE241" s="312">
        <f t="shared" si="99"/>
        <v>0</v>
      </c>
      <c r="AF241" s="312">
        <f t="shared" si="100"/>
        <v>0</v>
      </c>
      <c r="AG241" s="311">
        <f>'4. LISTAS'!$M$6</f>
        <v>5.9299999999999999E-2</v>
      </c>
      <c r="AH241" s="310">
        <f>'4. LISTAS'!$M$5</f>
        <v>0.17</v>
      </c>
    </row>
    <row r="242" spans="1:38" x14ac:dyDescent="0.2">
      <c r="A242" s="323" t="s">
        <v>545</v>
      </c>
      <c r="B242" s="323">
        <v>1</v>
      </c>
      <c r="C242" s="321"/>
      <c r="D242" s="321"/>
      <c r="E242" s="321"/>
      <c r="F242" s="306">
        <f t="shared" si="93"/>
        <v>0</v>
      </c>
      <c r="G242" s="305">
        <f>IF($A$225='4. LISTAS'!$C$35,IF(V242="sim",AD242/(1-AG242),AD242/(1-AG242-(H242*(1+J242)))),IF($A$225='4. LISTAS'!$C$36,(AD242/(1-AG242-(H242*(1+J242)))),IF($A$225='4. LISTAS'!$C$37,(AB242/(1-AC242-AH242)),"Erro")))</f>
        <v>0</v>
      </c>
      <c r="H242" s="320">
        <f>IF(OR($A$225='4. LISTAS'!$C$35, $A$225='4. LISTAS'!$C$36),(VLOOKUP('1.DASHBOARD'!$B$8,'4. LISTAS'!$F$2:$G$11,2,FALSE)),0)</f>
        <v>0.18</v>
      </c>
      <c r="I242" s="305">
        <f t="shared" si="90"/>
        <v>0</v>
      </c>
      <c r="J242" s="319">
        <f>VLOOKUP($A$225,'4. LISTAS'!$C$35:$F$37,4,0)</f>
        <v>0.1125</v>
      </c>
      <c r="K242" s="305">
        <f t="shared" si="91"/>
        <v>0</v>
      </c>
      <c r="L242" s="305">
        <f t="shared" si="92"/>
        <v>0</v>
      </c>
      <c r="M242" s="318"/>
      <c r="N242" s="296"/>
      <c r="O242" s="317"/>
      <c r="P242" s="317"/>
      <c r="Q242" s="320">
        <v>0.04</v>
      </c>
      <c r="R242" s="320">
        <v>0.15</v>
      </c>
      <c r="S242" s="320">
        <v>0</v>
      </c>
      <c r="T242" s="305"/>
      <c r="U242" s="316" t="str">
        <f t="shared" si="94"/>
        <v>Não</v>
      </c>
      <c r="V242" s="315" t="s">
        <v>454</v>
      </c>
      <c r="W242" s="296"/>
      <c r="X242" s="314">
        <f t="shared" si="95"/>
        <v>0</v>
      </c>
      <c r="Y242" s="312">
        <f t="shared" si="96"/>
        <v>0</v>
      </c>
      <c r="Z242" s="312">
        <f t="shared" si="97"/>
        <v>0</v>
      </c>
      <c r="AA242" s="294">
        <f>IF($A$225='4. LISTAS'!$C$35,(P242*B242+T242+Y242+Z242),IF($A$225='4. LISTAS'!$C$36,P242*B242+Y242,IF($A$225='4. LISTAS'!$C$37,P242*B242,"Erro")))</f>
        <v>0</v>
      </c>
      <c r="AB242" s="294">
        <f>IF($A$225='4. LISTAS'!$C$35,IF(V242="sim",AA242,AA242-X242),IF($A$225='4. LISTAS'!$C$36,IF(V242="Sim",AA242-X242,AA242-X242-Y242),IF($A$225='4. LISTAS'!$C$37,AA242,"erro")))</f>
        <v>0</v>
      </c>
      <c r="AC242" s="313">
        <f t="shared" si="101"/>
        <v>0.30349999999999999</v>
      </c>
      <c r="AD242" s="294">
        <f t="shared" si="98"/>
        <v>0</v>
      </c>
      <c r="AE242" s="312">
        <f t="shared" si="99"/>
        <v>0</v>
      </c>
      <c r="AF242" s="312">
        <f t="shared" si="100"/>
        <v>0</v>
      </c>
      <c r="AG242" s="311">
        <f>'4. LISTAS'!$M$6</f>
        <v>5.9299999999999999E-2</v>
      </c>
      <c r="AH242" s="310">
        <f>'4. LISTAS'!$M$5</f>
        <v>0.17</v>
      </c>
    </row>
    <row r="243" spans="1:38" x14ac:dyDescent="0.2">
      <c r="A243" s="323" t="s">
        <v>544</v>
      </c>
      <c r="B243" s="323">
        <v>1</v>
      </c>
      <c r="C243" s="321"/>
      <c r="D243" s="321"/>
      <c r="E243" s="321"/>
      <c r="F243" s="306">
        <f t="shared" si="93"/>
        <v>0</v>
      </c>
      <c r="G243" s="305">
        <f>IF($A$225='4. LISTAS'!$C$35,IF(V243="sim",AD243/(1-AG243),AD243/(1-AG243-(H243*(1+J243)))),IF($A$225='4. LISTAS'!$C$36,(AD243/(1-AG243-(H243*(1+J243)))),IF($A$225='4. LISTAS'!$C$37,(AB243/(1-AC243-AH243)),"Erro")))</f>
        <v>0</v>
      </c>
      <c r="H243" s="320">
        <f>IF(OR($A$225='4. LISTAS'!$C$35, $A$225='4. LISTAS'!$C$36),(VLOOKUP('1.DASHBOARD'!$B$8,'4. LISTAS'!$F$2:$G$11,2,FALSE)),0)</f>
        <v>0.18</v>
      </c>
      <c r="I243" s="305">
        <f t="shared" si="90"/>
        <v>0</v>
      </c>
      <c r="J243" s="319">
        <f>VLOOKUP($A$225,'4. LISTAS'!$C$35:$F$37,4,0)</f>
        <v>0.1125</v>
      </c>
      <c r="K243" s="305">
        <f t="shared" si="91"/>
        <v>0</v>
      </c>
      <c r="L243" s="305">
        <f t="shared" si="92"/>
        <v>0</v>
      </c>
      <c r="M243" s="318"/>
      <c r="N243" s="296"/>
      <c r="O243" s="317"/>
      <c r="P243" s="317"/>
      <c r="Q243" s="320">
        <v>0.04</v>
      </c>
      <c r="R243" s="320">
        <v>0.15</v>
      </c>
      <c r="S243" s="320">
        <v>0</v>
      </c>
      <c r="T243" s="305"/>
      <c r="U243" s="316" t="str">
        <f t="shared" si="94"/>
        <v>Não</v>
      </c>
      <c r="V243" s="315" t="s">
        <v>454</v>
      </c>
      <c r="W243" s="296"/>
      <c r="X243" s="314">
        <f t="shared" si="95"/>
        <v>0</v>
      </c>
      <c r="Y243" s="312">
        <f t="shared" si="96"/>
        <v>0</v>
      </c>
      <c r="Z243" s="312">
        <f t="shared" si="97"/>
        <v>0</v>
      </c>
      <c r="AA243" s="294">
        <f>IF($A$225='4. LISTAS'!$C$35,(P243*B243+T243+Y243+Z243),IF($A$225='4. LISTAS'!$C$36,P243*B243+Y243,IF($A$225='4. LISTAS'!$C$37,P243*B243,"Erro")))</f>
        <v>0</v>
      </c>
      <c r="AB243" s="294">
        <f>IF($A$225='4. LISTAS'!$C$35,IF(V243="sim",AA243,AA243-X243),IF($A$225='4. LISTAS'!$C$36,IF(V243="Sim",AA243-X243,AA243-X243-Y243),IF($A$225='4. LISTAS'!$C$37,AA243,"erro")))</f>
        <v>0</v>
      </c>
      <c r="AC243" s="313">
        <f t="shared" si="101"/>
        <v>0.30349999999999999</v>
      </c>
      <c r="AD243" s="294">
        <f t="shared" si="98"/>
        <v>0</v>
      </c>
      <c r="AE243" s="312">
        <f t="shared" si="99"/>
        <v>0</v>
      </c>
      <c r="AF243" s="312">
        <f t="shared" si="100"/>
        <v>0</v>
      </c>
      <c r="AG243" s="311">
        <f>'4. LISTAS'!$M$6</f>
        <v>5.9299999999999999E-2</v>
      </c>
      <c r="AH243" s="310">
        <f>'4. LISTAS'!$M$5</f>
        <v>0.17</v>
      </c>
    </row>
    <row r="244" spans="1:38" x14ac:dyDescent="0.2">
      <c r="A244" s="323" t="s">
        <v>543</v>
      </c>
      <c r="B244" s="323">
        <v>1</v>
      </c>
      <c r="C244" s="321"/>
      <c r="D244" s="321"/>
      <c r="E244" s="321"/>
      <c r="F244" s="306">
        <f t="shared" si="93"/>
        <v>0</v>
      </c>
      <c r="G244" s="305">
        <f>IF($A$225='4. LISTAS'!$C$35,IF(V244="sim",AD244/(1-AG244),AD244/(1-AG244-(H244*(1+J244)))),IF($A$225='4. LISTAS'!$C$36,(AD244/(1-AG244-(H244*(1+J244)))),IF($A$225='4. LISTAS'!$C$37,(AB244/(1-AC244-AH244)),"Erro")))</f>
        <v>0</v>
      </c>
      <c r="H244" s="320">
        <f>IF(OR($A$225='4. LISTAS'!$C$35, $A$225='4. LISTAS'!$C$36),(VLOOKUP('1.DASHBOARD'!$B$8,'4. LISTAS'!$F$2:$G$11,2,FALSE)),0)</f>
        <v>0.18</v>
      </c>
      <c r="I244" s="305">
        <f t="shared" si="90"/>
        <v>0</v>
      </c>
      <c r="J244" s="319">
        <f>VLOOKUP($A$225,'4. LISTAS'!$C$35:$F$37,4,0)</f>
        <v>0.1125</v>
      </c>
      <c r="K244" s="305">
        <f t="shared" si="91"/>
        <v>0</v>
      </c>
      <c r="L244" s="305">
        <f t="shared" si="92"/>
        <v>0</v>
      </c>
      <c r="M244" s="318"/>
      <c r="N244" s="296"/>
      <c r="O244" s="317"/>
      <c r="P244" s="317"/>
      <c r="Q244" s="320">
        <v>0.04</v>
      </c>
      <c r="R244" s="320">
        <v>0.15</v>
      </c>
      <c r="S244" s="320">
        <v>0</v>
      </c>
      <c r="T244" s="305"/>
      <c r="U244" s="316" t="str">
        <f t="shared" si="94"/>
        <v>Não</v>
      </c>
      <c r="V244" s="315" t="s">
        <v>454</v>
      </c>
      <c r="W244" s="296"/>
      <c r="X244" s="314">
        <f t="shared" si="95"/>
        <v>0</v>
      </c>
      <c r="Y244" s="312">
        <f t="shared" si="96"/>
        <v>0</v>
      </c>
      <c r="Z244" s="312">
        <f t="shared" si="97"/>
        <v>0</v>
      </c>
      <c r="AA244" s="294">
        <f>IF($A$225='4. LISTAS'!$C$35,(P244*B244+T244+Y244+Z244),IF($A$225='4. LISTAS'!$C$36,P244*B244+Y244,IF($A$225='4. LISTAS'!$C$37,P244*B244,"Erro")))</f>
        <v>0</v>
      </c>
      <c r="AB244" s="294">
        <f>IF($A$225='4. LISTAS'!$C$35,IF(V244="sim",AA244,AA244-X244),IF($A$225='4. LISTAS'!$C$36,IF(V244="Sim",AA244-X244,AA244-X244-Y244),IF($A$225='4. LISTAS'!$C$37,AA244,"erro")))</f>
        <v>0</v>
      </c>
      <c r="AC244" s="313">
        <f t="shared" si="101"/>
        <v>0.30349999999999999</v>
      </c>
      <c r="AD244" s="294">
        <f t="shared" si="98"/>
        <v>0</v>
      </c>
      <c r="AE244" s="312">
        <f t="shared" si="99"/>
        <v>0</v>
      </c>
      <c r="AF244" s="312">
        <f t="shared" si="100"/>
        <v>0</v>
      </c>
      <c r="AG244" s="311">
        <f>'4. LISTAS'!$M$6</f>
        <v>5.9299999999999999E-2</v>
      </c>
      <c r="AH244" s="310">
        <f>'4. LISTAS'!$M$5</f>
        <v>0.17</v>
      </c>
    </row>
    <row r="245" spans="1:38" x14ac:dyDescent="0.2">
      <c r="A245" s="323" t="s">
        <v>542</v>
      </c>
      <c r="B245" s="323">
        <v>1</v>
      </c>
      <c r="C245" s="321"/>
      <c r="D245" s="321"/>
      <c r="E245" s="321"/>
      <c r="F245" s="306">
        <f t="shared" si="93"/>
        <v>0</v>
      </c>
      <c r="G245" s="305">
        <f>IF($A$225='4. LISTAS'!$C$35,IF(V245="sim",AD245/(1-AG245),AD245/(1-AG245-(H245*(1+J245)))),IF($A$225='4. LISTAS'!$C$36,(AD245/(1-AG245-(H245*(1+J245)))),IF($A$225='4. LISTAS'!$C$37,(AB245/(1-AC245-AH245)),"Erro")))</f>
        <v>0</v>
      </c>
      <c r="H245" s="320">
        <f>IF(OR($A$225='4. LISTAS'!$C$35, $A$225='4. LISTAS'!$C$36),(VLOOKUP('1.DASHBOARD'!$B$8,'4. LISTAS'!$F$2:$G$11,2,FALSE)),0)</f>
        <v>0.18</v>
      </c>
      <c r="I245" s="305">
        <f t="shared" si="90"/>
        <v>0</v>
      </c>
      <c r="J245" s="319">
        <f>VLOOKUP($A$225,'4. LISTAS'!$C$35:$F$37,4,0)</f>
        <v>0.1125</v>
      </c>
      <c r="K245" s="305">
        <f t="shared" si="91"/>
        <v>0</v>
      </c>
      <c r="L245" s="305">
        <f t="shared" si="92"/>
        <v>0</v>
      </c>
      <c r="M245" s="318"/>
      <c r="N245" s="296"/>
      <c r="O245" s="317"/>
      <c r="P245" s="317"/>
      <c r="Q245" s="320">
        <v>0.04</v>
      </c>
      <c r="R245" s="320">
        <v>0.15</v>
      </c>
      <c r="S245" s="320">
        <v>0</v>
      </c>
      <c r="T245" s="305"/>
      <c r="U245" s="316" t="str">
        <f t="shared" si="94"/>
        <v>Não</v>
      </c>
      <c r="V245" s="315" t="s">
        <v>454</v>
      </c>
      <c r="W245" s="296"/>
      <c r="X245" s="314">
        <f t="shared" si="95"/>
        <v>0</v>
      </c>
      <c r="Y245" s="312">
        <f t="shared" si="96"/>
        <v>0</v>
      </c>
      <c r="Z245" s="312">
        <f t="shared" si="97"/>
        <v>0</v>
      </c>
      <c r="AA245" s="294">
        <f>IF($A$225='4. LISTAS'!$C$35,(P245*B245+T245+Y245+Z245),IF($A$225='4. LISTAS'!$C$36,P245*B245+Y245,IF($A$225='4. LISTAS'!$C$37,P245*B245,"Erro")))</f>
        <v>0</v>
      </c>
      <c r="AB245" s="294">
        <f>IF($A$225='4. LISTAS'!$C$35,IF(V245="sim",AA245,AA245-X245),IF($A$225='4. LISTAS'!$C$36,IF(V245="Sim",AA245-X245,AA245-X245-Y245),IF($A$225='4. LISTAS'!$C$37,AA245,"erro")))</f>
        <v>0</v>
      </c>
      <c r="AC245" s="313">
        <f t="shared" si="101"/>
        <v>0.30349999999999999</v>
      </c>
      <c r="AD245" s="294">
        <f t="shared" si="98"/>
        <v>0</v>
      </c>
      <c r="AE245" s="312">
        <f t="shared" si="99"/>
        <v>0</v>
      </c>
      <c r="AF245" s="312">
        <f t="shared" si="100"/>
        <v>0</v>
      </c>
      <c r="AG245" s="311">
        <f>'4. LISTAS'!$M$6</f>
        <v>5.9299999999999999E-2</v>
      </c>
      <c r="AH245" s="310">
        <f>'4. LISTAS'!$M$5</f>
        <v>0.17</v>
      </c>
    </row>
    <row r="246" spans="1:38" x14ac:dyDescent="0.2">
      <c r="A246" s="323" t="s">
        <v>541</v>
      </c>
      <c r="B246" s="323">
        <v>1</v>
      </c>
      <c r="C246" s="321"/>
      <c r="D246" s="321"/>
      <c r="E246" s="321"/>
      <c r="F246" s="306">
        <f t="shared" si="93"/>
        <v>0</v>
      </c>
      <c r="G246" s="305">
        <f>IF($A$225='4. LISTAS'!$C$35,IF(V246="sim",AD246/(1-AG246),AD246/(1-AG246-(H246*(1+J246)))),IF($A$225='4. LISTAS'!$C$36,(AD246/(1-AG246-(H246*(1+J246)))),IF($A$225='4. LISTAS'!$C$37,(AB246/(1-AC246-AH246)),"Erro")))</f>
        <v>0</v>
      </c>
      <c r="H246" s="320">
        <f>IF(OR($A$225='4. LISTAS'!$C$35, $A$225='4. LISTAS'!$C$36),(VLOOKUP('1.DASHBOARD'!$B$8,'4. LISTAS'!$F$2:$G$11,2,FALSE)),0)</f>
        <v>0.18</v>
      </c>
      <c r="I246" s="305">
        <f t="shared" si="90"/>
        <v>0</v>
      </c>
      <c r="J246" s="319">
        <f>VLOOKUP($A$225,'4. LISTAS'!$C$35:$F$37,4,0)</f>
        <v>0.1125</v>
      </c>
      <c r="K246" s="305">
        <f t="shared" si="91"/>
        <v>0</v>
      </c>
      <c r="L246" s="305">
        <f t="shared" si="92"/>
        <v>0</v>
      </c>
      <c r="M246" s="318"/>
      <c r="N246" s="296"/>
      <c r="O246" s="317"/>
      <c r="P246" s="317"/>
      <c r="Q246" s="320">
        <v>0.04</v>
      </c>
      <c r="R246" s="320">
        <v>0.15</v>
      </c>
      <c r="S246" s="320">
        <v>0</v>
      </c>
      <c r="T246" s="305"/>
      <c r="U246" s="316" t="str">
        <f t="shared" si="94"/>
        <v>Não</v>
      </c>
      <c r="V246" s="315" t="s">
        <v>454</v>
      </c>
      <c r="W246" s="296"/>
      <c r="X246" s="314">
        <f t="shared" si="95"/>
        <v>0</v>
      </c>
      <c r="Y246" s="312">
        <f t="shared" si="96"/>
        <v>0</v>
      </c>
      <c r="Z246" s="312">
        <f t="shared" si="97"/>
        <v>0</v>
      </c>
      <c r="AA246" s="294">
        <f>IF($A$225='4. LISTAS'!$C$35,(P246*B246+T246+Y246+Z246),IF($A$225='4. LISTAS'!$C$36,P246*B246+Y246,IF($A$225='4. LISTAS'!$C$37,P246*B246,"Erro")))</f>
        <v>0</v>
      </c>
      <c r="AB246" s="294">
        <f>IF($A$225='4. LISTAS'!$C$35,IF(V246="sim",AA246,AA246-X246),IF($A$225='4. LISTAS'!$C$36,IF(V246="Sim",AA246-X246,AA246-X246-Y246),IF($A$225='4. LISTAS'!$C$37,AA246,"erro")))</f>
        <v>0</v>
      </c>
      <c r="AC246" s="313">
        <f t="shared" si="101"/>
        <v>0.30349999999999999</v>
      </c>
      <c r="AD246" s="294">
        <f t="shared" si="98"/>
        <v>0</v>
      </c>
      <c r="AE246" s="312">
        <f t="shared" si="99"/>
        <v>0</v>
      </c>
      <c r="AF246" s="312">
        <f t="shared" si="100"/>
        <v>0</v>
      </c>
      <c r="AG246" s="311">
        <f>'4. LISTAS'!$M$6</f>
        <v>5.9299999999999999E-2</v>
      </c>
      <c r="AH246" s="310">
        <f>'4. LISTAS'!$M$5</f>
        <v>0.17</v>
      </c>
    </row>
    <row r="247" spans="1:38" x14ac:dyDescent="0.2">
      <c r="A247" s="323" t="s">
        <v>540</v>
      </c>
      <c r="B247" s="323">
        <v>1</v>
      </c>
      <c r="C247" s="321"/>
      <c r="D247" s="321"/>
      <c r="E247" s="321"/>
      <c r="F247" s="306">
        <f t="shared" si="93"/>
        <v>0</v>
      </c>
      <c r="G247" s="305">
        <f>IF($A$225='4. LISTAS'!$C$35,IF(V247="sim",AD247/(1-AG247),AD247/(1-AG247-(H247*(1+J247)))),IF($A$225='4. LISTAS'!$C$36,(AD247/(1-AG247-(H247*(1+J247)))),IF($A$225='4. LISTAS'!$C$37,(AB247/(1-AC247-AH247)),"Erro")))</f>
        <v>0</v>
      </c>
      <c r="H247" s="320">
        <f>IF(OR($A$225='4. LISTAS'!$C$35, $A$225='4. LISTAS'!$C$36),(VLOOKUP('1.DASHBOARD'!$B$8,'4. LISTAS'!$F$2:$G$11,2,FALSE)),0)</f>
        <v>0.18</v>
      </c>
      <c r="I247" s="305">
        <f t="shared" si="90"/>
        <v>0</v>
      </c>
      <c r="J247" s="319">
        <f>VLOOKUP($A$225,'4. LISTAS'!$C$35:$F$37,4,0)</f>
        <v>0.1125</v>
      </c>
      <c r="K247" s="305">
        <f t="shared" si="91"/>
        <v>0</v>
      </c>
      <c r="L247" s="305">
        <f t="shared" si="92"/>
        <v>0</v>
      </c>
      <c r="M247" s="318"/>
      <c r="N247" s="296"/>
      <c r="O247" s="317"/>
      <c r="P247" s="317"/>
      <c r="Q247" s="320">
        <v>0.04</v>
      </c>
      <c r="R247" s="320">
        <v>0.15</v>
      </c>
      <c r="S247" s="320">
        <v>0</v>
      </c>
      <c r="T247" s="305"/>
      <c r="U247" s="316" t="str">
        <f t="shared" si="94"/>
        <v>Não</v>
      </c>
      <c r="V247" s="315" t="s">
        <v>454</v>
      </c>
      <c r="W247" s="296"/>
      <c r="X247" s="314">
        <f t="shared" si="95"/>
        <v>0</v>
      </c>
      <c r="Y247" s="312">
        <f t="shared" si="96"/>
        <v>0</v>
      </c>
      <c r="Z247" s="312">
        <f t="shared" si="97"/>
        <v>0</v>
      </c>
      <c r="AA247" s="294">
        <f>IF($A$225='4. LISTAS'!$C$35,(P247*B247+T247+Y247+Z247),IF($A$225='4. LISTAS'!$C$36,P247*B247+Y247,IF($A$225='4. LISTAS'!$C$37,P247*B247,"Erro")))</f>
        <v>0</v>
      </c>
      <c r="AB247" s="294">
        <f>IF($A$225='4. LISTAS'!$C$35,IF(V247="sim",AA247,AA247-X247),IF($A$225='4. LISTAS'!$C$36,IF(V247="Sim",AA247-X247,AA247-X247-Y247),IF($A$225='4. LISTAS'!$C$37,AA247,"erro")))</f>
        <v>0</v>
      </c>
      <c r="AC247" s="313">
        <f t="shared" si="101"/>
        <v>0.30349999999999999</v>
      </c>
      <c r="AD247" s="294">
        <f t="shared" si="98"/>
        <v>0</v>
      </c>
      <c r="AE247" s="312">
        <f t="shared" si="99"/>
        <v>0</v>
      </c>
      <c r="AF247" s="312">
        <f t="shared" si="100"/>
        <v>0</v>
      </c>
      <c r="AG247" s="311">
        <f>'4. LISTAS'!$M$6</f>
        <v>5.9299999999999999E-2</v>
      </c>
      <c r="AH247" s="310">
        <f>'4. LISTAS'!$M$5</f>
        <v>0.17</v>
      </c>
      <c r="AI247" s="296"/>
      <c r="AJ247" s="321"/>
      <c r="AK247" s="321"/>
      <c r="AL247" s="321"/>
    </row>
    <row r="248" spans="1:38" x14ac:dyDescent="0.2">
      <c r="A248" s="323" t="s">
        <v>539</v>
      </c>
      <c r="B248" s="323">
        <v>1</v>
      </c>
      <c r="C248" s="321"/>
      <c r="D248" s="321"/>
      <c r="E248" s="321"/>
      <c r="F248" s="306">
        <f t="shared" si="93"/>
        <v>0</v>
      </c>
      <c r="G248" s="305">
        <f>IF($A$225='4. LISTAS'!$C$35,IF(V248="sim",AD248/(1-AG248),AD248/(1-AG248-(H248*(1+J248)))),IF($A$225='4. LISTAS'!$C$36,(AD248/(1-AG248-(H248*(1+J248)))),IF($A$225='4. LISTAS'!$C$37,(AB248/(1-AC248-AH248)),"Erro")))</f>
        <v>0</v>
      </c>
      <c r="H248" s="320">
        <f>IF(OR($A$225='4. LISTAS'!$C$35, $A$225='4. LISTAS'!$C$36),(VLOOKUP('1.DASHBOARD'!$B$8,'4. LISTAS'!$F$2:$G$11,2,FALSE)),0)</f>
        <v>0.18</v>
      </c>
      <c r="I248" s="305">
        <f t="shared" si="90"/>
        <v>0</v>
      </c>
      <c r="J248" s="319">
        <f>VLOOKUP($A$225,'4. LISTAS'!$C$35:$F$37,4,0)</f>
        <v>0.1125</v>
      </c>
      <c r="K248" s="305">
        <f t="shared" si="91"/>
        <v>0</v>
      </c>
      <c r="L248" s="305">
        <f t="shared" si="92"/>
        <v>0</v>
      </c>
      <c r="M248" s="318"/>
      <c r="N248" s="296"/>
      <c r="O248" s="317"/>
      <c r="P248" s="317"/>
      <c r="Q248" s="320">
        <v>0.04</v>
      </c>
      <c r="R248" s="320">
        <v>0.15</v>
      </c>
      <c r="S248" s="320">
        <v>0</v>
      </c>
      <c r="T248" s="305"/>
      <c r="U248" s="316" t="str">
        <f t="shared" si="94"/>
        <v>Não</v>
      </c>
      <c r="V248" s="315" t="s">
        <v>454</v>
      </c>
      <c r="W248" s="296"/>
      <c r="X248" s="314">
        <f t="shared" si="95"/>
        <v>0</v>
      </c>
      <c r="Y248" s="312">
        <f t="shared" si="96"/>
        <v>0</v>
      </c>
      <c r="Z248" s="312">
        <f t="shared" si="97"/>
        <v>0</v>
      </c>
      <c r="AA248" s="294">
        <f>IF($A$225='4. LISTAS'!$C$35,(P248*B248+T248+Y248+Z248),IF($A$225='4. LISTAS'!$C$36,P248*B248+Y248,IF($A$225='4. LISTAS'!$C$37,P248*B248,"Erro")))</f>
        <v>0</v>
      </c>
      <c r="AB248" s="294">
        <f>IF($A$225='4. LISTAS'!$C$35,IF(V248="sim",AA248,AA248-X248),IF($A$225='4. LISTAS'!$C$36,IF(V248="Sim",AA248-X248,AA248-X248-Y248),IF($A$225='4. LISTAS'!$C$37,AA248,"erro")))</f>
        <v>0</v>
      </c>
      <c r="AC248" s="313">
        <f t="shared" si="101"/>
        <v>0.30349999999999999</v>
      </c>
      <c r="AD248" s="294">
        <f t="shared" si="98"/>
        <v>0</v>
      </c>
      <c r="AE248" s="312">
        <f t="shared" si="99"/>
        <v>0</v>
      </c>
      <c r="AF248" s="312">
        <f t="shared" si="100"/>
        <v>0</v>
      </c>
      <c r="AG248" s="311">
        <f>'4. LISTAS'!$M$6</f>
        <v>5.9299999999999999E-2</v>
      </c>
      <c r="AH248" s="310">
        <f>'4. LISTAS'!$M$5</f>
        <v>0.17</v>
      </c>
      <c r="AI248" s="296"/>
      <c r="AJ248" s="321"/>
      <c r="AK248" s="321"/>
      <c r="AL248" s="321"/>
    </row>
    <row r="249" spans="1:38" x14ac:dyDescent="0.2">
      <c r="A249" s="323" t="s">
        <v>538</v>
      </c>
      <c r="B249" s="322">
        <f>B218</f>
        <v>0</v>
      </c>
      <c r="C249" s="321"/>
      <c r="D249" s="321" t="str">
        <f>D218</f>
        <v>Gestão + Compras</v>
      </c>
      <c r="E249" s="321"/>
      <c r="F249" s="306">
        <f>IF(B249&lt;&gt;0,G249/B249,0)</f>
        <v>0</v>
      </c>
      <c r="G249" s="305">
        <f>IF($A$225='4. LISTAS'!$C$35,IF(V249="sim",AD249/(1-AG249),AD249/(1-AG249-(H249*(1+J249)))),IF($A$225='4. LISTAS'!$C$36,(AD249/(1-AG249-(H249*(1+J249)))),IF($A$225='4. LISTAS'!$C$37,(AB249/(1-AC249-AH249)),"Erro")))</f>
        <v>0</v>
      </c>
      <c r="H249" s="320">
        <f>IF(OR($A$225='4. LISTAS'!$C$35, $A$225='4. LISTAS'!$C$36),(VLOOKUP('1.DASHBOARD'!$B$8,'4. LISTAS'!$F$2:$G$11,2,FALSE)),0)</f>
        <v>0.18</v>
      </c>
      <c r="I249" s="305">
        <f t="shared" si="90"/>
        <v>0</v>
      </c>
      <c r="J249" s="319">
        <f>VLOOKUP($A$225,'4. LISTAS'!$C$35:$F$37,4,0)</f>
        <v>0.1125</v>
      </c>
      <c r="K249" s="305">
        <f t="shared" si="91"/>
        <v>0</v>
      </c>
      <c r="L249" s="305">
        <f t="shared" si="92"/>
        <v>0</v>
      </c>
      <c r="M249" s="318"/>
      <c r="N249" s="296"/>
      <c r="O249" s="317"/>
      <c r="P249" s="317">
        <f t="shared" ref="P249:S252" si="102">P218</f>
        <v>355.22537921211438</v>
      </c>
      <c r="Q249" s="306">
        <f t="shared" si="102"/>
        <v>0</v>
      </c>
      <c r="R249" s="306">
        <f t="shared" si="102"/>
        <v>0</v>
      </c>
      <c r="S249" s="306">
        <f t="shared" si="102"/>
        <v>0</v>
      </c>
      <c r="T249" s="305"/>
      <c r="U249" s="316" t="str">
        <f t="shared" si="94"/>
        <v>Não</v>
      </c>
      <c r="V249" s="315" t="s">
        <v>454</v>
      </c>
      <c r="W249" s="296"/>
      <c r="X249" s="314">
        <f t="shared" si="95"/>
        <v>0</v>
      </c>
      <c r="Y249" s="312">
        <f t="shared" si="96"/>
        <v>0</v>
      </c>
      <c r="Z249" s="312">
        <f t="shared" si="97"/>
        <v>0</v>
      </c>
      <c r="AA249" s="294">
        <f>IF($A$225='4. LISTAS'!$C$35,(P249*B249+T249+Y249+Z249),IF($A$225='4. LISTAS'!$C$36,P249*B249+Y249,IF($A$225='4. LISTAS'!$C$37,P249*B249,"Erro")))</f>
        <v>0</v>
      </c>
      <c r="AB249" s="294">
        <f>IF($A$225='4. LISTAS'!$C$35,IF(V249="sim",AA249,AA249-X249),IF($A$225='4. LISTAS'!$C$36,IF(V249="Sim",AA249-X249,AA249-X249-Y249),IF($A$225='4. LISTAS'!$C$37,AA249,"erro")))</f>
        <v>0</v>
      </c>
      <c r="AC249" s="313">
        <f>'1.DASHBOARD'!$B$11</f>
        <v>0.25</v>
      </c>
      <c r="AD249" s="294">
        <f t="shared" si="98"/>
        <v>0</v>
      </c>
      <c r="AE249" s="312">
        <f t="shared" si="99"/>
        <v>0</v>
      </c>
      <c r="AF249" s="312">
        <f t="shared" si="100"/>
        <v>0</v>
      </c>
      <c r="AG249" s="311">
        <f>'4. LISTAS'!$M$6</f>
        <v>5.9299999999999999E-2</v>
      </c>
      <c r="AH249" s="310">
        <f>'4. LISTAS'!$M$5</f>
        <v>0.17</v>
      </c>
      <c r="AI249" s="296"/>
      <c r="AJ249" s="321"/>
      <c r="AK249" s="321"/>
      <c r="AL249" s="321"/>
    </row>
    <row r="250" spans="1:38" x14ac:dyDescent="0.2">
      <c r="A250" s="323" t="s">
        <v>537</v>
      </c>
      <c r="B250" s="322">
        <f>B219</f>
        <v>0</v>
      </c>
      <c r="C250" s="321"/>
      <c r="D250" s="321" t="str">
        <f>D219</f>
        <v>Projeto</v>
      </c>
      <c r="E250" s="321"/>
      <c r="F250" s="306">
        <f>IF(B249&lt;&gt;0,G250/B250,0)</f>
        <v>0</v>
      </c>
      <c r="G250" s="305">
        <f>IF($A$225='4. LISTAS'!$C$35,IF(V250="sim",AD250/(1-AG250),AD250/(1-AG250-(H250*(1+J250)))),IF($A$225='4. LISTAS'!$C$36,(AD250/(1-AG250-(H250*(1+J250)))),IF($A$225='4. LISTAS'!$C$37,(AB250/(1-AC250-AH250)),"Erro")))</f>
        <v>0</v>
      </c>
      <c r="H250" s="320">
        <f>IF(OR($A$225='4. LISTAS'!$C$35, $A$225='4. LISTAS'!$C$36),(VLOOKUP('1.DASHBOARD'!$B$8,'4. LISTAS'!$F$2:$G$11,2,FALSE)),0)</f>
        <v>0.18</v>
      </c>
      <c r="I250" s="305">
        <f t="shared" si="90"/>
        <v>0</v>
      </c>
      <c r="J250" s="319">
        <f>VLOOKUP($A$225,'4. LISTAS'!$C$35:$F$37,4,0)</f>
        <v>0.1125</v>
      </c>
      <c r="K250" s="305">
        <f t="shared" si="91"/>
        <v>0</v>
      </c>
      <c r="L250" s="305">
        <f t="shared" si="92"/>
        <v>0</v>
      </c>
      <c r="M250" s="318"/>
      <c r="N250" s="296"/>
      <c r="O250" s="317"/>
      <c r="P250" s="317">
        <f t="shared" si="102"/>
        <v>37.149026125714286</v>
      </c>
      <c r="Q250" s="306">
        <f t="shared" si="102"/>
        <v>0</v>
      </c>
      <c r="R250" s="306">
        <f t="shared" si="102"/>
        <v>0</v>
      </c>
      <c r="S250" s="306">
        <f t="shared" si="102"/>
        <v>0</v>
      </c>
      <c r="T250" s="305"/>
      <c r="U250" s="316" t="str">
        <f t="shared" si="94"/>
        <v>Não</v>
      </c>
      <c r="V250" s="315" t="s">
        <v>454</v>
      </c>
      <c r="W250" s="296"/>
      <c r="X250" s="314">
        <f t="shared" si="95"/>
        <v>0</v>
      </c>
      <c r="Y250" s="312">
        <f t="shared" si="96"/>
        <v>0</v>
      </c>
      <c r="Z250" s="312">
        <f t="shared" si="97"/>
        <v>0</v>
      </c>
      <c r="AA250" s="294">
        <f>IF($A$225='4. LISTAS'!$C$35,(P250*B250+T250+Y250+Z250),IF($A$225='4. LISTAS'!$C$36,P250*B250+Y250,IF($A$225='4. LISTAS'!$C$37,P250*B250,"Erro")))</f>
        <v>0</v>
      </c>
      <c r="AB250" s="294">
        <f>IF($A$225='4. LISTAS'!$C$35,IF(V250="sim",AA250,AA250-X250),IF($A$225='4. LISTAS'!$C$36,IF(V250="Sim",AA250-X250,AA250-X250-Y250),IF($A$225='4. LISTAS'!$C$37,AA250,"erro")))</f>
        <v>0</v>
      </c>
      <c r="AC250" s="313">
        <f>'1.DASHBOARD'!$B$11</f>
        <v>0.25</v>
      </c>
      <c r="AD250" s="294">
        <f t="shared" si="98"/>
        <v>0</v>
      </c>
      <c r="AE250" s="312">
        <f t="shared" si="99"/>
        <v>0</v>
      </c>
      <c r="AF250" s="312">
        <f t="shared" si="100"/>
        <v>0</v>
      </c>
      <c r="AG250" s="311">
        <f>'4. LISTAS'!$M$6</f>
        <v>5.9299999999999999E-2</v>
      </c>
      <c r="AH250" s="310">
        <f>'4. LISTAS'!$M$5</f>
        <v>0.17</v>
      </c>
      <c r="AI250" s="296"/>
      <c r="AJ250" s="324"/>
      <c r="AK250" s="324"/>
      <c r="AL250" s="324"/>
    </row>
    <row r="251" spans="1:38" x14ac:dyDescent="0.2">
      <c r="A251" s="323" t="s">
        <v>536</v>
      </c>
      <c r="B251" s="322">
        <f>B220</f>
        <v>0</v>
      </c>
      <c r="C251" s="321"/>
      <c r="D251" s="321" t="str">
        <f>D220</f>
        <v>Testes</v>
      </c>
      <c r="E251" s="321"/>
      <c r="F251" s="306">
        <f>IF(B249&lt;&gt;0,G251/B251,0)</f>
        <v>0</v>
      </c>
      <c r="G251" s="305">
        <f>IF($A$225='4. LISTAS'!$C$35,IF(V251="sim",AD251/(1-AG251),AD251/(1-AG251-(H251*(1+J251)))),IF($A$225='4. LISTAS'!$C$36,(AD251/(1-AG251-(H251*(1+J251)))),IF($A$225='4. LISTAS'!$C$37,(AB251/(1-AC251-AH251)),"Erro")))</f>
        <v>0</v>
      </c>
      <c r="H251" s="320">
        <f>IF(OR($A$225='4. LISTAS'!$C$35, $A$225='4. LISTAS'!$C$36),(VLOOKUP('1.DASHBOARD'!$B$8,'4. LISTAS'!$F$2:$G$11,2,FALSE)),0)</f>
        <v>0.18</v>
      </c>
      <c r="I251" s="305">
        <f t="shared" si="90"/>
        <v>0</v>
      </c>
      <c r="J251" s="319">
        <f>VLOOKUP($A$225,'4. LISTAS'!$C$35:$F$37,4,0)</f>
        <v>0.1125</v>
      </c>
      <c r="K251" s="305">
        <f t="shared" si="91"/>
        <v>0</v>
      </c>
      <c r="L251" s="305">
        <f t="shared" si="92"/>
        <v>0</v>
      </c>
      <c r="M251" s="318"/>
      <c r="N251" s="296"/>
      <c r="O251" s="317"/>
      <c r="P251" s="317">
        <f t="shared" si="102"/>
        <v>129.56768445553286</v>
      </c>
      <c r="Q251" s="306">
        <f t="shared" si="102"/>
        <v>0</v>
      </c>
      <c r="R251" s="306">
        <f t="shared" si="102"/>
        <v>0</v>
      </c>
      <c r="S251" s="306">
        <f t="shared" si="102"/>
        <v>0</v>
      </c>
      <c r="T251" s="305"/>
      <c r="U251" s="316" t="str">
        <f t="shared" si="94"/>
        <v>Não</v>
      </c>
      <c r="V251" s="315" t="s">
        <v>454</v>
      </c>
      <c r="W251" s="296"/>
      <c r="X251" s="314">
        <f t="shared" si="95"/>
        <v>0</v>
      </c>
      <c r="Y251" s="312">
        <f t="shared" si="96"/>
        <v>0</v>
      </c>
      <c r="Z251" s="312">
        <f t="shared" si="97"/>
        <v>0</v>
      </c>
      <c r="AA251" s="294">
        <f>IF($A$225='4. LISTAS'!$C$35,(P251*B251+T251+Y251+Z251),IF($A$225='4. LISTAS'!$C$36,P251*B251+Y251,IF($A$225='4. LISTAS'!$C$37,P251*B251,"Erro")))</f>
        <v>0</v>
      </c>
      <c r="AB251" s="294">
        <f>IF($A$225='4. LISTAS'!$C$35,IF(V251="sim",AA251,AA251-X251),IF($A$225='4. LISTAS'!$C$36,IF(V251="Sim",AA251-X251,AA251-X251-Y251),IF($A$225='4. LISTAS'!$C$37,AA251,"erro")))</f>
        <v>0</v>
      </c>
      <c r="AC251" s="313">
        <f>'1.DASHBOARD'!$B$11</f>
        <v>0.25</v>
      </c>
      <c r="AD251" s="294">
        <f t="shared" si="98"/>
        <v>0</v>
      </c>
      <c r="AE251" s="312">
        <f t="shared" si="99"/>
        <v>0</v>
      </c>
      <c r="AF251" s="312">
        <f t="shared" si="100"/>
        <v>0</v>
      </c>
      <c r="AG251" s="311">
        <f>'4. LISTAS'!$M$6</f>
        <v>5.9299999999999999E-2</v>
      </c>
      <c r="AH251" s="310">
        <f>'4. LISTAS'!$M$5</f>
        <v>0.17</v>
      </c>
      <c r="AI251" s="296"/>
      <c r="AJ251" s="321"/>
      <c r="AK251" s="321"/>
      <c r="AL251" s="321"/>
    </row>
    <row r="252" spans="1:38" x14ac:dyDescent="0.2">
      <c r="A252" s="323" t="s">
        <v>535</v>
      </c>
      <c r="B252" s="322">
        <f>B221</f>
        <v>0</v>
      </c>
      <c r="C252" s="321"/>
      <c r="D252" s="321" t="str">
        <f>D221</f>
        <v>Frete</v>
      </c>
      <c r="E252" s="321"/>
      <c r="F252" s="306">
        <f>IF(B249&lt;&gt;0,G252/B252,0)</f>
        <v>0</v>
      </c>
      <c r="G252" s="305">
        <f>IF($A$225='4. LISTAS'!$C$35,IF(V252="sim",AD252/(1-AG252),AD252/(1-AG252-(H252*(1+J252)))),IF($A$225='4. LISTAS'!$C$36,(AD252/(1-AG252-(H252*(1+J252)))),IF($A$225='4. LISTAS'!$C$37,(AB252/(1-AC252-AH252)),"Erro")))</f>
        <v>0</v>
      </c>
      <c r="H252" s="320">
        <f>IF(OR($A$225='4. LISTAS'!$C$35, $A$225='4. LISTAS'!$C$36),(VLOOKUP('1.DASHBOARD'!$B$8,'4. LISTAS'!$F$2:$G$11,2,FALSE)),0)</f>
        <v>0.18</v>
      </c>
      <c r="I252" s="305">
        <f t="shared" si="90"/>
        <v>0</v>
      </c>
      <c r="J252" s="319">
        <f>VLOOKUP($A$225,'4. LISTAS'!$C$35:$F$37,4,0)</f>
        <v>0.1125</v>
      </c>
      <c r="K252" s="305">
        <f t="shared" si="91"/>
        <v>0</v>
      </c>
      <c r="L252" s="305">
        <f t="shared" si="92"/>
        <v>0</v>
      </c>
      <c r="M252" s="318"/>
      <c r="N252" s="296"/>
      <c r="O252" s="317"/>
      <c r="P252" s="317">
        <f t="shared" si="102"/>
        <v>300</v>
      </c>
      <c r="Q252" s="306">
        <f t="shared" si="102"/>
        <v>0</v>
      </c>
      <c r="R252" s="306">
        <f t="shared" si="102"/>
        <v>0</v>
      </c>
      <c r="S252" s="306">
        <f t="shared" si="102"/>
        <v>0</v>
      </c>
      <c r="T252" s="305"/>
      <c r="U252" s="316" t="str">
        <f t="shared" si="94"/>
        <v>Não</v>
      </c>
      <c r="V252" s="315" t="s">
        <v>454</v>
      </c>
      <c r="W252" s="296"/>
      <c r="X252" s="314">
        <f t="shared" si="95"/>
        <v>0</v>
      </c>
      <c r="Y252" s="312">
        <f t="shared" si="96"/>
        <v>0</v>
      </c>
      <c r="Z252" s="312">
        <f t="shared" si="97"/>
        <v>0</v>
      </c>
      <c r="AA252" s="294">
        <f>IF($A$225='4. LISTAS'!$C$35,(P252*B252+T252+Y252+Z252),IF($A$225='4. LISTAS'!$C$36,P252*B252+Y252,IF($A$225='4. LISTAS'!$C$37,P252*B252,"Erro")))</f>
        <v>0</v>
      </c>
      <c r="AB252" s="294">
        <f>IF($A$225='4. LISTAS'!$C$35,IF(V252="sim",AA252,AA252-X252),IF($A$225='4. LISTAS'!$C$36,IF(V252="Sim",AA252-X252,AA252-X252-Y252),IF($A$225='4. LISTAS'!$C$37,AA252,"erro")))</f>
        <v>0</v>
      </c>
      <c r="AC252" s="313"/>
      <c r="AD252" s="294">
        <f t="shared" si="98"/>
        <v>0</v>
      </c>
      <c r="AE252" s="312">
        <f t="shared" si="99"/>
        <v>0</v>
      </c>
      <c r="AF252" s="312">
        <f t="shared" si="100"/>
        <v>0</v>
      </c>
      <c r="AG252" s="311">
        <f>'4. LISTAS'!$M$6</f>
        <v>5.9299999999999999E-2</v>
      </c>
      <c r="AH252" s="310">
        <f>'4. LISTAS'!$M$5</f>
        <v>0.17</v>
      </c>
      <c r="AI252" s="296"/>
      <c r="AJ252" s="321"/>
      <c r="AK252" s="321"/>
      <c r="AL252" s="321"/>
    </row>
    <row r="253" spans="1:38" x14ac:dyDescent="0.2">
      <c r="A253" s="362" t="s">
        <v>453</v>
      </c>
      <c r="B253" s="361"/>
      <c r="C253" s="359"/>
      <c r="D253" s="360"/>
      <c r="E253" s="359"/>
      <c r="F253" s="358"/>
      <c r="G253" s="282">
        <f>SUM(G229:G252)</f>
        <v>0</v>
      </c>
      <c r="H253" s="284" t="s">
        <v>319</v>
      </c>
      <c r="I253" s="282">
        <f>SUBTOTAL(9,I229:I252)</f>
        <v>0</v>
      </c>
      <c r="J253" s="283" t="s">
        <v>319</v>
      </c>
      <c r="K253" s="282">
        <f>SUM(K229:K252)</f>
        <v>0</v>
      </c>
      <c r="L253" s="282">
        <f>SUM(L229:L252)</f>
        <v>0</v>
      </c>
      <c r="M253" s="357"/>
      <c r="N253" s="327"/>
      <c r="O253" s="356"/>
      <c r="P253" s="356"/>
      <c r="Q253" s="277"/>
      <c r="R253" s="277"/>
      <c r="S253" s="277"/>
      <c r="T253" s="278"/>
      <c r="U253" s="277"/>
      <c r="V253" s="355"/>
      <c r="W253" s="327"/>
      <c r="X253" s="354">
        <f t="shared" si="95"/>
        <v>0</v>
      </c>
      <c r="Y253" s="278">
        <f t="shared" si="96"/>
        <v>0</v>
      </c>
      <c r="Z253" s="278">
        <f t="shared" si="97"/>
        <v>0</v>
      </c>
      <c r="AA253" s="277"/>
      <c r="AB253" s="277"/>
      <c r="AC253" s="277"/>
      <c r="AD253" s="277"/>
      <c r="AE253" s="277"/>
      <c r="AF253" s="277"/>
      <c r="AG253" s="277"/>
      <c r="AH253" s="277"/>
      <c r="AI253" s="327"/>
      <c r="AJ253" s="353"/>
      <c r="AK253" s="353"/>
      <c r="AL253" s="353"/>
    </row>
    <row r="254" spans="1:38" x14ac:dyDescent="0.2">
      <c r="G254" s="352"/>
      <c r="N254" s="327"/>
      <c r="W254" s="327"/>
      <c r="AI254" s="327"/>
    </row>
    <row r="255" spans="1:38" x14ac:dyDescent="0.2">
      <c r="B255" s="350"/>
      <c r="D255" s="348" t="s">
        <v>508</v>
      </c>
      <c r="E255" s="348"/>
      <c r="F255" s="347"/>
      <c r="G255" s="347"/>
      <c r="H255" s="347"/>
      <c r="I255" s="347"/>
      <c r="J255" s="347"/>
      <c r="K255" s="347"/>
      <c r="L255" s="347"/>
      <c r="M255" s="346"/>
      <c r="N255" s="327"/>
      <c r="O255" s="345"/>
      <c r="P255" s="345" t="s">
        <v>511</v>
      </c>
      <c r="Q255" s="345"/>
      <c r="R255" s="345"/>
      <c r="S255" s="345"/>
      <c r="T255" s="344"/>
      <c r="U255" s="345"/>
      <c r="V255" s="345"/>
      <c r="W255" s="327"/>
      <c r="X255" s="344" t="s">
        <v>510</v>
      </c>
      <c r="Y255" s="344"/>
      <c r="Z255" s="344"/>
      <c r="AA255" s="344"/>
      <c r="AB255" s="344"/>
      <c r="AC255" s="344"/>
      <c r="AD255" s="344"/>
      <c r="AE255" s="344"/>
      <c r="AF255" s="344"/>
      <c r="AG255" s="344"/>
      <c r="AH255" s="344"/>
      <c r="AI255" s="327"/>
      <c r="AJ255" s="349"/>
      <c r="AK255" s="349"/>
      <c r="AL255" s="349"/>
    </row>
    <row r="256" spans="1:38" x14ac:dyDescent="0.2">
      <c r="A256" s="698" t="s">
        <v>509</v>
      </c>
      <c r="B256" s="698"/>
      <c r="C256" s="698"/>
      <c r="D256" s="348" t="s">
        <v>508</v>
      </c>
      <c r="E256" s="348"/>
      <c r="F256" s="347"/>
      <c r="G256" s="347"/>
      <c r="H256" s="347"/>
      <c r="I256" s="347"/>
      <c r="J256" s="347"/>
      <c r="K256" s="347"/>
      <c r="L256" s="347"/>
      <c r="M256" s="346"/>
      <c r="N256" s="327"/>
      <c r="O256" s="345"/>
      <c r="P256" s="345"/>
      <c r="Q256" s="345"/>
      <c r="R256" s="345"/>
      <c r="S256" s="345"/>
      <c r="T256" s="344"/>
      <c r="U256" s="345"/>
      <c r="V256" s="345"/>
      <c r="W256" s="327"/>
      <c r="X256" s="344"/>
      <c r="Y256" s="344"/>
      <c r="Z256" s="344"/>
      <c r="AA256" s="344"/>
      <c r="AB256" s="344"/>
      <c r="AC256" s="344"/>
      <c r="AD256" s="344"/>
      <c r="AE256" s="344"/>
      <c r="AF256" s="344"/>
      <c r="AG256" s="344"/>
      <c r="AH256" s="344"/>
      <c r="AI256" s="327"/>
      <c r="AJ256" s="343" t="s">
        <v>507</v>
      </c>
      <c r="AK256" s="343" t="s">
        <v>506</v>
      </c>
      <c r="AL256" s="343" t="s">
        <v>505</v>
      </c>
    </row>
    <row r="257" spans="1:38" ht="15" customHeight="1" x14ac:dyDescent="0.2">
      <c r="A257" s="699" t="s">
        <v>321</v>
      </c>
      <c r="B257" s="699" t="s">
        <v>504</v>
      </c>
      <c r="C257" s="700" t="s">
        <v>320</v>
      </c>
      <c r="D257" s="700" t="s">
        <v>503</v>
      </c>
      <c r="E257" s="700" t="s">
        <v>502</v>
      </c>
      <c r="F257" s="701" t="s">
        <v>501</v>
      </c>
      <c r="G257" s="701" t="s">
        <v>500</v>
      </c>
      <c r="H257" s="701" t="s">
        <v>499</v>
      </c>
      <c r="I257" s="701"/>
      <c r="J257" s="701" t="s">
        <v>490</v>
      </c>
      <c r="K257" s="701"/>
      <c r="L257" s="701" t="s">
        <v>498</v>
      </c>
      <c r="M257" s="696" t="s">
        <v>497</v>
      </c>
      <c r="N257" s="327"/>
      <c r="O257" s="693" t="s">
        <v>496</v>
      </c>
      <c r="P257" s="694" t="s">
        <v>495</v>
      </c>
      <c r="Q257" s="342" t="s">
        <v>491</v>
      </c>
      <c r="R257" s="339" t="s">
        <v>490</v>
      </c>
      <c r="S257" s="339" t="s">
        <v>489</v>
      </c>
      <c r="T257" s="693" t="s">
        <v>494</v>
      </c>
      <c r="U257" s="691" t="s">
        <v>493</v>
      </c>
      <c r="V257" s="702" t="s">
        <v>492</v>
      </c>
      <c r="W257" s="327"/>
      <c r="X257" s="341" t="s">
        <v>491</v>
      </c>
      <c r="Y257" s="339" t="s">
        <v>490</v>
      </c>
      <c r="Z257" s="339" t="s">
        <v>489</v>
      </c>
      <c r="AA257" s="693" t="s">
        <v>488</v>
      </c>
      <c r="AB257" s="693" t="s">
        <v>487</v>
      </c>
      <c r="AC257" s="691" t="s">
        <v>486</v>
      </c>
      <c r="AD257" s="691" t="s">
        <v>485</v>
      </c>
      <c r="AE257" s="691" t="s">
        <v>484</v>
      </c>
      <c r="AF257" s="691" t="s">
        <v>483</v>
      </c>
      <c r="AG257" s="691" t="s">
        <v>482</v>
      </c>
      <c r="AH257" s="691" t="s">
        <v>481</v>
      </c>
      <c r="AI257" s="327"/>
      <c r="AJ257" s="693"/>
      <c r="AK257" s="693"/>
      <c r="AL257" s="693"/>
    </row>
    <row r="258" spans="1:38" ht="18" customHeight="1" x14ac:dyDescent="0.2">
      <c r="A258" s="699"/>
      <c r="B258" s="699"/>
      <c r="C258" s="700"/>
      <c r="D258" s="700"/>
      <c r="E258" s="700"/>
      <c r="F258" s="701"/>
      <c r="G258" s="701"/>
      <c r="H258" s="339" t="s">
        <v>480</v>
      </c>
      <c r="I258" s="339" t="s">
        <v>479</v>
      </c>
      <c r="J258" s="339" t="s">
        <v>480</v>
      </c>
      <c r="K258" s="339" t="s">
        <v>479</v>
      </c>
      <c r="L258" s="701"/>
      <c r="M258" s="697"/>
      <c r="N258" s="327"/>
      <c r="O258" s="693"/>
      <c r="P258" s="695"/>
      <c r="Q258" s="339" t="s">
        <v>480</v>
      </c>
      <c r="R258" s="339" t="s">
        <v>480</v>
      </c>
      <c r="S258" s="339" t="s">
        <v>480</v>
      </c>
      <c r="T258" s="693"/>
      <c r="U258" s="692"/>
      <c r="V258" s="703"/>
      <c r="W258" s="327"/>
      <c r="X258" s="340" t="s">
        <v>479</v>
      </c>
      <c r="Y258" s="339" t="s">
        <v>479</v>
      </c>
      <c r="Z258" s="339" t="s">
        <v>479</v>
      </c>
      <c r="AA258" s="693"/>
      <c r="AB258" s="693"/>
      <c r="AC258" s="692"/>
      <c r="AD258" s="692"/>
      <c r="AE258" s="692"/>
      <c r="AF258" s="692"/>
      <c r="AG258" s="692"/>
      <c r="AH258" s="692"/>
      <c r="AI258" s="327"/>
      <c r="AJ258" s="693"/>
      <c r="AK258" s="693"/>
      <c r="AL258" s="693"/>
    </row>
    <row r="259" spans="1:38" ht="18" customHeight="1" x14ac:dyDescent="0.2">
      <c r="A259" s="338">
        <v>9</v>
      </c>
      <c r="B259" s="338">
        <v>1</v>
      </c>
      <c r="C259" s="324"/>
      <c r="D259" s="324"/>
      <c r="E259" s="324"/>
      <c r="F259" s="337">
        <f>G284</f>
        <v>0</v>
      </c>
      <c r="G259" s="337">
        <f>F259*B259</f>
        <v>0</v>
      </c>
      <c r="H259" s="336">
        <f>IF(AND($A$256='4. LISTAS'!$C$35,'Fornec. TAGNA'!U259="Sim"),0,IF(OR($A$256='4. LISTAS'!$C$35, $A$256='4. LISTAS'!$C$36),(VLOOKUP('1.DASHBOARD'!$B$8,'4. LISTAS'!$F$2:$G$11,2,FALSE)),0))</f>
        <v>0.18</v>
      </c>
      <c r="I259" s="334">
        <f t="shared" ref="I259:I283" si="103">H259*(G259+K259)</f>
        <v>0</v>
      </c>
      <c r="J259" s="335">
        <f>VLOOKUP($A$256,'4. LISTAS'!$C$35:$F$37,4,0)</f>
        <v>0.1125</v>
      </c>
      <c r="K259" s="334">
        <f t="shared" ref="K259:K283" si="104">J259*G259</f>
        <v>0</v>
      </c>
      <c r="L259" s="334">
        <f t="shared" ref="L259:L283" si="105">G259+K259</f>
        <v>0</v>
      </c>
      <c r="M259" s="333"/>
      <c r="N259" s="327"/>
      <c r="O259" s="332"/>
      <c r="P259" s="332"/>
      <c r="Q259" s="331"/>
      <c r="R259" s="331"/>
      <c r="S259" s="331"/>
      <c r="T259" s="328"/>
      <c r="U259" s="326"/>
      <c r="V259" s="330"/>
      <c r="W259" s="327"/>
      <c r="X259" s="326">
        <f>SUM(X260:X283)</f>
        <v>0</v>
      </c>
      <c r="Y259" s="326">
        <f>SUM(Y260:Y283)</f>
        <v>0</v>
      </c>
      <c r="Z259" s="326">
        <f>SUM(Z260:Z283)</f>
        <v>0</v>
      </c>
      <c r="AA259" s="326">
        <f>SUM(AA260:AA283)</f>
        <v>0</v>
      </c>
      <c r="AB259" s="326">
        <f>SUM(AB260:AB283)</f>
        <v>0</v>
      </c>
      <c r="AC259" s="328"/>
      <c r="AD259" s="328"/>
      <c r="AE259" s="328"/>
      <c r="AF259" s="328"/>
      <c r="AG259" s="329">
        <f>AG260</f>
        <v>5.9299999999999999E-2</v>
      </c>
      <c r="AH259" s="328"/>
      <c r="AI259" s="327"/>
      <c r="AJ259" s="326"/>
      <c r="AK259" s="326"/>
      <c r="AL259" s="326"/>
    </row>
    <row r="260" spans="1:38" x14ac:dyDescent="0.2">
      <c r="A260" s="323" t="s">
        <v>77</v>
      </c>
      <c r="B260" s="323">
        <v>1</v>
      </c>
      <c r="C260" s="321"/>
      <c r="D260" s="321"/>
      <c r="E260" s="321"/>
      <c r="F260" s="306">
        <f t="shared" ref="F260:F279" si="106">G260/B260</f>
        <v>0</v>
      </c>
      <c r="G260" s="305">
        <f>IF($A$256='4. LISTAS'!$C$35,IF(V260="sim",AD260/(1-AG260),AD260/(1-AG260-(H260*(1+J260)))),IF($A$256='4. LISTAS'!$C$36,(AD260/(1-AG260-(H260*(1+J260)))),IF($A$256='4. LISTAS'!$C$37,(AB260/(1-AC260-AH260)),"Erro")))</f>
        <v>0</v>
      </c>
      <c r="H260" s="320">
        <f>IF(AND($A$256='4. LISTAS'!$C$35,'Fornec. TAGNA'!U260="Sim"),0,IF(OR($A$256='4. LISTAS'!$C$35, $A$256='4. LISTAS'!$C$36),(VLOOKUP('1.DASHBOARD'!$B$8,'4. LISTAS'!$F$2:$G$11,2,FALSE)),0))</f>
        <v>0.18</v>
      </c>
      <c r="I260" s="305">
        <f t="shared" si="103"/>
        <v>0</v>
      </c>
      <c r="J260" s="319">
        <f>VLOOKUP($A$256,'4. LISTAS'!$C$35:$F$37,4,0)</f>
        <v>0.1125</v>
      </c>
      <c r="K260" s="305">
        <f t="shared" si="104"/>
        <v>0</v>
      </c>
      <c r="L260" s="305">
        <f t="shared" si="105"/>
        <v>0</v>
      </c>
      <c r="M260" s="318"/>
      <c r="N260" s="296"/>
      <c r="O260" s="317"/>
      <c r="P260" s="317"/>
      <c r="Q260" s="320">
        <v>0.04</v>
      </c>
      <c r="R260" s="320">
        <v>0.15</v>
      </c>
      <c r="S260" s="320">
        <v>0</v>
      </c>
      <c r="T260" s="305"/>
      <c r="U260" s="316" t="str">
        <f t="shared" ref="U260:U283" si="107">IF(T260="","Não","Sim")</f>
        <v>Não</v>
      </c>
      <c r="V260" s="315" t="s">
        <v>454</v>
      </c>
      <c r="W260" s="296"/>
      <c r="X260" s="314">
        <f t="shared" ref="X260:X284" si="108">B260*P260*Q260</f>
        <v>0</v>
      </c>
      <c r="Y260" s="312">
        <f t="shared" ref="Y260:Y284" si="109">B260*P260*R260</f>
        <v>0</v>
      </c>
      <c r="Z260" s="312">
        <f t="shared" ref="Z260:Z284" si="110">B260*P260*S260</f>
        <v>0</v>
      </c>
      <c r="AA260" s="294">
        <f>IF($A$256='4. LISTAS'!$C$35,(P260*B260+T260+Y260+Z260),IF($A$256='4. LISTAS'!$C$36,P260*B260+Y260,IF($A$256='4. LISTAS'!$C$37,P260*B260,"Erro")))</f>
        <v>0</v>
      </c>
      <c r="AB260" s="294">
        <f>IF($A$256='4. LISTAS'!$C$35,IF(V260="sim",AA260,AA260-X260),IF($A$256='4. LISTAS'!$C$36,IF(V260="Sim",AA260-X260,AA260-X260-Y260),IF($A$256='4. LISTAS'!$C$37,AA260,"erro")))</f>
        <v>0</v>
      </c>
      <c r="AC260" s="325">
        <f>'1.DASHBOARD'!$B$14+'1.DASHBOARD'!$B$16</f>
        <v>0.30349999999999999</v>
      </c>
      <c r="AD260" s="294">
        <f t="shared" ref="AD260:AD283" si="111">AB260/(1-AC260)</f>
        <v>0</v>
      </c>
      <c r="AE260" s="312">
        <f t="shared" ref="AE260:AE283" si="112">X260</f>
        <v>0</v>
      </c>
      <c r="AF260" s="312">
        <f t="shared" ref="AF260:AF283" si="113">Y260</f>
        <v>0</v>
      </c>
      <c r="AG260" s="311">
        <f>'4. LISTAS'!$M$6</f>
        <v>5.9299999999999999E-2</v>
      </c>
      <c r="AH260" s="310">
        <f>'4. LISTAS'!$M$5</f>
        <v>0.17</v>
      </c>
      <c r="AI260" s="296"/>
      <c r="AJ260" s="324"/>
      <c r="AK260" s="324"/>
      <c r="AL260" s="324"/>
    </row>
    <row r="261" spans="1:38" x14ac:dyDescent="0.2">
      <c r="A261" s="323" t="s">
        <v>534</v>
      </c>
      <c r="B261" s="323">
        <v>1</v>
      </c>
      <c r="C261" s="321"/>
      <c r="D261" s="321"/>
      <c r="E261" s="321"/>
      <c r="F261" s="306">
        <f t="shared" si="106"/>
        <v>0</v>
      </c>
      <c r="G261" s="305">
        <f>IF($A$256='4. LISTAS'!$C$35,IF(V261="sim",AD261/(1-AG261),AD261/(1-AG261-(H261*(1+J261)))),IF($A$256='4. LISTAS'!$C$36,(AD261/(1-AG261-(H261*(1+J261)))),IF($A$256='4. LISTAS'!$C$37,(AB261/(1-AC261-AH261)),"Erro")))</f>
        <v>0</v>
      </c>
      <c r="H261" s="320">
        <f>IF(AND($A$256='4. LISTAS'!$C$35,'Fornec. TAGNA'!U261="Sim"),0,IF(OR($A$256='4. LISTAS'!$C$35, $A$256='4. LISTAS'!$C$36),(VLOOKUP('1.DASHBOARD'!$B$8,'4. LISTAS'!$F$2:$G$11,2,FALSE)),0))</f>
        <v>0.18</v>
      </c>
      <c r="I261" s="305">
        <f t="shared" si="103"/>
        <v>0</v>
      </c>
      <c r="J261" s="319">
        <f>VLOOKUP($A$256,'4. LISTAS'!$C$35:$F$37,4,0)</f>
        <v>0.1125</v>
      </c>
      <c r="K261" s="305">
        <f t="shared" si="104"/>
        <v>0</v>
      </c>
      <c r="L261" s="305">
        <f t="shared" si="105"/>
        <v>0</v>
      </c>
      <c r="M261" s="318"/>
      <c r="N261" s="296"/>
      <c r="O261" s="317"/>
      <c r="P261" s="317"/>
      <c r="Q261" s="320">
        <v>0.04</v>
      </c>
      <c r="R261" s="320">
        <v>0.15</v>
      </c>
      <c r="S261" s="320">
        <v>0</v>
      </c>
      <c r="T261" s="305"/>
      <c r="U261" s="316" t="str">
        <f t="shared" si="107"/>
        <v>Não</v>
      </c>
      <c r="V261" s="315" t="s">
        <v>454</v>
      </c>
      <c r="W261" s="296"/>
      <c r="X261" s="314">
        <f t="shared" si="108"/>
        <v>0</v>
      </c>
      <c r="Y261" s="312">
        <f t="shared" si="109"/>
        <v>0</v>
      </c>
      <c r="Z261" s="312">
        <f t="shared" si="110"/>
        <v>0</v>
      </c>
      <c r="AA261" s="294">
        <f>IF($A$256='4. LISTAS'!$C$35,(P261*B261+T261+Y261+Z261),IF($A$256='4. LISTAS'!$C$36,P261*B261+Y261,IF($A$256='4. LISTAS'!$C$37,P261*B261,"Erro")))</f>
        <v>0</v>
      </c>
      <c r="AB261" s="294">
        <f>IF($A$256='4. LISTAS'!$C$35,IF(V261="sim",AA261,AA261-X261),IF($A$256='4. LISTAS'!$C$36,IF(V261="Sim",AA261-X261,AA261-X261-Y261),IF($A$256='4. LISTAS'!$C$37,AA261,"erro")))</f>
        <v>0</v>
      </c>
      <c r="AC261" s="313">
        <f t="shared" ref="AC261:AC279" si="114">AC260</f>
        <v>0.30349999999999999</v>
      </c>
      <c r="AD261" s="294">
        <f t="shared" si="111"/>
        <v>0</v>
      </c>
      <c r="AE261" s="312">
        <f t="shared" si="112"/>
        <v>0</v>
      </c>
      <c r="AF261" s="312">
        <f t="shared" si="113"/>
        <v>0</v>
      </c>
      <c r="AG261" s="311">
        <f>'4. LISTAS'!$M$6</f>
        <v>5.9299999999999999E-2</v>
      </c>
      <c r="AH261" s="310">
        <f>'4. LISTAS'!$M$5</f>
        <v>0.17</v>
      </c>
      <c r="AI261" s="296"/>
      <c r="AJ261" s="321"/>
      <c r="AK261" s="321"/>
      <c r="AL261" s="321"/>
    </row>
    <row r="262" spans="1:38" x14ac:dyDescent="0.2">
      <c r="A262" s="323" t="s">
        <v>533</v>
      </c>
      <c r="B262" s="323">
        <v>1</v>
      </c>
      <c r="C262" s="321"/>
      <c r="D262" s="321"/>
      <c r="E262" s="321"/>
      <c r="F262" s="306">
        <f t="shared" si="106"/>
        <v>0</v>
      </c>
      <c r="G262" s="305">
        <f>IF($A$256='4. LISTAS'!$C$35,IF(V262="sim",AD262/(1-AG262),AD262/(1-AG262-(H262*(1+J262)))),IF($A$256='4. LISTAS'!$C$36,(AD262/(1-AG262-(H262*(1+J262)))),IF($A$256='4. LISTAS'!$C$37,(AB262/(1-AC262-AH262)),"Erro")))</f>
        <v>0</v>
      </c>
      <c r="H262" s="320">
        <f>IF(AND($A$256='4. LISTAS'!$C$35,'Fornec. TAGNA'!U262="Sim"),0,IF(OR($A$256='4. LISTAS'!$C$35, $A$256='4. LISTAS'!$C$36),(VLOOKUP('1.DASHBOARD'!$B$8,'4. LISTAS'!$F$2:$G$11,2,FALSE)),0))</f>
        <v>0.18</v>
      </c>
      <c r="I262" s="305">
        <f t="shared" si="103"/>
        <v>0</v>
      </c>
      <c r="J262" s="319">
        <f>VLOOKUP($A$256,'4. LISTAS'!$C$35:$F$37,4,0)</f>
        <v>0.1125</v>
      </c>
      <c r="K262" s="305">
        <f t="shared" si="104"/>
        <v>0</v>
      </c>
      <c r="L262" s="305">
        <f t="shared" si="105"/>
        <v>0</v>
      </c>
      <c r="M262" s="318"/>
      <c r="N262" s="296"/>
      <c r="O262" s="317"/>
      <c r="P262" s="317"/>
      <c r="Q262" s="320">
        <v>0.04</v>
      </c>
      <c r="R262" s="320">
        <v>0.15</v>
      </c>
      <c r="S262" s="320">
        <v>0</v>
      </c>
      <c r="T262" s="305"/>
      <c r="U262" s="316" t="str">
        <f t="shared" si="107"/>
        <v>Não</v>
      </c>
      <c r="V262" s="315" t="s">
        <v>454</v>
      </c>
      <c r="W262" s="296"/>
      <c r="X262" s="314">
        <f t="shared" si="108"/>
        <v>0</v>
      </c>
      <c r="Y262" s="312">
        <f t="shared" si="109"/>
        <v>0</v>
      </c>
      <c r="Z262" s="312">
        <f t="shared" si="110"/>
        <v>0</v>
      </c>
      <c r="AA262" s="294">
        <f>IF($A$256='4. LISTAS'!$C$35,(P262*B262+T262+Y262+Z262),IF($A$256='4. LISTAS'!$C$36,P262*B262+Y262,IF($A$256='4. LISTAS'!$C$37,P262*B262,"Erro")))</f>
        <v>0</v>
      </c>
      <c r="AB262" s="294">
        <f>IF($A$256='4. LISTAS'!$C$35,IF(V262="sim",AA262,AA262-X262),IF($A$256='4. LISTAS'!$C$36,IF(V262="Sim",AA262-X262,AA262-X262-Y262),IF($A$256='4. LISTAS'!$C$37,AA262,"erro")))</f>
        <v>0</v>
      </c>
      <c r="AC262" s="313">
        <f t="shared" si="114"/>
        <v>0.30349999999999999</v>
      </c>
      <c r="AD262" s="294">
        <f t="shared" si="111"/>
        <v>0</v>
      </c>
      <c r="AE262" s="312">
        <f t="shared" si="112"/>
        <v>0</v>
      </c>
      <c r="AF262" s="312">
        <f t="shared" si="113"/>
        <v>0</v>
      </c>
      <c r="AG262" s="311">
        <f>'4. LISTAS'!$M$6</f>
        <v>5.9299999999999999E-2</v>
      </c>
      <c r="AH262" s="310">
        <f>'4. LISTAS'!$M$5</f>
        <v>0.17</v>
      </c>
      <c r="AI262" s="296"/>
      <c r="AJ262" s="321"/>
      <c r="AK262" s="321"/>
      <c r="AL262" s="321"/>
    </row>
    <row r="263" spans="1:38" x14ac:dyDescent="0.2">
      <c r="A263" s="323" t="s">
        <v>532</v>
      </c>
      <c r="B263" s="323">
        <v>1</v>
      </c>
      <c r="C263" s="321"/>
      <c r="D263" s="321"/>
      <c r="E263" s="321"/>
      <c r="F263" s="306">
        <f t="shared" si="106"/>
        <v>0</v>
      </c>
      <c r="G263" s="305">
        <f>IF($A$256='4. LISTAS'!$C$35,IF(V263="sim",AD263/(1-AG263),AD263/(1-AG263-(H263*(1+J263)))),IF($A$256='4. LISTAS'!$C$36,(AD263/(1-AG263-(H263*(1+J263)))),IF($A$256='4. LISTAS'!$C$37,(AB263/(1-AC263-AH263)),"Erro")))</f>
        <v>0</v>
      </c>
      <c r="H263" s="320">
        <f>IF(AND($A$256='4. LISTAS'!$C$35,'Fornec. TAGNA'!U263="Sim"),0,IF(OR($A$256='4. LISTAS'!$C$35, $A$256='4. LISTAS'!$C$36),(VLOOKUP('1.DASHBOARD'!$B$8,'4. LISTAS'!$F$2:$G$11,2,FALSE)),0))</f>
        <v>0.18</v>
      </c>
      <c r="I263" s="305">
        <f t="shared" si="103"/>
        <v>0</v>
      </c>
      <c r="J263" s="319">
        <f>VLOOKUP($A$256,'4. LISTAS'!$C$35:$F$37,4,0)</f>
        <v>0.1125</v>
      </c>
      <c r="K263" s="305">
        <f t="shared" si="104"/>
        <v>0</v>
      </c>
      <c r="L263" s="305">
        <f t="shared" si="105"/>
        <v>0</v>
      </c>
      <c r="M263" s="318"/>
      <c r="N263" s="296"/>
      <c r="O263" s="317"/>
      <c r="P263" s="317"/>
      <c r="Q263" s="320">
        <v>0.04</v>
      </c>
      <c r="R263" s="320">
        <v>0.15</v>
      </c>
      <c r="S263" s="320">
        <v>0</v>
      </c>
      <c r="T263" s="305"/>
      <c r="U263" s="316" t="str">
        <f t="shared" si="107"/>
        <v>Não</v>
      </c>
      <c r="V263" s="315" t="s">
        <v>454</v>
      </c>
      <c r="W263" s="296"/>
      <c r="X263" s="314">
        <f t="shared" si="108"/>
        <v>0</v>
      </c>
      <c r="Y263" s="312">
        <f t="shared" si="109"/>
        <v>0</v>
      </c>
      <c r="Z263" s="312">
        <f t="shared" si="110"/>
        <v>0</v>
      </c>
      <c r="AA263" s="294">
        <f>IF($A$256='4. LISTAS'!$C$35,(P263*B263+T263+Y263+Z263),IF($A$256='4. LISTAS'!$C$36,P263*B263+Y263,IF($A$256='4. LISTAS'!$C$37,P263*B263,"Erro")))</f>
        <v>0</v>
      </c>
      <c r="AB263" s="294">
        <f>IF($A$256='4. LISTAS'!$C$35,IF(V263="sim",AA263,AA263-X263),IF($A$256='4. LISTAS'!$C$36,IF(V263="Sim",AA263-X263,AA263-X263-Y263),IF($A$256='4. LISTAS'!$C$37,AA263,"erro")))</f>
        <v>0</v>
      </c>
      <c r="AC263" s="313">
        <f t="shared" si="114"/>
        <v>0.30349999999999999</v>
      </c>
      <c r="AD263" s="294">
        <f t="shared" si="111"/>
        <v>0</v>
      </c>
      <c r="AE263" s="312">
        <f t="shared" si="112"/>
        <v>0</v>
      </c>
      <c r="AF263" s="312">
        <f t="shared" si="113"/>
        <v>0</v>
      </c>
      <c r="AG263" s="311">
        <f>'4. LISTAS'!$M$6</f>
        <v>5.9299999999999999E-2</v>
      </c>
      <c r="AH263" s="310">
        <f>'4. LISTAS'!$M$5</f>
        <v>0.17</v>
      </c>
    </row>
    <row r="264" spans="1:38" x14ac:dyDescent="0.2">
      <c r="A264" s="323" t="s">
        <v>531</v>
      </c>
      <c r="B264" s="323">
        <v>1</v>
      </c>
      <c r="C264" s="321"/>
      <c r="D264" s="321"/>
      <c r="E264" s="321"/>
      <c r="F264" s="306">
        <f t="shared" si="106"/>
        <v>0</v>
      </c>
      <c r="G264" s="305">
        <f>IF($A$256='4. LISTAS'!$C$35,IF(V264="sim",AD264/(1-AG264),AD264/(1-AG264-(H264*(1+J264)))),IF($A$256='4. LISTAS'!$C$36,(AD264/(1-AG264-(H264*(1+J264)))),IF($A$256='4. LISTAS'!$C$37,(AB264/(1-AC264-AH264)),"Erro")))</f>
        <v>0</v>
      </c>
      <c r="H264" s="320">
        <f>IF(AND($A$256='4. LISTAS'!$C$35,'Fornec. TAGNA'!U264="Sim"),0,IF(OR($A$256='4. LISTAS'!$C$35, $A$256='4. LISTAS'!$C$36),(VLOOKUP('1.DASHBOARD'!$B$8,'4. LISTAS'!$F$2:$G$11,2,FALSE)),0))</f>
        <v>0.18</v>
      </c>
      <c r="I264" s="305">
        <f t="shared" si="103"/>
        <v>0</v>
      </c>
      <c r="J264" s="319">
        <f>VLOOKUP($A$256,'4. LISTAS'!$C$35:$F$37,4,0)</f>
        <v>0.1125</v>
      </c>
      <c r="K264" s="305">
        <f t="shared" si="104"/>
        <v>0</v>
      </c>
      <c r="L264" s="305">
        <f t="shared" si="105"/>
        <v>0</v>
      </c>
      <c r="M264" s="318"/>
      <c r="N264" s="296"/>
      <c r="O264" s="317"/>
      <c r="P264" s="317"/>
      <c r="Q264" s="320">
        <v>0.04</v>
      </c>
      <c r="R264" s="320">
        <v>0.15</v>
      </c>
      <c r="S264" s="320">
        <v>0</v>
      </c>
      <c r="T264" s="305"/>
      <c r="U264" s="316" t="str">
        <f t="shared" si="107"/>
        <v>Não</v>
      </c>
      <c r="V264" s="315" t="s">
        <v>454</v>
      </c>
      <c r="W264" s="296"/>
      <c r="X264" s="314">
        <f t="shared" si="108"/>
        <v>0</v>
      </c>
      <c r="Y264" s="312">
        <f t="shared" si="109"/>
        <v>0</v>
      </c>
      <c r="Z264" s="312">
        <f t="shared" si="110"/>
        <v>0</v>
      </c>
      <c r="AA264" s="294">
        <f>IF($A$256='4. LISTAS'!$C$35,(P264*B264+T264+Y264+Z264),IF($A$256='4. LISTAS'!$C$36,P264*B264+Y264,IF($A$256='4. LISTAS'!$C$37,P264*B264,"Erro")))</f>
        <v>0</v>
      </c>
      <c r="AB264" s="294">
        <f>IF($A$256='4. LISTAS'!$C$35,IF(V264="sim",AA264,AA264-X264),IF($A$256='4. LISTAS'!$C$36,IF(V264="Sim",AA264-X264,AA264-X264-Y264),IF($A$256='4. LISTAS'!$C$37,AA264,"erro")))</f>
        <v>0</v>
      </c>
      <c r="AC264" s="313">
        <f t="shared" si="114"/>
        <v>0.30349999999999999</v>
      </c>
      <c r="AD264" s="294">
        <f t="shared" si="111"/>
        <v>0</v>
      </c>
      <c r="AE264" s="312">
        <f t="shared" si="112"/>
        <v>0</v>
      </c>
      <c r="AF264" s="312">
        <f t="shared" si="113"/>
        <v>0</v>
      </c>
      <c r="AG264" s="311">
        <f>'4. LISTAS'!$M$6</f>
        <v>5.9299999999999999E-2</v>
      </c>
      <c r="AH264" s="310">
        <f>'4. LISTAS'!$M$5</f>
        <v>0.17</v>
      </c>
    </row>
    <row r="265" spans="1:38" x14ac:dyDescent="0.2">
      <c r="A265" s="323" t="s">
        <v>530</v>
      </c>
      <c r="B265" s="323">
        <v>1</v>
      </c>
      <c r="C265" s="321"/>
      <c r="D265" s="321"/>
      <c r="E265" s="321"/>
      <c r="F265" s="306">
        <f t="shared" si="106"/>
        <v>0</v>
      </c>
      <c r="G265" s="305">
        <f>IF($A$256='4. LISTAS'!$C$35,IF(V265="sim",AD265/(1-AG265),AD265/(1-AG265-(H265*(1+J265)))),IF($A$256='4. LISTAS'!$C$36,(AD265/(1-AG265-(H265*(1+J265)))),IF($A$256='4. LISTAS'!$C$37,(AB265/(1-AC265-AH265)),"Erro")))</f>
        <v>0</v>
      </c>
      <c r="H265" s="320">
        <f>IF(AND($A$256='4. LISTAS'!$C$35,'Fornec. TAGNA'!U265="Sim"),0,IF(OR($A$256='4. LISTAS'!$C$35, $A$256='4. LISTAS'!$C$36),(VLOOKUP('1.DASHBOARD'!$B$8,'4. LISTAS'!$F$2:$G$11,2,FALSE)),0))</f>
        <v>0.18</v>
      </c>
      <c r="I265" s="305">
        <f t="shared" si="103"/>
        <v>0</v>
      </c>
      <c r="J265" s="319">
        <f>VLOOKUP($A$256,'4. LISTAS'!$C$35:$F$37,4,0)</f>
        <v>0.1125</v>
      </c>
      <c r="K265" s="305">
        <f t="shared" si="104"/>
        <v>0</v>
      </c>
      <c r="L265" s="305">
        <f t="shared" si="105"/>
        <v>0</v>
      </c>
      <c r="M265" s="318"/>
      <c r="N265" s="296"/>
      <c r="O265" s="317"/>
      <c r="P265" s="317"/>
      <c r="Q265" s="320">
        <v>0.04</v>
      </c>
      <c r="R265" s="320">
        <v>0.15</v>
      </c>
      <c r="S265" s="320">
        <v>0</v>
      </c>
      <c r="T265" s="305"/>
      <c r="U265" s="316" t="str">
        <f t="shared" si="107"/>
        <v>Não</v>
      </c>
      <c r="V265" s="315" t="s">
        <v>454</v>
      </c>
      <c r="W265" s="296"/>
      <c r="X265" s="314">
        <f t="shared" si="108"/>
        <v>0</v>
      </c>
      <c r="Y265" s="312">
        <f t="shared" si="109"/>
        <v>0</v>
      </c>
      <c r="Z265" s="312">
        <f t="shared" si="110"/>
        <v>0</v>
      </c>
      <c r="AA265" s="294">
        <f>IF($A$256='4. LISTAS'!$C$35,(P265*B265+T265+Y265+Z265),IF($A$256='4. LISTAS'!$C$36,P265*B265+Y265,IF($A$256='4. LISTAS'!$C$37,P265*B265,"Erro")))</f>
        <v>0</v>
      </c>
      <c r="AB265" s="294">
        <f>IF($A$256='4. LISTAS'!$C$35,IF(V265="sim",AA265,AA265-X265),IF($A$256='4. LISTAS'!$C$36,IF(V265="Sim",AA265-X265,AA265-X265-Y265),IF($A$256='4. LISTAS'!$C$37,AA265,"erro")))</f>
        <v>0</v>
      </c>
      <c r="AC265" s="313">
        <f t="shared" si="114"/>
        <v>0.30349999999999999</v>
      </c>
      <c r="AD265" s="294">
        <f t="shared" si="111"/>
        <v>0</v>
      </c>
      <c r="AE265" s="312">
        <f t="shared" si="112"/>
        <v>0</v>
      </c>
      <c r="AF265" s="312">
        <f t="shared" si="113"/>
        <v>0</v>
      </c>
      <c r="AG265" s="311">
        <f>'4. LISTAS'!$M$6</f>
        <v>5.9299999999999999E-2</v>
      </c>
      <c r="AH265" s="310">
        <f>'4. LISTAS'!$M$5</f>
        <v>0.17</v>
      </c>
    </row>
    <row r="266" spans="1:38" x14ac:dyDescent="0.2">
      <c r="A266" s="323" t="s">
        <v>529</v>
      </c>
      <c r="B266" s="323">
        <v>1</v>
      </c>
      <c r="C266" s="321"/>
      <c r="D266" s="321"/>
      <c r="E266" s="321"/>
      <c r="F266" s="306">
        <f t="shared" si="106"/>
        <v>0</v>
      </c>
      <c r="G266" s="305">
        <f>IF($A$256='4. LISTAS'!$C$35,IF(V266="sim",AD266/(1-AG266),AD266/(1-AG266-(H266*(1+J266)))),IF($A$256='4. LISTAS'!$C$36,(AD266/(1-AG266-(H266*(1+J266)))),IF($A$256='4. LISTAS'!$C$37,(AB266/(1-AC266-AH266)),"Erro")))</f>
        <v>0</v>
      </c>
      <c r="H266" s="320">
        <f>IF(AND($A$256='4. LISTAS'!$C$35,'Fornec. TAGNA'!U266="Sim"),0,IF(OR($A$256='4. LISTAS'!$C$35, $A$256='4. LISTAS'!$C$36),(VLOOKUP('1.DASHBOARD'!$B$8,'4. LISTAS'!$F$2:$G$11,2,FALSE)),0))</f>
        <v>0.18</v>
      </c>
      <c r="I266" s="305">
        <f t="shared" si="103"/>
        <v>0</v>
      </c>
      <c r="J266" s="319">
        <f>VLOOKUP($A$256,'4. LISTAS'!$C$35:$F$37,4,0)</f>
        <v>0.1125</v>
      </c>
      <c r="K266" s="305">
        <f t="shared" si="104"/>
        <v>0</v>
      </c>
      <c r="L266" s="305">
        <f t="shared" si="105"/>
        <v>0</v>
      </c>
      <c r="M266" s="318"/>
      <c r="N266" s="296"/>
      <c r="O266" s="317"/>
      <c r="P266" s="317"/>
      <c r="Q266" s="320">
        <v>0.04</v>
      </c>
      <c r="R266" s="320">
        <v>0.15</v>
      </c>
      <c r="S266" s="320">
        <v>0</v>
      </c>
      <c r="T266" s="305"/>
      <c r="U266" s="316" t="str">
        <f t="shared" si="107"/>
        <v>Não</v>
      </c>
      <c r="V266" s="315" t="s">
        <v>454</v>
      </c>
      <c r="W266" s="296"/>
      <c r="X266" s="314">
        <f t="shared" si="108"/>
        <v>0</v>
      </c>
      <c r="Y266" s="312">
        <f t="shared" si="109"/>
        <v>0</v>
      </c>
      <c r="Z266" s="312">
        <f t="shared" si="110"/>
        <v>0</v>
      </c>
      <c r="AA266" s="294">
        <f>IF($A$256='4. LISTAS'!$C$35,(P266*B266+T266+Y266+Z266),IF($A$256='4. LISTAS'!$C$36,P266*B266+Y266,IF($A$256='4. LISTAS'!$C$37,P266*B266,"Erro")))</f>
        <v>0</v>
      </c>
      <c r="AB266" s="294">
        <f>IF($A$256='4. LISTAS'!$C$35,IF(V266="sim",AA266,AA266-X266),IF($A$256='4. LISTAS'!$C$36,IF(V266="Sim",AA266-X266,AA266-X266-Y266),IF($A$256='4. LISTAS'!$C$37,AA266,"erro")))</f>
        <v>0</v>
      </c>
      <c r="AC266" s="313">
        <f t="shared" si="114"/>
        <v>0.30349999999999999</v>
      </c>
      <c r="AD266" s="294">
        <f t="shared" si="111"/>
        <v>0</v>
      </c>
      <c r="AE266" s="312">
        <f t="shared" si="112"/>
        <v>0</v>
      </c>
      <c r="AF266" s="312">
        <f t="shared" si="113"/>
        <v>0</v>
      </c>
      <c r="AG266" s="311">
        <f>'4. LISTAS'!$M$6</f>
        <v>5.9299999999999999E-2</v>
      </c>
      <c r="AH266" s="310">
        <f>'4. LISTAS'!$M$5</f>
        <v>0.17</v>
      </c>
    </row>
    <row r="267" spans="1:38" x14ac:dyDescent="0.2">
      <c r="A267" s="323" t="s">
        <v>528</v>
      </c>
      <c r="B267" s="323">
        <v>1</v>
      </c>
      <c r="C267" s="321"/>
      <c r="D267" s="321"/>
      <c r="E267" s="321"/>
      <c r="F267" s="306">
        <f t="shared" si="106"/>
        <v>0</v>
      </c>
      <c r="G267" s="305">
        <f>IF($A$256='4. LISTAS'!$C$35,IF(V267="sim",AD267/(1-AG267),AD267/(1-AG267-(H267*(1+J267)))),IF($A$256='4. LISTAS'!$C$36,(AD267/(1-AG267-(H267*(1+J267)))),IF($A$256='4. LISTAS'!$C$37,(AB267/(1-AC267-AH267)),"Erro")))</f>
        <v>0</v>
      </c>
      <c r="H267" s="320">
        <f>IF(AND($A$256='4. LISTAS'!$C$35,'Fornec. TAGNA'!U267="Sim"),0,IF(OR($A$256='4. LISTAS'!$C$35, $A$256='4. LISTAS'!$C$36),(VLOOKUP('1.DASHBOARD'!$B$8,'4. LISTAS'!$F$2:$G$11,2,FALSE)),0))</f>
        <v>0.18</v>
      </c>
      <c r="I267" s="305">
        <f t="shared" si="103"/>
        <v>0</v>
      </c>
      <c r="J267" s="319">
        <f>VLOOKUP($A$256,'4. LISTAS'!$C$35:$F$37,4,0)</f>
        <v>0.1125</v>
      </c>
      <c r="K267" s="305">
        <f t="shared" si="104"/>
        <v>0</v>
      </c>
      <c r="L267" s="305">
        <f t="shared" si="105"/>
        <v>0</v>
      </c>
      <c r="M267" s="318"/>
      <c r="N267" s="296"/>
      <c r="O267" s="317"/>
      <c r="P267" s="317"/>
      <c r="Q267" s="320">
        <v>0.04</v>
      </c>
      <c r="R267" s="320">
        <v>0.15</v>
      </c>
      <c r="S267" s="320">
        <v>0</v>
      </c>
      <c r="T267" s="305"/>
      <c r="U267" s="316" t="str">
        <f t="shared" si="107"/>
        <v>Não</v>
      </c>
      <c r="V267" s="315" t="s">
        <v>454</v>
      </c>
      <c r="W267" s="296"/>
      <c r="X267" s="314">
        <f t="shared" si="108"/>
        <v>0</v>
      </c>
      <c r="Y267" s="312">
        <f t="shared" si="109"/>
        <v>0</v>
      </c>
      <c r="Z267" s="312">
        <f t="shared" si="110"/>
        <v>0</v>
      </c>
      <c r="AA267" s="294">
        <f>IF($A$256='4. LISTAS'!$C$35,(P267*B267+T267+Y267+Z267),IF($A$256='4. LISTAS'!$C$36,P267*B267+Y267,IF($A$256='4. LISTAS'!$C$37,P267*B267,"Erro")))</f>
        <v>0</v>
      </c>
      <c r="AB267" s="294">
        <f>IF($A$256='4. LISTAS'!$C$35,IF(V267="sim",AA267,AA267-X267),IF($A$256='4. LISTAS'!$C$36,IF(V267="Sim",AA267-X267,AA267-X267-Y267),IF($A$256='4. LISTAS'!$C$37,AA267,"erro")))</f>
        <v>0</v>
      </c>
      <c r="AC267" s="313">
        <f t="shared" si="114"/>
        <v>0.30349999999999999</v>
      </c>
      <c r="AD267" s="294">
        <f t="shared" si="111"/>
        <v>0</v>
      </c>
      <c r="AE267" s="312">
        <f t="shared" si="112"/>
        <v>0</v>
      </c>
      <c r="AF267" s="312">
        <f t="shared" si="113"/>
        <v>0</v>
      </c>
      <c r="AG267" s="311">
        <f>'4. LISTAS'!$M$6</f>
        <v>5.9299999999999999E-2</v>
      </c>
      <c r="AH267" s="310">
        <f>'4. LISTAS'!$M$5</f>
        <v>0.17</v>
      </c>
    </row>
    <row r="268" spans="1:38" x14ac:dyDescent="0.2">
      <c r="A268" s="323" t="s">
        <v>527</v>
      </c>
      <c r="B268" s="323">
        <v>1</v>
      </c>
      <c r="C268" s="321"/>
      <c r="D268" s="321"/>
      <c r="E268" s="321"/>
      <c r="F268" s="306">
        <f t="shared" si="106"/>
        <v>0</v>
      </c>
      <c r="G268" s="305">
        <f>IF($A$256='4. LISTAS'!$C$35,IF(V268="sim",AD268/(1-AG268),AD268/(1-AG268-(H268*(1+J268)))),IF($A$256='4. LISTAS'!$C$36,(AD268/(1-AG268-(H268*(1+J268)))),IF($A$256='4. LISTAS'!$C$37,(AB268/(1-AC268-AH268)),"Erro")))</f>
        <v>0</v>
      </c>
      <c r="H268" s="320">
        <f>IF(AND($A$256='4. LISTAS'!$C$35,'Fornec. TAGNA'!U268="Sim"),0,IF(OR($A$256='4. LISTAS'!$C$35, $A$256='4. LISTAS'!$C$36),(VLOOKUP('1.DASHBOARD'!$B$8,'4. LISTAS'!$F$2:$G$11,2,FALSE)),0))</f>
        <v>0.18</v>
      </c>
      <c r="I268" s="305">
        <f t="shared" si="103"/>
        <v>0</v>
      </c>
      <c r="J268" s="319">
        <f>VLOOKUP($A$256,'4. LISTAS'!$C$35:$F$37,4,0)</f>
        <v>0.1125</v>
      </c>
      <c r="K268" s="305">
        <f t="shared" si="104"/>
        <v>0</v>
      </c>
      <c r="L268" s="305">
        <f t="shared" si="105"/>
        <v>0</v>
      </c>
      <c r="M268" s="318"/>
      <c r="N268" s="296"/>
      <c r="O268" s="317"/>
      <c r="P268" s="317"/>
      <c r="Q268" s="320">
        <v>0.04</v>
      </c>
      <c r="R268" s="320">
        <v>0.15</v>
      </c>
      <c r="S268" s="320">
        <v>0</v>
      </c>
      <c r="T268" s="305"/>
      <c r="U268" s="316" t="str">
        <f t="shared" si="107"/>
        <v>Não</v>
      </c>
      <c r="V268" s="315" t="s">
        <v>454</v>
      </c>
      <c r="W268" s="296"/>
      <c r="X268" s="314">
        <f t="shared" si="108"/>
        <v>0</v>
      </c>
      <c r="Y268" s="312">
        <f t="shared" si="109"/>
        <v>0</v>
      </c>
      <c r="Z268" s="312">
        <f t="shared" si="110"/>
        <v>0</v>
      </c>
      <c r="AA268" s="294">
        <f>IF($A$256='4. LISTAS'!$C$35,(P268*B268+T268+Y268+Z268),IF($A$256='4. LISTAS'!$C$36,P268*B268+Y268,IF($A$256='4. LISTAS'!$C$37,P268*B268,"Erro")))</f>
        <v>0</v>
      </c>
      <c r="AB268" s="294">
        <f>IF($A$256='4. LISTAS'!$C$35,IF(V268="sim",AA268,AA268-X268),IF($A$256='4. LISTAS'!$C$36,IF(V268="Sim",AA268-X268,AA268-X268-Y268),IF($A$256='4. LISTAS'!$C$37,AA268,"erro")))</f>
        <v>0</v>
      </c>
      <c r="AC268" s="313">
        <f t="shared" si="114"/>
        <v>0.30349999999999999</v>
      </c>
      <c r="AD268" s="294">
        <f t="shared" si="111"/>
        <v>0</v>
      </c>
      <c r="AE268" s="312">
        <f t="shared" si="112"/>
        <v>0</v>
      </c>
      <c r="AF268" s="312">
        <f t="shared" si="113"/>
        <v>0</v>
      </c>
      <c r="AG268" s="311">
        <f>'4. LISTAS'!$M$6</f>
        <v>5.9299999999999999E-2</v>
      </c>
      <c r="AH268" s="310">
        <f>'4. LISTAS'!$M$5</f>
        <v>0.17</v>
      </c>
    </row>
    <row r="269" spans="1:38" x14ac:dyDescent="0.2">
      <c r="A269" s="323" t="s">
        <v>526</v>
      </c>
      <c r="B269" s="323">
        <v>1</v>
      </c>
      <c r="C269" s="321"/>
      <c r="D269" s="321"/>
      <c r="E269" s="321"/>
      <c r="F269" s="306">
        <f t="shared" si="106"/>
        <v>0</v>
      </c>
      <c r="G269" s="305">
        <f>IF($A$256='4. LISTAS'!$C$35,IF(V269="sim",AD269/(1-AG269),AD269/(1-AG269-(H269*(1+J269)))),IF($A$256='4. LISTAS'!$C$36,(AD269/(1-AG269-(H269*(1+J269)))),IF($A$256='4. LISTAS'!$C$37,(AB269/(1-AC269-AH269)),"Erro")))</f>
        <v>0</v>
      </c>
      <c r="H269" s="320">
        <f>IF(AND($A$256='4. LISTAS'!$C$35,'Fornec. TAGNA'!U269="Sim"),0,IF(OR($A$256='4. LISTAS'!$C$35, $A$256='4. LISTAS'!$C$36),(VLOOKUP('1.DASHBOARD'!$B$8,'4. LISTAS'!$F$2:$G$11,2,FALSE)),0))</f>
        <v>0.18</v>
      </c>
      <c r="I269" s="305">
        <f t="shared" si="103"/>
        <v>0</v>
      </c>
      <c r="J269" s="319">
        <f>VLOOKUP($A$256,'4. LISTAS'!$C$35:$F$37,4,0)</f>
        <v>0.1125</v>
      </c>
      <c r="K269" s="305">
        <f t="shared" si="104"/>
        <v>0</v>
      </c>
      <c r="L269" s="305">
        <f t="shared" si="105"/>
        <v>0</v>
      </c>
      <c r="M269" s="318"/>
      <c r="N269" s="296"/>
      <c r="O269" s="317"/>
      <c r="P269" s="317"/>
      <c r="Q269" s="320">
        <v>0.04</v>
      </c>
      <c r="R269" s="320">
        <v>0.15</v>
      </c>
      <c r="S269" s="320">
        <v>0</v>
      </c>
      <c r="T269" s="305"/>
      <c r="U269" s="316" t="str">
        <f t="shared" si="107"/>
        <v>Não</v>
      </c>
      <c r="V269" s="315" t="s">
        <v>454</v>
      </c>
      <c r="W269" s="296"/>
      <c r="X269" s="314">
        <f t="shared" si="108"/>
        <v>0</v>
      </c>
      <c r="Y269" s="312">
        <f t="shared" si="109"/>
        <v>0</v>
      </c>
      <c r="Z269" s="312">
        <f t="shared" si="110"/>
        <v>0</v>
      </c>
      <c r="AA269" s="294">
        <f>IF($A$256='4. LISTAS'!$C$35,(P269*B269+T269+Y269+Z269),IF($A$256='4. LISTAS'!$C$36,P269*B269+Y269,IF($A$256='4. LISTAS'!$C$37,P269*B269,"Erro")))</f>
        <v>0</v>
      </c>
      <c r="AB269" s="294">
        <f>IF($A$256='4. LISTAS'!$C$35,IF(V269="sim",AA269,AA269-X269),IF($A$256='4. LISTAS'!$C$36,IF(V269="Sim",AA269-X269,AA269-X269-Y269),IF($A$256='4. LISTAS'!$C$37,AA269,"erro")))</f>
        <v>0</v>
      </c>
      <c r="AC269" s="313">
        <f t="shared" si="114"/>
        <v>0.30349999999999999</v>
      </c>
      <c r="AD269" s="294">
        <f t="shared" si="111"/>
        <v>0</v>
      </c>
      <c r="AE269" s="312">
        <f t="shared" si="112"/>
        <v>0</v>
      </c>
      <c r="AF269" s="312">
        <f t="shared" si="113"/>
        <v>0</v>
      </c>
      <c r="AG269" s="311">
        <f>'4. LISTAS'!$M$6</f>
        <v>5.9299999999999999E-2</v>
      </c>
      <c r="AH269" s="310">
        <f>'4. LISTAS'!$M$5</f>
        <v>0.17</v>
      </c>
    </row>
    <row r="270" spans="1:38" x14ac:dyDescent="0.2">
      <c r="A270" s="323" t="s">
        <v>525</v>
      </c>
      <c r="B270" s="323">
        <v>1</v>
      </c>
      <c r="C270" s="321"/>
      <c r="D270" s="321"/>
      <c r="E270" s="321"/>
      <c r="F270" s="306">
        <f t="shared" si="106"/>
        <v>0</v>
      </c>
      <c r="G270" s="305">
        <f>IF($A$256='4. LISTAS'!$C$35,IF(V270="sim",AD270/(1-AG270),AD270/(1-AG270-(H270*(1+J270)))),IF($A$256='4. LISTAS'!$C$36,(AD270/(1-AG270-(H270*(1+J270)))),IF($A$256='4. LISTAS'!$C$37,(AB270/(1-AC270-AH270)),"Erro")))</f>
        <v>0</v>
      </c>
      <c r="H270" s="320">
        <f>IF(AND($A$256='4. LISTAS'!$C$35,'Fornec. TAGNA'!U270="Sim"),0,IF(OR($A$256='4. LISTAS'!$C$35, $A$256='4. LISTAS'!$C$36),(VLOOKUP('1.DASHBOARD'!$B$8,'4. LISTAS'!$F$2:$G$11,2,FALSE)),0))</f>
        <v>0.18</v>
      </c>
      <c r="I270" s="305">
        <f t="shared" si="103"/>
        <v>0</v>
      </c>
      <c r="J270" s="319">
        <f>VLOOKUP($A$256,'4. LISTAS'!$C$35:$F$37,4,0)</f>
        <v>0.1125</v>
      </c>
      <c r="K270" s="305">
        <f t="shared" si="104"/>
        <v>0</v>
      </c>
      <c r="L270" s="305">
        <f t="shared" si="105"/>
        <v>0</v>
      </c>
      <c r="M270" s="318"/>
      <c r="N270" s="296"/>
      <c r="O270" s="317"/>
      <c r="P270" s="317"/>
      <c r="Q270" s="320">
        <v>0.04</v>
      </c>
      <c r="R270" s="320">
        <v>0.15</v>
      </c>
      <c r="S270" s="320">
        <v>0</v>
      </c>
      <c r="T270" s="305"/>
      <c r="U270" s="316" t="str">
        <f t="shared" si="107"/>
        <v>Não</v>
      </c>
      <c r="V270" s="315" t="s">
        <v>454</v>
      </c>
      <c r="W270" s="296"/>
      <c r="X270" s="314">
        <f t="shared" si="108"/>
        <v>0</v>
      </c>
      <c r="Y270" s="312">
        <f t="shared" si="109"/>
        <v>0</v>
      </c>
      <c r="Z270" s="312">
        <f t="shared" si="110"/>
        <v>0</v>
      </c>
      <c r="AA270" s="294">
        <f>IF($A$256='4. LISTAS'!$C$35,(P270*B270+T270+Y270+Z270),IF($A$256='4. LISTAS'!$C$36,P270*B270+Y270,IF($A$256='4. LISTAS'!$C$37,P270*B270,"Erro")))</f>
        <v>0</v>
      </c>
      <c r="AB270" s="294">
        <f>IF($A$256='4. LISTAS'!$C$35,IF(V270="sim",AA270,AA270-X270),IF($A$256='4. LISTAS'!$C$36,IF(V270="Sim",AA270-X270,AA270-X270-Y270),IF($A$256='4. LISTAS'!$C$37,AA270,"erro")))</f>
        <v>0</v>
      </c>
      <c r="AC270" s="313">
        <f t="shared" si="114"/>
        <v>0.30349999999999999</v>
      </c>
      <c r="AD270" s="294">
        <f t="shared" si="111"/>
        <v>0</v>
      </c>
      <c r="AE270" s="312">
        <f t="shared" si="112"/>
        <v>0</v>
      </c>
      <c r="AF270" s="312">
        <f t="shared" si="113"/>
        <v>0</v>
      </c>
      <c r="AG270" s="311">
        <f>'4. LISTAS'!$M$6</f>
        <v>5.9299999999999999E-2</v>
      </c>
      <c r="AH270" s="310">
        <f>'4. LISTAS'!$M$5</f>
        <v>0.17</v>
      </c>
    </row>
    <row r="271" spans="1:38" x14ac:dyDescent="0.2">
      <c r="A271" s="323" t="s">
        <v>524</v>
      </c>
      <c r="B271" s="323">
        <v>1</v>
      </c>
      <c r="C271" s="321"/>
      <c r="D271" s="321"/>
      <c r="E271" s="321"/>
      <c r="F271" s="306">
        <f t="shared" si="106"/>
        <v>0</v>
      </c>
      <c r="G271" s="305">
        <f>IF($A$256='4. LISTAS'!$C$35,IF(V271="sim",AD271/(1-AG271),AD271/(1-AG271-(H271*(1+J271)))),IF($A$256='4. LISTAS'!$C$36,(AD271/(1-AG271-(H271*(1+J271)))),IF($A$256='4. LISTAS'!$C$37,(AB271/(1-AC271-AH271)),"Erro")))</f>
        <v>0</v>
      </c>
      <c r="H271" s="320">
        <f>IF(AND($A$256='4. LISTAS'!$C$35,'Fornec. TAGNA'!U271="Sim"),0,IF(OR($A$256='4. LISTAS'!$C$35, $A$256='4. LISTAS'!$C$36),(VLOOKUP('1.DASHBOARD'!$B$8,'4. LISTAS'!$F$2:$G$11,2,FALSE)),0))</f>
        <v>0.18</v>
      </c>
      <c r="I271" s="305">
        <f t="shared" si="103"/>
        <v>0</v>
      </c>
      <c r="J271" s="319">
        <f>VLOOKUP($A$256,'4. LISTAS'!$C$35:$F$37,4,0)</f>
        <v>0.1125</v>
      </c>
      <c r="K271" s="305">
        <f t="shared" si="104"/>
        <v>0</v>
      </c>
      <c r="L271" s="305">
        <f t="shared" si="105"/>
        <v>0</v>
      </c>
      <c r="M271" s="318"/>
      <c r="N271" s="296"/>
      <c r="O271" s="317"/>
      <c r="P271" s="317"/>
      <c r="Q271" s="320">
        <v>0.04</v>
      </c>
      <c r="R271" s="320">
        <v>0.15</v>
      </c>
      <c r="S271" s="320">
        <v>0</v>
      </c>
      <c r="T271" s="305"/>
      <c r="U271" s="316" t="str">
        <f t="shared" si="107"/>
        <v>Não</v>
      </c>
      <c r="V271" s="315" t="s">
        <v>454</v>
      </c>
      <c r="W271" s="296"/>
      <c r="X271" s="314">
        <f t="shared" si="108"/>
        <v>0</v>
      </c>
      <c r="Y271" s="312">
        <f t="shared" si="109"/>
        <v>0</v>
      </c>
      <c r="Z271" s="312">
        <f t="shared" si="110"/>
        <v>0</v>
      </c>
      <c r="AA271" s="294">
        <f>IF($A$256='4. LISTAS'!$C$35,(P271*B271+T271+Y271+Z271),IF($A$256='4. LISTAS'!$C$36,P271*B271+Y271,IF($A$256='4. LISTAS'!$C$37,P271*B271,"Erro")))</f>
        <v>0</v>
      </c>
      <c r="AB271" s="294">
        <f>IF($A$256='4. LISTAS'!$C$35,IF(V271="sim",AA271,AA271-X271),IF($A$256='4. LISTAS'!$C$36,IF(V271="Sim",AA271-X271,AA271-X271-Y271),IF($A$256='4. LISTAS'!$C$37,AA271,"erro")))</f>
        <v>0</v>
      </c>
      <c r="AC271" s="313">
        <f t="shared" si="114"/>
        <v>0.30349999999999999</v>
      </c>
      <c r="AD271" s="294">
        <f t="shared" si="111"/>
        <v>0</v>
      </c>
      <c r="AE271" s="312">
        <f t="shared" si="112"/>
        <v>0</v>
      </c>
      <c r="AF271" s="312">
        <f t="shared" si="113"/>
        <v>0</v>
      </c>
      <c r="AG271" s="311">
        <f>'4. LISTAS'!$M$6</f>
        <v>5.9299999999999999E-2</v>
      </c>
      <c r="AH271" s="310">
        <f>'4. LISTAS'!$M$5</f>
        <v>0.17</v>
      </c>
    </row>
    <row r="272" spans="1:38" x14ac:dyDescent="0.2">
      <c r="A272" s="323" t="s">
        <v>523</v>
      </c>
      <c r="B272" s="323">
        <v>1</v>
      </c>
      <c r="C272" s="321"/>
      <c r="D272" s="321"/>
      <c r="E272" s="321"/>
      <c r="F272" s="306">
        <f t="shared" si="106"/>
        <v>0</v>
      </c>
      <c r="G272" s="305">
        <f>IF($A$256='4. LISTAS'!$C$35,IF(V272="sim",AD272/(1-AG272),AD272/(1-AG272-(H272*(1+J272)))),IF($A$256='4. LISTAS'!$C$36,(AD272/(1-AG272-(H272*(1+J272)))),IF($A$256='4. LISTAS'!$C$37,(AB272/(1-AC272-AH272)),"Erro")))</f>
        <v>0</v>
      </c>
      <c r="H272" s="320">
        <f>IF(AND($A$256='4. LISTAS'!$C$35,'Fornec. TAGNA'!U272="Sim"),0,IF(OR($A$256='4. LISTAS'!$C$35, $A$256='4. LISTAS'!$C$36),(VLOOKUP('1.DASHBOARD'!$B$8,'4. LISTAS'!$F$2:$G$11,2,FALSE)),0))</f>
        <v>0.18</v>
      </c>
      <c r="I272" s="305">
        <f t="shared" si="103"/>
        <v>0</v>
      </c>
      <c r="J272" s="319">
        <f>VLOOKUP($A$256,'4. LISTAS'!$C$35:$F$37,4,0)</f>
        <v>0.1125</v>
      </c>
      <c r="K272" s="305">
        <f t="shared" si="104"/>
        <v>0</v>
      </c>
      <c r="L272" s="305">
        <f t="shared" si="105"/>
        <v>0</v>
      </c>
      <c r="M272" s="318"/>
      <c r="N272" s="296"/>
      <c r="O272" s="317"/>
      <c r="P272" s="317"/>
      <c r="Q272" s="320">
        <v>0.04</v>
      </c>
      <c r="R272" s="320">
        <v>0.15</v>
      </c>
      <c r="S272" s="320">
        <v>0</v>
      </c>
      <c r="T272" s="305"/>
      <c r="U272" s="316" t="str">
        <f t="shared" si="107"/>
        <v>Não</v>
      </c>
      <c r="V272" s="315" t="s">
        <v>454</v>
      </c>
      <c r="W272" s="296"/>
      <c r="X272" s="314">
        <f t="shared" si="108"/>
        <v>0</v>
      </c>
      <c r="Y272" s="312">
        <f t="shared" si="109"/>
        <v>0</v>
      </c>
      <c r="Z272" s="312">
        <f t="shared" si="110"/>
        <v>0</v>
      </c>
      <c r="AA272" s="294">
        <f>IF($A$256='4. LISTAS'!$C$35,(P272*B272+T272+Y272+Z272),IF($A$256='4. LISTAS'!$C$36,P272*B272+Y272,IF($A$256='4. LISTAS'!$C$37,P272*B272,"Erro")))</f>
        <v>0</v>
      </c>
      <c r="AB272" s="294">
        <f>IF($A$256='4. LISTAS'!$C$35,IF(V272="sim",AA272,AA272-X272),IF($A$256='4. LISTAS'!$C$36,IF(V272="Sim",AA272-X272,AA272-X272-Y272),IF($A$256='4. LISTAS'!$C$37,AA272,"erro")))</f>
        <v>0</v>
      </c>
      <c r="AC272" s="313">
        <f t="shared" si="114"/>
        <v>0.30349999999999999</v>
      </c>
      <c r="AD272" s="294">
        <f t="shared" si="111"/>
        <v>0</v>
      </c>
      <c r="AE272" s="312">
        <f t="shared" si="112"/>
        <v>0</v>
      </c>
      <c r="AF272" s="312">
        <f t="shared" si="113"/>
        <v>0</v>
      </c>
      <c r="AG272" s="311">
        <f>'4. LISTAS'!$M$6</f>
        <v>5.9299999999999999E-2</v>
      </c>
      <c r="AH272" s="310">
        <f>'4. LISTAS'!$M$5</f>
        <v>0.17</v>
      </c>
    </row>
    <row r="273" spans="1:38" x14ac:dyDescent="0.2">
      <c r="A273" s="323" t="s">
        <v>522</v>
      </c>
      <c r="B273" s="323">
        <v>1</v>
      </c>
      <c r="C273" s="321"/>
      <c r="D273" s="321"/>
      <c r="E273" s="321"/>
      <c r="F273" s="306">
        <f t="shared" si="106"/>
        <v>0</v>
      </c>
      <c r="G273" s="305">
        <f>IF($A$256='4. LISTAS'!$C$35,IF(V273="sim",AD273/(1-AG273),AD273/(1-AG273-(H273*(1+J273)))),IF($A$256='4. LISTAS'!$C$36,(AD273/(1-AG273-(H273*(1+J273)))),IF($A$256='4. LISTAS'!$C$37,(AB273/(1-AC273-AH273)),"Erro")))</f>
        <v>0</v>
      </c>
      <c r="H273" s="320">
        <f>IF(AND($A$256='4. LISTAS'!$C$35,'Fornec. TAGNA'!U273="Sim"),0,IF(OR($A$256='4. LISTAS'!$C$35, $A$256='4. LISTAS'!$C$36),(VLOOKUP('1.DASHBOARD'!$B$8,'4. LISTAS'!$F$2:$G$11,2,FALSE)),0))</f>
        <v>0.18</v>
      </c>
      <c r="I273" s="305">
        <f t="shared" si="103"/>
        <v>0</v>
      </c>
      <c r="J273" s="319">
        <f>VLOOKUP($A$256,'4. LISTAS'!$C$35:$F$37,4,0)</f>
        <v>0.1125</v>
      </c>
      <c r="K273" s="305">
        <f t="shared" si="104"/>
        <v>0</v>
      </c>
      <c r="L273" s="305">
        <f t="shared" si="105"/>
        <v>0</v>
      </c>
      <c r="M273" s="318"/>
      <c r="N273" s="296"/>
      <c r="O273" s="317"/>
      <c r="P273" s="317"/>
      <c r="Q273" s="320">
        <v>0.04</v>
      </c>
      <c r="R273" s="320">
        <v>0.15</v>
      </c>
      <c r="S273" s="320">
        <v>0</v>
      </c>
      <c r="T273" s="305"/>
      <c r="U273" s="316" t="str">
        <f t="shared" si="107"/>
        <v>Não</v>
      </c>
      <c r="V273" s="315" t="s">
        <v>454</v>
      </c>
      <c r="W273" s="296"/>
      <c r="X273" s="314">
        <f t="shared" si="108"/>
        <v>0</v>
      </c>
      <c r="Y273" s="312">
        <f t="shared" si="109"/>
        <v>0</v>
      </c>
      <c r="Z273" s="312">
        <f t="shared" si="110"/>
        <v>0</v>
      </c>
      <c r="AA273" s="294">
        <f>IF($A$256='4. LISTAS'!$C$35,(P273*B273+T273+Y273+Z273),IF($A$256='4. LISTAS'!$C$36,P273*B273+Y273,IF($A$256='4. LISTAS'!$C$37,P273*B273,"Erro")))</f>
        <v>0</v>
      </c>
      <c r="AB273" s="294">
        <f>IF($A$256='4. LISTAS'!$C$35,IF(V273="sim",AA273,AA273-X273),IF($A$256='4. LISTAS'!$C$36,IF(V273="Sim",AA273-X273,AA273-X273-Y273),IF($A$256='4. LISTAS'!$C$37,AA273,"erro")))</f>
        <v>0</v>
      </c>
      <c r="AC273" s="313">
        <f t="shared" si="114"/>
        <v>0.30349999999999999</v>
      </c>
      <c r="AD273" s="294">
        <f t="shared" si="111"/>
        <v>0</v>
      </c>
      <c r="AE273" s="312">
        <f t="shared" si="112"/>
        <v>0</v>
      </c>
      <c r="AF273" s="312">
        <f t="shared" si="113"/>
        <v>0</v>
      </c>
      <c r="AG273" s="311">
        <f>'4. LISTAS'!$M$6</f>
        <v>5.9299999999999999E-2</v>
      </c>
      <c r="AH273" s="310">
        <f>'4. LISTAS'!$M$5</f>
        <v>0.17</v>
      </c>
    </row>
    <row r="274" spans="1:38" x14ac:dyDescent="0.2">
      <c r="A274" s="323" t="s">
        <v>521</v>
      </c>
      <c r="B274" s="323">
        <v>1</v>
      </c>
      <c r="C274" s="321"/>
      <c r="D274" s="321"/>
      <c r="E274" s="321"/>
      <c r="F274" s="306">
        <f t="shared" si="106"/>
        <v>0</v>
      </c>
      <c r="G274" s="305">
        <f>IF($A$256='4. LISTAS'!$C$35,IF(V274="sim",AD274/(1-AG274),AD274/(1-AG274-(H274*(1+J274)))),IF($A$256='4. LISTAS'!$C$36,(AD274/(1-AG274-(H274*(1+J274)))),IF($A$256='4. LISTAS'!$C$37,(AB274/(1-AC274-AH274)),"Erro")))</f>
        <v>0</v>
      </c>
      <c r="H274" s="320">
        <f>IF(AND($A$256='4. LISTAS'!$C$35,'Fornec. TAGNA'!U274="Sim"),0,IF(OR($A$256='4. LISTAS'!$C$35, $A$256='4. LISTAS'!$C$36),(VLOOKUP('1.DASHBOARD'!$B$8,'4. LISTAS'!$F$2:$G$11,2,FALSE)),0))</f>
        <v>0.18</v>
      </c>
      <c r="I274" s="305">
        <f t="shared" si="103"/>
        <v>0</v>
      </c>
      <c r="J274" s="319">
        <f>VLOOKUP($A$256,'4. LISTAS'!$C$35:$F$37,4,0)</f>
        <v>0.1125</v>
      </c>
      <c r="K274" s="305">
        <f t="shared" si="104"/>
        <v>0</v>
      </c>
      <c r="L274" s="305">
        <f t="shared" si="105"/>
        <v>0</v>
      </c>
      <c r="M274" s="318"/>
      <c r="N274" s="296"/>
      <c r="O274" s="317"/>
      <c r="P274" s="317"/>
      <c r="Q274" s="320">
        <v>0.04</v>
      </c>
      <c r="R274" s="320">
        <v>0.15</v>
      </c>
      <c r="S274" s="320">
        <v>0</v>
      </c>
      <c r="T274" s="305"/>
      <c r="U274" s="316" t="str">
        <f t="shared" si="107"/>
        <v>Não</v>
      </c>
      <c r="V274" s="315" t="s">
        <v>454</v>
      </c>
      <c r="W274" s="296"/>
      <c r="X274" s="314">
        <f t="shared" si="108"/>
        <v>0</v>
      </c>
      <c r="Y274" s="312">
        <f t="shared" si="109"/>
        <v>0</v>
      </c>
      <c r="Z274" s="312">
        <f t="shared" si="110"/>
        <v>0</v>
      </c>
      <c r="AA274" s="294">
        <f>IF($A$256='4. LISTAS'!$C$35,(P274*B274+T274+Y274+Z274),IF($A$256='4. LISTAS'!$C$36,P274*B274+Y274,IF($A$256='4. LISTAS'!$C$37,P274*B274,"Erro")))</f>
        <v>0</v>
      </c>
      <c r="AB274" s="294">
        <f>IF($A$256='4. LISTAS'!$C$35,IF(V274="sim",AA274,AA274-X274),IF($A$256='4. LISTAS'!$C$36,IF(V274="Sim",AA274-X274,AA274-X274-Y274),IF($A$256='4. LISTAS'!$C$37,AA274,"erro")))</f>
        <v>0</v>
      </c>
      <c r="AC274" s="313">
        <f t="shared" si="114"/>
        <v>0.30349999999999999</v>
      </c>
      <c r="AD274" s="294">
        <f t="shared" si="111"/>
        <v>0</v>
      </c>
      <c r="AE274" s="312">
        <f t="shared" si="112"/>
        <v>0</v>
      </c>
      <c r="AF274" s="312">
        <f t="shared" si="113"/>
        <v>0</v>
      </c>
      <c r="AG274" s="311">
        <f>'4. LISTAS'!$M$6</f>
        <v>5.9299999999999999E-2</v>
      </c>
      <c r="AH274" s="310">
        <f>'4. LISTAS'!$M$5</f>
        <v>0.17</v>
      </c>
    </row>
    <row r="275" spans="1:38" x14ac:dyDescent="0.2">
      <c r="A275" s="323" t="s">
        <v>520</v>
      </c>
      <c r="B275" s="323">
        <v>1</v>
      </c>
      <c r="C275" s="321"/>
      <c r="D275" s="321"/>
      <c r="E275" s="321"/>
      <c r="F275" s="306">
        <f t="shared" si="106"/>
        <v>0</v>
      </c>
      <c r="G275" s="305">
        <f>IF($A$256='4. LISTAS'!$C$35,IF(V275="sim",AD275/(1-AG275),AD275/(1-AG275-(H275*(1+J275)))),IF($A$256='4. LISTAS'!$C$36,(AD275/(1-AG275-(H275*(1+J275)))),IF($A$256='4. LISTAS'!$C$37,(AB275/(1-AC275-AH275)),"Erro")))</f>
        <v>0</v>
      </c>
      <c r="H275" s="320">
        <f>IF(AND($A$256='4. LISTAS'!$C$35,'Fornec. TAGNA'!U275="Sim"),0,IF(OR($A$256='4. LISTAS'!$C$35, $A$256='4. LISTAS'!$C$36),(VLOOKUP('1.DASHBOARD'!$B$8,'4. LISTAS'!$F$2:$G$11,2,FALSE)),0))</f>
        <v>0.18</v>
      </c>
      <c r="I275" s="305">
        <f t="shared" si="103"/>
        <v>0</v>
      </c>
      <c r="J275" s="319">
        <f>VLOOKUP($A$256,'4. LISTAS'!$C$35:$F$37,4,0)</f>
        <v>0.1125</v>
      </c>
      <c r="K275" s="305">
        <f t="shared" si="104"/>
        <v>0</v>
      </c>
      <c r="L275" s="305">
        <f t="shared" si="105"/>
        <v>0</v>
      </c>
      <c r="M275" s="318"/>
      <c r="N275" s="296"/>
      <c r="O275" s="317"/>
      <c r="P275" s="317"/>
      <c r="Q275" s="320">
        <v>0.04</v>
      </c>
      <c r="R275" s="320">
        <v>0.15</v>
      </c>
      <c r="S275" s="320">
        <v>0</v>
      </c>
      <c r="T275" s="305"/>
      <c r="U275" s="316" t="str">
        <f t="shared" si="107"/>
        <v>Não</v>
      </c>
      <c r="V275" s="315" t="s">
        <v>454</v>
      </c>
      <c r="W275" s="296"/>
      <c r="X275" s="314">
        <f t="shared" si="108"/>
        <v>0</v>
      </c>
      <c r="Y275" s="312">
        <f t="shared" si="109"/>
        <v>0</v>
      </c>
      <c r="Z275" s="312">
        <f t="shared" si="110"/>
        <v>0</v>
      </c>
      <c r="AA275" s="294">
        <f>IF($A$256='4. LISTAS'!$C$35,(P275*B275+T275+Y275+Z275),IF($A$256='4. LISTAS'!$C$36,P275*B275+Y275,IF($A$256='4. LISTAS'!$C$37,P275*B275,"Erro")))</f>
        <v>0</v>
      </c>
      <c r="AB275" s="294">
        <f>IF($A$256='4. LISTAS'!$C$35,IF(V275="sim",AA275,AA275-X275),IF($A$256='4. LISTAS'!$C$36,IF(V275="Sim",AA275-X275,AA275-X275-Y275),IF($A$256='4. LISTAS'!$C$37,AA275,"erro")))</f>
        <v>0</v>
      </c>
      <c r="AC275" s="313">
        <f t="shared" si="114"/>
        <v>0.30349999999999999</v>
      </c>
      <c r="AD275" s="294">
        <f t="shared" si="111"/>
        <v>0</v>
      </c>
      <c r="AE275" s="312">
        <f t="shared" si="112"/>
        <v>0</v>
      </c>
      <c r="AF275" s="312">
        <f t="shared" si="113"/>
        <v>0</v>
      </c>
      <c r="AG275" s="311">
        <f>'4. LISTAS'!$M$6</f>
        <v>5.9299999999999999E-2</v>
      </c>
      <c r="AH275" s="310">
        <f>'4. LISTAS'!$M$5</f>
        <v>0.17</v>
      </c>
    </row>
    <row r="276" spans="1:38" x14ac:dyDescent="0.2">
      <c r="A276" s="323" t="s">
        <v>519</v>
      </c>
      <c r="B276" s="323">
        <v>1</v>
      </c>
      <c r="C276" s="321"/>
      <c r="D276" s="321"/>
      <c r="E276" s="321"/>
      <c r="F276" s="306">
        <f t="shared" si="106"/>
        <v>0</v>
      </c>
      <c r="G276" s="305">
        <f>IF($A$256='4. LISTAS'!$C$35,IF(V276="sim",AD276/(1-AG276),AD276/(1-AG276-(H276*(1+J276)))),IF($A$256='4. LISTAS'!$C$36,(AD276/(1-AG276-(H276*(1+J276)))),IF($A$256='4. LISTAS'!$C$37,(AB276/(1-AC276-AH276)),"Erro")))</f>
        <v>0</v>
      </c>
      <c r="H276" s="320">
        <f>IF(AND($A$256='4. LISTAS'!$C$35,'Fornec. TAGNA'!U276="Sim"),0,IF(OR($A$256='4. LISTAS'!$C$35, $A$256='4. LISTAS'!$C$36),(VLOOKUP('1.DASHBOARD'!$B$8,'4. LISTAS'!$F$2:$G$11,2,FALSE)),0))</f>
        <v>0.18</v>
      </c>
      <c r="I276" s="305">
        <f t="shared" si="103"/>
        <v>0</v>
      </c>
      <c r="J276" s="319">
        <f>VLOOKUP($A$256,'4. LISTAS'!$C$35:$F$37,4,0)</f>
        <v>0.1125</v>
      </c>
      <c r="K276" s="305">
        <f t="shared" si="104"/>
        <v>0</v>
      </c>
      <c r="L276" s="305">
        <f t="shared" si="105"/>
        <v>0</v>
      </c>
      <c r="M276" s="318"/>
      <c r="N276" s="296"/>
      <c r="O276" s="317"/>
      <c r="P276" s="317"/>
      <c r="Q276" s="320">
        <v>0.04</v>
      </c>
      <c r="R276" s="320">
        <v>0.15</v>
      </c>
      <c r="S276" s="320">
        <v>0</v>
      </c>
      <c r="T276" s="305"/>
      <c r="U276" s="316" t="str">
        <f t="shared" si="107"/>
        <v>Não</v>
      </c>
      <c r="V276" s="315" t="s">
        <v>454</v>
      </c>
      <c r="W276" s="296"/>
      <c r="X276" s="314">
        <f t="shared" si="108"/>
        <v>0</v>
      </c>
      <c r="Y276" s="312">
        <f t="shared" si="109"/>
        <v>0</v>
      </c>
      <c r="Z276" s="312">
        <f t="shared" si="110"/>
        <v>0</v>
      </c>
      <c r="AA276" s="294">
        <f>IF($A$256='4. LISTAS'!$C$35,(P276*B276+T276+Y276+Z276),IF($A$256='4. LISTAS'!$C$36,P276*B276+Y276,IF($A$256='4. LISTAS'!$C$37,P276*B276,"Erro")))</f>
        <v>0</v>
      </c>
      <c r="AB276" s="294">
        <f>IF($A$256='4. LISTAS'!$C$35,IF(V276="sim",AA276,AA276-X276),IF($A$256='4. LISTAS'!$C$36,IF(V276="Sim",AA276-X276,AA276-X276-Y276),IF($A$256='4. LISTAS'!$C$37,AA276,"erro")))</f>
        <v>0</v>
      </c>
      <c r="AC276" s="313">
        <f t="shared" si="114"/>
        <v>0.30349999999999999</v>
      </c>
      <c r="AD276" s="294">
        <f t="shared" si="111"/>
        <v>0</v>
      </c>
      <c r="AE276" s="312">
        <f t="shared" si="112"/>
        <v>0</v>
      </c>
      <c r="AF276" s="312">
        <f t="shared" si="113"/>
        <v>0</v>
      </c>
      <c r="AG276" s="311">
        <f>'4. LISTAS'!$M$6</f>
        <v>5.9299999999999999E-2</v>
      </c>
      <c r="AH276" s="310">
        <f>'4. LISTAS'!$M$5</f>
        <v>0.17</v>
      </c>
    </row>
    <row r="277" spans="1:38" x14ac:dyDescent="0.2">
      <c r="A277" s="323" t="s">
        <v>518</v>
      </c>
      <c r="B277" s="323">
        <v>1</v>
      </c>
      <c r="C277" s="321"/>
      <c r="D277" s="321"/>
      <c r="E277" s="321"/>
      <c r="F277" s="306">
        <f t="shared" si="106"/>
        <v>0</v>
      </c>
      <c r="G277" s="305">
        <f>IF($A$256='4. LISTAS'!$C$35,IF(V277="sim",AD277/(1-AG277),AD277/(1-AG277-(H277*(1+J277)))),IF($A$256='4. LISTAS'!$C$36,(AD277/(1-AG277-(H277*(1+J277)))),IF($A$256='4. LISTAS'!$C$37,(AB277/(1-AC277-AH277)),"Erro")))</f>
        <v>0</v>
      </c>
      <c r="H277" s="320">
        <f>IF(AND($A$256='4. LISTAS'!$C$35,'Fornec. TAGNA'!U277="Sim"),0,IF(OR($A$256='4. LISTAS'!$C$35, $A$256='4. LISTAS'!$C$36),(VLOOKUP('1.DASHBOARD'!$B$8,'4. LISTAS'!$F$2:$G$11,2,FALSE)),0))</f>
        <v>0.18</v>
      </c>
      <c r="I277" s="305">
        <f t="shared" si="103"/>
        <v>0</v>
      </c>
      <c r="J277" s="319">
        <f>VLOOKUP($A$256,'4. LISTAS'!$C$35:$F$37,4,0)</f>
        <v>0.1125</v>
      </c>
      <c r="K277" s="305">
        <f t="shared" si="104"/>
        <v>0</v>
      </c>
      <c r="L277" s="305">
        <f t="shared" si="105"/>
        <v>0</v>
      </c>
      <c r="M277" s="318"/>
      <c r="N277" s="296"/>
      <c r="O277" s="317"/>
      <c r="P277" s="317"/>
      <c r="Q277" s="320">
        <v>0.04</v>
      </c>
      <c r="R277" s="320">
        <v>0.15</v>
      </c>
      <c r="S277" s="320">
        <v>0</v>
      </c>
      <c r="T277" s="305"/>
      <c r="U277" s="316" t="str">
        <f t="shared" si="107"/>
        <v>Não</v>
      </c>
      <c r="V277" s="315" t="s">
        <v>454</v>
      </c>
      <c r="W277" s="296"/>
      <c r="X277" s="314">
        <f t="shared" si="108"/>
        <v>0</v>
      </c>
      <c r="Y277" s="312">
        <f t="shared" si="109"/>
        <v>0</v>
      </c>
      <c r="Z277" s="312">
        <f t="shared" si="110"/>
        <v>0</v>
      </c>
      <c r="AA277" s="294">
        <f>IF($A$256='4. LISTAS'!$C$35,(P277*B277+T277+Y277+Z277),IF($A$256='4. LISTAS'!$C$36,P277*B277+Y277,IF($A$256='4. LISTAS'!$C$37,P277*B277,"Erro")))</f>
        <v>0</v>
      </c>
      <c r="AB277" s="294">
        <f>IF($A$256='4. LISTAS'!$C$35,IF(V277="sim",AA277,AA277-X277),IF($A$256='4. LISTAS'!$C$36,IF(V277="Sim",AA277-X277,AA277-X277-Y277),IF($A$256='4. LISTAS'!$C$37,AA277,"erro")))</f>
        <v>0</v>
      </c>
      <c r="AC277" s="313">
        <f t="shared" si="114"/>
        <v>0.30349999999999999</v>
      </c>
      <c r="AD277" s="294">
        <f t="shared" si="111"/>
        <v>0</v>
      </c>
      <c r="AE277" s="312">
        <f t="shared" si="112"/>
        <v>0</v>
      </c>
      <c r="AF277" s="312">
        <f t="shared" si="113"/>
        <v>0</v>
      </c>
      <c r="AG277" s="311">
        <f>'4. LISTAS'!$M$6</f>
        <v>5.9299999999999999E-2</v>
      </c>
      <c r="AH277" s="310">
        <f>'4. LISTAS'!$M$5</f>
        <v>0.17</v>
      </c>
    </row>
    <row r="278" spans="1:38" x14ac:dyDescent="0.2">
      <c r="A278" s="323" t="s">
        <v>517</v>
      </c>
      <c r="B278" s="323">
        <v>1</v>
      </c>
      <c r="C278" s="321"/>
      <c r="D278" s="321"/>
      <c r="E278" s="321"/>
      <c r="F278" s="306">
        <f t="shared" si="106"/>
        <v>0</v>
      </c>
      <c r="G278" s="305">
        <f>IF($A$256='4. LISTAS'!$C$35,IF(V278="sim",AD278/(1-AG278),AD278/(1-AG278-(H278*(1+J278)))),IF($A$256='4. LISTAS'!$C$36,(AD278/(1-AG278-(H278*(1+J278)))),IF($A$256='4. LISTAS'!$C$37,(AB278/(1-AC278-AH278)),"Erro")))</f>
        <v>0</v>
      </c>
      <c r="H278" s="320">
        <f>IF(AND($A$256='4. LISTAS'!$C$35,'Fornec. TAGNA'!U278="Sim"),0,IF(OR($A$256='4. LISTAS'!$C$35, $A$256='4. LISTAS'!$C$36),(VLOOKUP('1.DASHBOARD'!$B$8,'4. LISTAS'!$F$2:$G$11,2,FALSE)),0))</f>
        <v>0.18</v>
      </c>
      <c r="I278" s="305">
        <f t="shared" si="103"/>
        <v>0</v>
      </c>
      <c r="J278" s="319">
        <f>VLOOKUP($A$256,'4. LISTAS'!$C$35:$F$37,4,0)</f>
        <v>0.1125</v>
      </c>
      <c r="K278" s="305">
        <f t="shared" si="104"/>
        <v>0</v>
      </c>
      <c r="L278" s="305">
        <f t="shared" si="105"/>
        <v>0</v>
      </c>
      <c r="M278" s="318"/>
      <c r="N278" s="296"/>
      <c r="O278" s="317"/>
      <c r="P278" s="317"/>
      <c r="Q278" s="320">
        <v>0.04</v>
      </c>
      <c r="R278" s="320">
        <v>0.15</v>
      </c>
      <c r="S278" s="320">
        <v>0</v>
      </c>
      <c r="T278" s="305"/>
      <c r="U278" s="316" t="str">
        <f t="shared" si="107"/>
        <v>Não</v>
      </c>
      <c r="V278" s="315" t="s">
        <v>454</v>
      </c>
      <c r="W278" s="296"/>
      <c r="X278" s="314">
        <f t="shared" si="108"/>
        <v>0</v>
      </c>
      <c r="Y278" s="312">
        <f t="shared" si="109"/>
        <v>0</v>
      </c>
      <c r="Z278" s="312">
        <f t="shared" si="110"/>
        <v>0</v>
      </c>
      <c r="AA278" s="294">
        <f>IF($A$256='4. LISTAS'!$C$35,(P278*B278+T278+Y278+Z278),IF($A$256='4. LISTAS'!$C$36,P278*B278+Y278,IF($A$256='4. LISTAS'!$C$37,P278*B278,"Erro")))</f>
        <v>0</v>
      </c>
      <c r="AB278" s="294">
        <f>IF($A$256='4. LISTAS'!$C$35,IF(V278="sim",AA278,AA278-X278),IF($A$256='4. LISTAS'!$C$36,IF(V278="Sim",AA278-X278,AA278-X278-Y278),IF($A$256='4. LISTAS'!$C$37,AA278,"erro")))</f>
        <v>0</v>
      </c>
      <c r="AC278" s="313">
        <f t="shared" si="114"/>
        <v>0.30349999999999999</v>
      </c>
      <c r="AD278" s="294">
        <f t="shared" si="111"/>
        <v>0</v>
      </c>
      <c r="AE278" s="312">
        <f t="shared" si="112"/>
        <v>0</v>
      </c>
      <c r="AF278" s="312">
        <f t="shared" si="113"/>
        <v>0</v>
      </c>
      <c r="AG278" s="311">
        <f>'4. LISTAS'!$M$6</f>
        <v>5.9299999999999999E-2</v>
      </c>
      <c r="AH278" s="310">
        <f>'4. LISTAS'!$M$5</f>
        <v>0.17</v>
      </c>
    </row>
    <row r="279" spans="1:38" x14ac:dyDescent="0.2">
      <c r="A279" s="323" t="s">
        <v>516</v>
      </c>
      <c r="B279" s="323">
        <v>1</v>
      </c>
      <c r="C279" s="321"/>
      <c r="D279" s="321"/>
      <c r="E279" s="321"/>
      <c r="F279" s="306">
        <f t="shared" si="106"/>
        <v>0</v>
      </c>
      <c r="G279" s="305">
        <f>IF($A$256='4. LISTAS'!$C$35,IF(V279="sim",AD279/(1-AG279),AD279/(1-AG279-(H279*(1+J279)))),IF($A$256='4. LISTAS'!$C$36,(AD279/(1-AG279-(H279*(1+J279)))),IF($A$256='4. LISTAS'!$C$37,(AB279/(1-AC279-AH279)),"Erro")))</f>
        <v>0</v>
      </c>
      <c r="H279" s="320">
        <f>IF(AND($A$256='4. LISTAS'!$C$35,'Fornec. TAGNA'!U279="Sim"),0,IF(OR($A$256='4. LISTAS'!$C$35, $A$256='4. LISTAS'!$C$36),(VLOOKUP('1.DASHBOARD'!$B$8,'4. LISTAS'!$F$2:$G$11,2,FALSE)),0))</f>
        <v>0.18</v>
      </c>
      <c r="I279" s="305">
        <f t="shared" si="103"/>
        <v>0</v>
      </c>
      <c r="J279" s="319">
        <f>VLOOKUP($A$256,'4. LISTAS'!$C$35:$F$37,4,0)</f>
        <v>0.1125</v>
      </c>
      <c r="K279" s="305">
        <f t="shared" si="104"/>
        <v>0</v>
      </c>
      <c r="L279" s="305">
        <f t="shared" si="105"/>
        <v>0</v>
      </c>
      <c r="M279" s="318"/>
      <c r="N279" s="296"/>
      <c r="O279" s="317"/>
      <c r="P279" s="317"/>
      <c r="Q279" s="320">
        <v>0.04</v>
      </c>
      <c r="R279" s="320">
        <v>0.15</v>
      </c>
      <c r="S279" s="320">
        <v>0</v>
      </c>
      <c r="T279" s="305"/>
      <c r="U279" s="316" t="str">
        <f t="shared" si="107"/>
        <v>Não</v>
      </c>
      <c r="V279" s="315" t="s">
        <v>454</v>
      </c>
      <c r="W279" s="296"/>
      <c r="X279" s="314">
        <f t="shared" si="108"/>
        <v>0</v>
      </c>
      <c r="Y279" s="312">
        <f t="shared" si="109"/>
        <v>0</v>
      </c>
      <c r="Z279" s="312">
        <f t="shared" si="110"/>
        <v>0</v>
      </c>
      <c r="AA279" s="294">
        <f>IF($A$256='4. LISTAS'!$C$35,(P279*B279+T279+Y279+Z279),IF($A$256='4. LISTAS'!$C$36,P279*B279+Y279,IF($A$256='4. LISTAS'!$C$37,P279*B279,"Erro")))</f>
        <v>0</v>
      </c>
      <c r="AB279" s="294">
        <f>IF($A$256='4. LISTAS'!$C$35,IF(V279="sim",AA279,AA279-X279),IF($A$256='4. LISTAS'!$C$36,IF(V279="Sim",AA279-X279,AA279-X279-Y279),IF($A$256='4. LISTAS'!$C$37,AA279,"erro")))</f>
        <v>0</v>
      </c>
      <c r="AC279" s="313">
        <f t="shared" si="114"/>
        <v>0.30349999999999999</v>
      </c>
      <c r="AD279" s="294">
        <f t="shared" si="111"/>
        <v>0</v>
      </c>
      <c r="AE279" s="312">
        <f t="shared" si="112"/>
        <v>0</v>
      </c>
      <c r="AF279" s="312">
        <f t="shared" si="113"/>
        <v>0</v>
      </c>
      <c r="AG279" s="311">
        <f>'4. LISTAS'!$M$6</f>
        <v>5.9299999999999999E-2</v>
      </c>
      <c r="AH279" s="310">
        <f>'4. LISTAS'!$M$5</f>
        <v>0.17</v>
      </c>
      <c r="AI279" s="296"/>
      <c r="AJ279" s="321"/>
      <c r="AK279" s="321"/>
      <c r="AL279" s="321"/>
    </row>
    <row r="280" spans="1:38" x14ac:dyDescent="0.2">
      <c r="A280" s="323" t="s">
        <v>515</v>
      </c>
      <c r="B280" s="322">
        <f>B249</f>
        <v>0</v>
      </c>
      <c r="C280" s="321"/>
      <c r="D280" s="321" t="str">
        <f>D249</f>
        <v>Gestão + Compras</v>
      </c>
      <c r="E280" s="321"/>
      <c r="F280" s="306">
        <f>IF(B280&lt;&gt;0,G280/B280,0)</f>
        <v>0</v>
      </c>
      <c r="G280" s="305">
        <f>IF($A$256='4. LISTAS'!$C$35,IF(V280="sim",AD280/(1-AG280),AD280/(1-AG280-(H280*(1+J280)))),IF($A$256='4. LISTAS'!$C$36,(AD280/(1-AG280-(H280*(1+J280)))),IF($A$256='4. LISTAS'!$C$37,(AB280/(1-AC280-AH280)),"Erro")))</f>
        <v>0</v>
      </c>
      <c r="H280" s="320">
        <f>IF(AND($A$256='4. LISTAS'!$C$35,'Fornec. TAGNA'!U280="Sim"),0,IF(OR($A$256='4. LISTAS'!$C$35, $A$256='4. LISTAS'!$C$36),(VLOOKUP('1.DASHBOARD'!$B$8,'4. LISTAS'!$F$2:$G$11,2,FALSE)),0))</f>
        <v>0.18</v>
      </c>
      <c r="I280" s="305">
        <f t="shared" si="103"/>
        <v>0</v>
      </c>
      <c r="J280" s="319">
        <f>VLOOKUP($A$256,'4. LISTAS'!$C$35:$F$37,4,0)</f>
        <v>0.1125</v>
      </c>
      <c r="K280" s="305">
        <f t="shared" si="104"/>
        <v>0</v>
      </c>
      <c r="L280" s="305">
        <f t="shared" si="105"/>
        <v>0</v>
      </c>
      <c r="M280" s="318"/>
      <c r="N280" s="296"/>
      <c r="O280" s="317"/>
      <c r="P280" s="317">
        <f t="shared" ref="P280:S283" si="115">P249</f>
        <v>355.22537921211438</v>
      </c>
      <c r="Q280" s="306">
        <f t="shared" si="115"/>
        <v>0</v>
      </c>
      <c r="R280" s="306">
        <f t="shared" si="115"/>
        <v>0</v>
      </c>
      <c r="S280" s="306">
        <f t="shared" si="115"/>
        <v>0</v>
      </c>
      <c r="T280" s="305"/>
      <c r="U280" s="316" t="str">
        <f t="shared" si="107"/>
        <v>Não</v>
      </c>
      <c r="V280" s="315" t="s">
        <v>454</v>
      </c>
      <c r="W280" s="296"/>
      <c r="X280" s="314">
        <f t="shared" si="108"/>
        <v>0</v>
      </c>
      <c r="Y280" s="312">
        <f t="shared" si="109"/>
        <v>0</v>
      </c>
      <c r="Z280" s="312">
        <f t="shared" si="110"/>
        <v>0</v>
      </c>
      <c r="AA280" s="294">
        <f>IF($A$256='4. LISTAS'!$C$35,(P280*B280+T280+Y280+Z280),IF($A$256='4. LISTAS'!$C$36,P280*B280+Y280,IF($A$256='4. LISTAS'!$C$37,P280*B280,"Erro")))</f>
        <v>0</v>
      </c>
      <c r="AB280" s="294">
        <f>IF($A$256='4. LISTAS'!$C$35,IF(V280="sim",AA280,AA280-X280),IF($A$256='4. LISTAS'!$C$36,IF(V280="Sim",AA280-X280,AA280-X280-Y280),IF($A$256='4. LISTAS'!$C$37,AA280,"erro")))</f>
        <v>0</v>
      </c>
      <c r="AC280" s="313">
        <f>'1.DASHBOARD'!$B$11</f>
        <v>0.25</v>
      </c>
      <c r="AD280" s="294">
        <f t="shared" si="111"/>
        <v>0</v>
      </c>
      <c r="AE280" s="312">
        <f t="shared" si="112"/>
        <v>0</v>
      </c>
      <c r="AF280" s="312">
        <f t="shared" si="113"/>
        <v>0</v>
      </c>
      <c r="AG280" s="311">
        <f>'4. LISTAS'!$M$6</f>
        <v>5.9299999999999999E-2</v>
      </c>
      <c r="AH280" s="310">
        <f>'4. LISTAS'!$M$5</f>
        <v>0.17</v>
      </c>
      <c r="AI280" s="296"/>
      <c r="AJ280" s="321"/>
      <c r="AK280" s="321"/>
      <c r="AL280" s="321"/>
    </row>
    <row r="281" spans="1:38" x14ac:dyDescent="0.2">
      <c r="A281" s="323" t="s">
        <v>514</v>
      </c>
      <c r="B281" s="322">
        <f>B250</f>
        <v>0</v>
      </c>
      <c r="C281" s="321"/>
      <c r="D281" s="321" t="str">
        <f>D250</f>
        <v>Projeto</v>
      </c>
      <c r="E281" s="321"/>
      <c r="F281" s="306">
        <f>IF(B280&lt;&gt;0,G281/B281,0)</f>
        <v>0</v>
      </c>
      <c r="G281" s="305">
        <f>IF($A$256='4. LISTAS'!$C$35,IF(V281="sim",AD281/(1-AG281),AD281/(1-AG281-(H281*(1+J281)))),IF($A$256='4. LISTAS'!$C$36,(AD281/(1-AG281-(H281*(1+J281)))),IF($A$256='4. LISTAS'!$C$37,(AB281/(1-AC281-AH281)),"Erro")))</f>
        <v>0</v>
      </c>
      <c r="H281" s="320">
        <f>IF(AND($A$256='4. LISTAS'!$C$35,'Fornec. TAGNA'!U281="Sim"),0,IF(OR($A$256='4. LISTAS'!$C$35, $A$256='4. LISTAS'!$C$36),(VLOOKUP('1.DASHBOARD'!$B$8,'4. LISTAS'!$F$2:$G$11,2,FALSE)),0))</f>
        <v>0.18</v>
      </c>
      <c r="I281" s="305">
        <f t="shared" si="103"/>
        <v>0</v>
      </c>
      <c r="J281" s="319">
        <f>VLOOKUP($A$256,'4. LISTAS'!$C$35:$F$37,4,0)</f>
        <v>0.1125</v>
      </c>
      <c r="K281" s="305">
        <f t="shared" si="104"/>
        <v>0</v>
      </c>
      <c r="L281" s="305">
        <f t="shared" si="105"/>
        <v>0</v>
      </c>
      <c r="M281" s="318"/>
      <c r="N281" s="296"/>
      <c r="O281" s="317"/>
      <c r="P281" s="317">
        <f t="shared" si="115"/>
        <v>37.149026125714286</v>
      </c>
      <c r="Q281" s="306">
        <f t="shared" si="115"/>
        <v>0</v>
      </c>
      <c r="R281" s="306">
        <f t="shared" si="115"/>
        <v>0</v>
      </c>
      <c r="S281" s="306">
        <f t="shared" si="115"/>
        <v>0</v>
      </c>
      <c r="T281" s="305"/>
      <c r="U281" s="316" t="str">
        <f t="shared" si="107"/>
        <v>Não</v>
      </c>
      <c r="V281" s="315" t="s">
        <v>454</v>
      </c>
      <c r="W281" s="296"/>
      <c r="X281" s="314">
        <f t="shared" si="108"/>
        <v>0</v>
      </c>
      <c r="Y281" s="312">
        <f t="shared" si="109"/>
        <v>0</v>
      </c>
      <c r="Z281" s="312">
        <f t="shared" si="110"/>
        <v>0</v>
      </c>
      <c r="AA281" s="294">
        <f>IF($A$256='4. LISTAS'!$C$35,(P281*B281+T281+Y281+Z281),IF($A$256='4. LISTAS'!$C$36,P281*B281+Y281,IF($A$256='4. LISTAS'!$C$37,P281*B281,"Erro")))</f>
        <v>0</v>
      </c>
      <c r="AB281" s="294">
        <f>IF($A$256='4. LISTAS'!$C$35,IF(V281="sim",AA281,AA281-X281),IF($A$256='4. LISTAS'!$C$36,IF(V281="Sim",AA281-X281,AA281-X281-Y281),IF($A$256='4. LISTAS'!$C$37,AA281,"erro")))</f>
        <v>0</v>
      </c>
      <c r="AC281" s="313">
        <f>'1.DASHBOARD'!$B$11</f>
        <v>0.25</v>
      </c>
      <c r="AD281" s="294">
        <f t="shared" si="111"/>
        <v>0</v>
      </c>
      <c r="AE281" s="312">
        <f t="shared" si="112"/>
        <v>0</v>
      </c>
      <c r="AF281" s="312">
        <f t="shared" si="113"/>
        <v>0</v>
      </c>
      <c r="AG281" s="311">
        <f>'4. LISTAS'!$M$6</f>
        <v>5.9299999999999999E-2</v>
      </c>
      <c r="AH281" s="310">
        <f>'4. LISTAS'!$M$5</f>
        <v>0.17</v>
      </c>
      <c r="AI281" s="296"/>
      <c r="AJ281" s="324"/>
      <c r="AK281" s="324"/>
      <c r="AL281" s="324"/>
    </row>
    <row r="282" spans="1:38" x14ac:dyDescent="0.2">
      <c r="A282" s="323" t="s">
        <v>513</v>
      </c>
      <c r="B282" s="322">
        <f>B251</f>
        <v>0</v>
      </c>
      <c r="C282" s="321"/>
      <c r="D282" s="321" t="str">
        <f>D251</f>
        <v>Testes</v>
      </c>
      <c r="E282" s="321"/>
      <c r="F282" s="306">
        <f>IF(B280&lt;&gt;0,G282/B282,0)</f>
        <v>0</v>
      </c>
      <c r="G282" s="305">
        <f>IF($A$256='4. LISTAS'!$C$35,IF(V282="sim",AD282/(1-AG282),AD282/(1-AG282-(H282*(1+J282)))),IF($A$256='4. LISTAS'!$C$36,(AD282/(1-AG282-(H282*(1+J282)))),IF($A$256='4. LISTAS'!$C$37,(AB282/(1-AC282-AH282)),"Erro")))</f>
        <v>0</v>
      </c>
      <c r="H282" s="320">
        <f>IF(AND($A$256='4. LISTAS'!$C$35,'Fornec. TAGNA'!U282="Sim"),0,IF(OR($A$256='4. LISTAS'!$C$35, $A$256='4. LISTAS'!$C$36),(VLOOKUP('1.DASHBOARD'!$B$8,'4. LISTAS'!$F$2:$G$11,2,FALSE)),0))</f>
        <v>0.18</v>
      </c>
      <c r="I282" s="305">
        <f t="shared" si="103"/>
        <v>0</v>
      </c>
      <c r="J282" s="319">
        <f>VLOOKUP($A$256,'4. LISTAS'!$C$35:$F$37,4,0)</f>
        <v>0.1125</v>
      </c>
      <c r="K282" s="305">
        <f t="shared" si="104"/>
        <v>0</v>
      </c>
      <c r="L282" s="305">
        <f t="shared" si="105"/>
        <v>0</v>
      </c>
      <c r="M282" s="318"/>
      <c r="N282" s="296"/>
      <c r="O282" s="317"/>
      <c r="P282" s="317">
        <f t="shared" si="115"/>
        <v>129.56768445553286</v>
      </c>
      <c r="Q282" s="306">
        <f t="shared" si="115"/>
        <v>0</v>
      </c>
      <c r="R282" s="306">
        <f t="shared" si="115"/>
        <v>0</v>
      </c>
      <c r="S282" s="306">
        <f t="shared" si="115"/>
        <v>0</v>
      </c>
      <c r="T282" s="305"/>
      <c r="U282" s="316" t="str">
        <f t="shared" si="107"/>
        <v>Não</v>
      </c>
      <c r="V282" s="315" t="s">
        <v>454</v>
      </c>
      <c r="W282" s="296"/>
      <c r="X282" s="314">
        <f t="shared" si="108"/>
        <v>0</v>
      </c>
      <c r="Y282" s="312">
        <f t="shared" si="109"/>
        <v>0</v>
      </c>
      <c r="Z282" s="312">
        <f t="shared" si="110"/>
        <v>0</v>
      </c>
      <c r="AA282" s="294">
        <f>IF($A$256='4. LISTAS'!$C$35,(P282*B282+T282+Y282+Z282),IF($A$256='4. LISTAS'!$C$36,P282*B282+Y282,IF($A$256='4. LISTAS'!$C$37,P282*B282,"Erro")))</f>
        <v>0</v>
      </c>
      <c r="AB282" s="294">
        <f>IF($A$256='4. LISTAS'!$C$35,IF(V282="sim",AA282,AA282-X282),IF($A$256='4. LISTAS'!$C$36,IF(V282="Sim",AA282-X282,AA282-X282-Y282),IF($A$256='4. LISTAS'!$C$37,AA282,"erro")))</f>
        <v>0</v>
      </c>
      <c r="AC282" s="313">
        <f>'1.DASHBOARD'!$B$11</f>
        <v>0.25</v>
      </c>
      <c r="AD282" s="294">
        <f t="shared" si="111"/>
        <v>0</v>
      </c>
      <c r="AE282" s="312">
        <f t="shared" si="112"/>
        <v>0</v>
      </c>
      <c r="AF282" s="312">
        <f t="shared" si="113"/>
        <v>0</v>
      </c>
      <c r="AG282" s="311">
        <f>'4. LISTAS'!$M$6</f>
        <v>5.9299999999999999E-2</v>
      </c>
      <c r="AH282" s="310">
        <f>'4. LISTAS'!$M$5</f>
        <v>0.17</v>
      </c>
      <c r="AI282" s="296"/>
      <c r="AJ282" s="321"/>
      <c r="AK282" s="321"/>
      <c r="AL282" s="321"/>
    </row>
    <row r="283" spans="1:38" x14ac:dyDescent="0.2">
      <c r="A283" s="323" t="s">
        <v>512</v>
      </c>
      <c r="B283" s="322">
        <f>B252</f>
        <v>0</v>
      </c>
      <c r="C283" s="321"/>
      <c r="D283" s="321" t="str">
        <f>D252</f>
        <v>Frete</v>
      </c>
      <c r="E283" s="321"/>
      <c r="F283" s="306">
        <f>IF(B280&lt;&gt;0,G283/B283,0)</f>
        <v>0</v>
      </c>
      <c r="G283" s="305">
        <f>IF($A$256='4. LISTAS'!$C$35,IF(V283="sim",AD283/(1-AG283),AD283/(1-AG283-(H283*(1+J283)))),IF($A$256='4. LISTAS'!$C$36,(AD283/(1-AG283-(H283*(1+J283)))),IF($A$256='4. LISTAS'!$C$37,(AB283/(1-AC283-AH283)),"Erro")))</f>
        <v>0</v>
      </c>
      <c r="H283" s="320">
        <f>IF(AND($A$256='4. LISTAS'!$C$35,'Fornec. TAGNA'!U283="Sim"),0,IF(OR($A$256='4. LISTAS'!$C$35, $A$256='4. LISTAS'!$C$36),(VLOOKUP('1.DASHBOARD'!$B$8,'4. LISTAS'!$F$2:$G$11,2,FALSE)),0))</f>
        <v>0.18</v>
      </c>
      <c r="I283" s="305">
        <f t="shared" si="103"/>
        <v>0</v>
      </c>
      <c r="J283" s="319">
        <f>VLOOKUP($A$256,'4. LISTAS'!$C$35:$F$37,4,0)</f>
        <v>0.1125</v>
      </c>
      <c r="K283" s="305">
        <f t="shared" si="104"/>
        <v>0</v>
      </c>
      <c r="L283" s="305">
        <f t="shared" si="105"/>
        <v>0</v>
      </c>
      <c r="M283" s="318"/>
      <c r="N283" s="296"/>
      <c r="O283" s="317"/>
      <c r="P283" s="317">
        <f t="shared" si="115"/>
        <v>300</v>
      </c>
      <c r="Q283" s="306">
        <f t="shared" si="115"/>
        <v>0</v>
      </c>
      <c r="R283" s="306">
        <f t="shared" si="115"/>
        <v>0</v>
      </c>
      <c r="S283" s="306">
        <f t="shared" si="115"/>
        <v>0</v>
      </c>
      <c r="T283" s="305"/>
      <c r="U283" s="316" t="str">
        <f t="shared" si="107"/>
        <v>Não</v>
      </c>
      <c r="V283" s="315" t="s">
        <v>454</v>
      </c>
      <c r="W283" s="296"/>
      <c r="X283" s="314">
        <f t="shared" si="108"/>
        <v>0</v>
      </c>
      <c r="Y283" s="312">
        <f t="shared" si="109"/>
        <v>0</v>
      </c>
      <c r="Z283" s="312">
        <f t="shared" si="110"/>
        <v>0</v>
      </c>
      <c r="AA283" s="294">
        <f>IF($A$256='4. LISTAS'!$C$35,(P283*B283+T283+Y283+Z283),IF($A$256='4. LISTAS'!$C$36,P283*B283+Y283,IF($A$256='4. LISTAS'!$C$37,P283*B283,"Erro")))</f>
        <v>0</v>
      </c>
      <c r="AB283" s="294">
        <f>IF($A$256='4. LISTAS'!$C$35,IF(V283="sim",AA283,AA283-X283),IF($A$256='4. LISTAS'!$C$36,IF(V283="Sim",AA283-X283,AA283-X283-Y283),IF($A$256='4. LISTAS'!$C$37,AA283,"erro")))</f>
        <v>0</v>
      </c>
      <c r="AC283" s="313"/>
      <c r="AD283" s="294">
        <f t="shared" si="111"/>
        <v>0</v>
      </c>
      <c r="AE283" s="312">
        <f t="shared" si="112"/>
        <v>0</v>
      </c>
      <c r="AF283" s="312">
        <f t="shared" si="113"/>
        <v>0</v>
      </c>
      <c r="AG283" s="311">
        <f>'4. LISTAS'!$M$6</f>
        <v>5.9299999999999999E-2</v>
      </c>
      <c r="AH283" s="310">
        <f>'4. LISTAS'!$M$5</f>
        <v>0.17</v>
      </c>
      <c r="AI283" s="296"/>
      <c r="AJ283" s="321"/>
      <c r="AK283" s="321"/>
      <c r="AL283" s="321"/>
    </row>
    <row r="284" spans="1:38" x14ac:dyDescent="0.2">
      <c r="A284" s="362" t="s">
        <v>453</v>
      </c>
      <c r="B284" s="361"/>
      <c r="C284" s="359"/>
      <c r="D284" s="360"/>
      <c r="E284" s="359"/>
      <c r="F284" s="358"/>
      <c r="G284" s="282">
        <f>SUM(G260:G283)</f>
        <v>0</v>
      </c>
      <c r="H284" s="284" t="s">
        <v>319</v>
      </c>
      <c r="I284" s="282">
        <f>SUBTOTAL(9,I260:I283)</f>
        <v>0</v>
      </c>
      <c r="J284" s="283" t="s">
        <v>319</v>
      </c>
      <c r="K284" s="282">
        <f>SUM(K260:K283)</f>
        <v>0</v>
      </c>
      <c r="L284" s="282">
        <f>SUM(L260:L283)</f>
        <v>0</v>
      </c>
      <c r="M284" s="357"/>
      <c r="N284" s="327"/>
      <c r="O284" s="356"/>
      <c r="P284" s="356"/>
      <c r="Q284" s="277"/>
      <c r="R284" s="277"/>
      <c r="S284" s="277"/>
      <c r="T284" s="278"/>
      <c r="U284" s="277"/>
      <c r="V284" s="355"/>
      <c r="W284" s="327"/>
      <c r="X284" s="354">
        <f t="shared" si="108"/>
        <v>0</v>
      </c>
      <c r="Y284" s="278">
        <f t="shared" si="109"/>
        <v>0</v>
      </c>
      <c r="Z284" s="278">
        <f t="shared" si="110"/>
        <v>0</v>
      </c>
      <c r="AA284" s="277"/>
      <c r="AB284" s="277"/>
      <c r="AC284" s="277"/>
      <c r="AD284" s="277"/>
      <c r="AE284" s="277"/>
      <c r="AF284" s="277"/>
      <c r="AG284" s="277"/>
      <c r="AH284" s="277"/>
      <c r="AI284" s="327"/>
      <c r="AJ284" s="353"/>
      <c r="AK284" s="353"/>
      <c r="AL284" s="353"/>
    </row>
    <row r="285" spans="1:38" x14ac:dyDescent="0.2">
      <c r="G285" s="352"/>
      <c r="N285" s="351"/>
      <c r="W285" s="351"/>
      <c r="AI285" s="351"/>
    </row>
    <row r="286" spans="1:38" x14ac:dyDescent="0.2">
      <c r="B286" s="350"/>
      <c r="D286" s="348" t="s">
        <v>508</v>
      </c>
      <c r="E286" s="348"/>
      <c r="F286" s="347"/>
      <c r="G286" s="347"/>
      <c r="H286" s="347"/>
      <c r="I286" s="347"/>
      <c r="J286" s="347"/>
      <c r="K286" s="347"/>
      <c r="L286" s="347"/>
      <c r="M286" s="346"/>
      <c r="N286" s="327"/>
      <c r="O286" s="345"/>
      <c r="P286" s="345" t="s">
        <v>511</v>
      </c>
      <c r="Q286" s="345"/>
      <c r="R286" s="345"/>
      <c r="S286" s="345"/>
      <c r="T286" s="344"/>
      <c r="U286" s="345"/>
      <c r="V286" s="345"/>
      <c r="W286" s="327"/>
      <c r="X286" s="344" t="s">
        <v>510</v>
      </c>
      <c r="Y286" s="344"/>
      <c r="Z286" s="344"/>
      <c r="AA286" s="344"/>
      <c r="AB286" s="344"/>
      <c r="AC286" s="344"/>
      <c r="AD286" s="344"/>
      <c r="AE286" s="344"/>
      <c r="AF286" s="344"/>
      <c r="AG286" s="344"/>
      <c r="AH286" s="344"/>
      <c r="AI286" s="327"/>
      <c r="AJ286" s="349"/>
      <c r="AK286" s="349"/>
      <c r="AL286" s="349"/>
    </row>
    <row r="287" spans="1:38" x14ac:dyDescent="0.2">
      <c r="A287" s="698" t="s">
        <v>509</v>
      </c>
      <c r="B287" s="698"/>
      <c r="C287" s="698"/>
      <c r="D287" s="348" t="s">
        <v>508</v>
      </c>
      <c r="E287" s="348"/>
      <c r="F287" s="347"/>
      <c r="G287" s="347"/>
      <c r="H287" s="347"/>
      <c r="I287" s="347"/>
      <c r="J287" s="347"/>
      <c r="K287" s="347"/>
      <c r="L287" s="347"/>
      <c r="M287" s="346"/>
      <c r="N287" s="327"/>
      <c r="O287" s="345"/>
      <c r="P287" s="345"/>
      <c r="Q287" s="345"/>
      <c r="R287" s="345"/>
      <c r="S287" s="345"/>
      <c r="T287" s="344"/>
      <c r="U287" s="345"/>
      <c r="V287" s="345"/>
      <c r="W287" s="327"/>
      <c r="X287" s="344"/>
      <c r="Y287" s="344"/>
      <c r="Z287" s="344"/>
      <c r="AA287" s="344"/>
      <c r="AB287" s="344"/>
      <c r="AC287" s="344"/>
      <c r="AD287" s="344"/>
      <c r="AE287" s="344"/>
      <c r="AF287" s="344"/>
      <c r="AG287" s="344"/>
      <c r="AH287" s="344"/>
      <c r="AI287" s="327"/>
      <c r="AJ287" s="343" t="s">
        <v>507</v>
      </c>
      <c r="AK287" s="343" t="s">
        <v>506</v>
      </c>
      <c r="AL287" s="343" t="s">
        <v>505</v>
      </c>
    </row>
    <row r="288" spans="1:38" ht="15" customHeight="1" x14ac:dyDescent="0.2">
      <c r="A288" s="699" t="s">
        <v>321</v>
      </c>
      <c r="B288" s="699" t="s">
        <v>504</v>
      </c>
      <c r="C288" s="700" t="s">
        <v>320</v>
      </c>
      <c r="D288" s="700" t="s">
        <v>503</v>
      </c>
      <c r="E288" s="700" t="s">
        <v>502</v>
      </c>
      <c r="F288" s="701" t="s">
        <v>501</v>
      </c>
      <c r="G288" s="701" t="s">
        <v>500</v>
      </c>
      <c r="H288" s="701" t="s">
        <v>499</v>
      </c>
      <c r="I288" s="701"/>
      <c r="J288" s="701" t="s">
        <v>490</v>
      </c>
      <c r="K288" s="701"/>
      <c r="L288" s="701" t="s">
        <v>498</v>
      </c>
      <c r="M288" s="696" t="s">
        <v>497</v>
      </c>
      <c r="N288" s="327"/>
      <c r="O288" s="693" t="s">
        <v>496</v>
      </c>
      <c r="P288" s="694" t="s">
        <v>495</v>
      </c>
      <c r="Q288" s="342" t="s">
        <v>491</v>
      </c>
      <c r="R288" s="339" t="s">
        <v>490</v>
      </c>
      <c r="S288" s="339" t="s">
        <v>489</v>
      </c>
      <c r="T288" s="693" t="s">
        <v>494</v>
      </c>
      <c r="U288" s="691" t="s">
        <v>493</v>
      </c>
      <c r="V288" s="702" t="s">
        <v>492</v>
      </c>
      <c r="W288" s="327"/>
      <c r="X288" s="341" t="s">
        <v>491</v>
      </c>
      <c r="Y288" s="339" t="s">
        <v>490</v>
      </c>
      <c r="Z288" s="339" t="s">
        <v>489</v>
      </c>
      <c r="AA288" s="693" t="s">
        <v>488</v>
      </c>
      <c r="AB288" s="693" t="s">
        <v>487</v>
      </c>
      <c r="AC288" s="691" t="s">
        <v>486</v>
      </c>
      <c r="AD288" s="691" t="s">
        <v>485</v>
      </c>
      <c r="AE288" s="691" t="s">
        <v>484</v>
      </c>
      <c r="AF288" s="691" t="s">
        <v>483</v>
      </c>
      <c r="AG288" s="691" t="s">
        <v>482</v>
      </c>
      <c r="AH288" s="691" t="s">
        <v>481</v>
      </c>
      <c r="AI288" s="327"/>
      <c r="AJ288" s="693"/>
      <c r="AK288" s="693"/>
      <c r="AL288" s="693"/>
    </row>
    <row r="289" spans="1:38" ht="18" customHeight="1" x14ac:dyDescent="0.2">
      <c r="A289" s="699"/>
      <c r="B289" s="699"/>
      <c r="C289" s="700"/>
      <c r="D289" s="700"/>
      <c r="E289" s="700"/>
      <c r="F289" s="701"/>
      <c r="G289" s="701"/>
      <c r="H289" s="339" t="s">
        <v>480</v>
      </c>
      <c r="I289" s="339" t="s">
        <v>479</v>
      </c>
      <c r="J289" s="339" t="s">
        <v>480</v>
      </c>
      <c r="K289" s="339" t="s">
        <v>479</v>
      </c>
      <c r="L289" s="701"/>
      <c r="M289" s="697"/>
      <c r="N289" s="327"/>
      <c r="O289" s="693"/>
      <c r="P289" s="695"/>
      <c r="Q289" s="339" t="s">
        <v>480</v>
      </c>
      <c r="R289" s="339" t="s">
        <v>480</v>
      </c>
      <c r="S289" s="339" t="s">
        <v>480</v>
      </c>
      <c r="T289" s="693"/>
      <c r="U289" s="692"/>
      <c r="V289" s="703"/>
      <c r="W289" s="327"/>
      <c r="X289" s="340" t="s">
        <v>479</v>
      </c>
      <c r="Y289" s="339" t="s">
        <v>479</v>
      </c>
      <c r="Z289" s="339" t="s">
        <v>479</v>
      </c>
      <c r="AA289" s="693"/>
      <c r="AB289" s="693"/>
      <c r="AC289" s="692"/>
      <c r="AD289" s="692"/>
      <c r="AE289" s="692"/>
      <c r="AF289" s="692"/>
      <c r="AG289" s="692"/>
      <c r="AH289" s="692"/>
      <c r="AI289" s="327"/>
      <c r="AJ289" s="693"/>
      <c r="AK289" s="693"/>
      <c r="AL289" s="693"/>
    </row>
    <row r="290" spans="1:38" ht="18" customHeight="1" x14ac:dyDescent="0.2">
      <c r="A290" s="338">
        <v>10</v>
      </c>
      <c r="B290" s="338">
        <v>1</v>
      </c>
      <c r="C290" s="324"/>
      <c r="D290" s="324"/>
      <c r="E290" s="324"/>
      <c r="F290" s="337">
        <f>G315</f>
        <v>0</v>
      </c>
      <c r="G290" s="337">
        <f>F290*B290</f>
        <v>0</v>
      </c>
      <c r="H290" s="336">
        <f>IF(OR($A$287='4. LISTAS'!$C$35, $A$287='4. LISTAS'!$C$36),(VLOOKUP('1.DASHBOARD'!$B$8,'4. LISTAS'!$F$2:$G$11,2,FALSE)),0)</f>
        <v>0.18</v>
      </c>
      <c r="I290" s="334">
        <f t="shared" ref="I290:I314" si="116">H290*(G290+K290)</f>
        <v>0</v>
      </c>
      <c r="J290" s="335">
        <f>VLOOKUP($A$287,'4. LISTAS'!$C$35:$F$37,4,0)</f>
        <v>0.1125</v>
      </c>
      <c r="K290" s="334">
        <f t="shared" ref="K290:K314" si="117">J290*G290</f>
        <v>0</v>
      </c>
      <c r="L290" s="334">
        <f t="shared" ref="L290:L314" si="118">G290+K290</f>
        <v>0</v>
      </c>
      <c r="M290" s="333"/>
      <c r="N290" s="327"/>
      <c r="O290" s="332"/>
      <c r="P290" s="332"/>
      <c r="Q290" s="331"/>
      <c r="R290" s="331"/>
      <c r="S290" s="331"/>
      <c r="T290" s="328"/>
      <c r="U290" s="326"/>
      <c r="V290" s="330"/>
      <c r="W290" s="327"/>
      <c r="X290" s="326">
        <f>SUM(X291:X314)</f>
        <v>0</v>
      </c>
      <c r="Y290" s="326">
        <f>SUM(Y291:Y314)</f>
        <v>0</v>
      </c>
      <c r="Z290" s="326">
        <f>SUM(Z291:Z314)</f>
        <v>0</v>
      </c>
      <c r="AA290" s="326">
        <f>SUM(AA291:AA314)</f>
        <v>0</v>
      </c>
      <c r="AB290" s="326">
        <f>SUM(AB291:AB314)</f>
        <v>0</v>
      </c>
      <c r="AC290" s="328"/>
      <c r="AD290" s="328"/>
      <c r="AE290" s="328"/>
      <c r="AF290" s="328"/>
      <c r="AG290" s="329">
        <f>AG291</f>
        <v>5.9299999999999999E-2</v>
      </c>
      <c r="AH290" s="328"/>
      <c r="AI290" s="327"/>
      <c r="AJ290" s="326"/>
      <c r="AK290" s="326"/>
      <c r="AL290" s="326"/>
    </row>
    <row r="291" spans="1:38" x14ac:dyDescent="0.2">
      <c r="A291" s="323" t="s">
        <v>478</v>
      </c>
      <c r="B291" s="323">
        <v>1</v>
      </c>
      <c r="C291" s="321"/>
      <c r="D291" s="321"/>
      <c r="E291" s="321"/>
      <c r="F291" s="306">
        <f t="shared" ref="F291:F310" si="119">G291/B291</f>
        <v>0</v>
      </c>
      <c r="G291" s="305">
        <f>IF($A$287='4. LISTAS'!$C$35,IF(V291="sim",AD291/(1-AG291),AD291/(1-AG291-(H291*(1+J291)))),IF($A$287='4. LISTAS'!$C$36,(AD291/(1-AG291-(H291*(1+J291)))),IF($A$287='4. LISTAS'!$C$37,(AB291/(1-AC291-AH291)),"Erro")))</f>
        <v>0</v>
      </c>
      <c r="H291" s="320">
        <f>IF(OR($A$287='4. LISTAS'!$C$35, $A$287='4. LISTAS'!$C$36),(VLOOKUP('1.DASHBOARD'!$B$8,'4. LISTAS'!$F$2:$G$11,2,FALSE)),0)</f>
        <v>0.18</v>
      </c>
      <c r="I291" s="305">
        <f t="shared" si="116"/>
        <v>0</v>
      </c>
      <c r="J291" s="319">
        <f>VLOOKUP($A$287,'4. LISTAS'!$C$35:$F$37,4,0)</f>
        <v>0.1125</v>
      </c>
      <c r="K291" s="305">
        <f t="shared" si="117"/>
        <v>0</v>
      </c>
      <c r="L291" s="305">
        <f t="shared" si="118"/>
        <v>0</v>
      </c>
      <c r="M291" s="318"/>
      <c r="N291" s="296"/>
      <c r="O291" s="317"/>
      <c r="P291" s="317"/>
      <c r="Q291" s="320">
        <v>0.04</v>
      </c>
      <c r="R291" s="320">
        <v>0.15</v>
      </c>
      <c r="S291" s="320">
        <v>0</v>
      </c>
      <c r="T291" s="305"/>
      <c r="U291" s="316" t="str">
        <f t="shared" ref="U291:U314" si="120">IF(T291="","Não","Sim")</f>
        <v>Não</v>
      </c>
      <c r="V291" s="315" t="s">
        <v>454</v>
      </c>
      <c r="W291" s="296"/>
      <c r="X291" s="314">
        <f t="shared" ref="X291:X315" si="121">B291*P291*Q291</f>
        <v>0</v>
      </c>
      <c r="Y291" s="312">
        <f t="shared" ref="Y291:Y315" si="122">B291*P291*R291</f>
        <v>0</v>
      </c>
      <c r="Z291" s="312">
        <f t="shared" ref="Z291:Z315" si="123">B291*P291*S291</f>
        <v>0</v>
      </c>
      <c r="AA291" s="294">
        <f>IF($A$287='4. LISTAS'!$C$35,(P291*B291+T291+Y291+Z291),IF($A$287='4. LISTAS'!$C$36,P291*B291+Y291,IF($A$287='4. LISTAS'!$C$37,P291*B291,"Erro")))</f>
        <v>0</v>
      </c>
      <c r="AB291" s="294">
        <f>IF($A$163='4. LISTAS'!$C$35,IF(V291="sim",AA291,AA291-X291),IF($A$163='4. LISTAS'!$C$36,IF(V291="Sim",AA291-X291,AA291-X291-Y291),IF($A$163='4. LISTAS'!$C$37,AA291,"erro")))</f>
        <v>0</v>
      </c>
      <c r="AC291" s="325">
        <f>'1.DASHBOARD'!$B$14+'1.DASHBOARD'!$B$16</f>
        <v>0.30349999999999999</v>
      </c>
      <c r="AD291" s="294">
        <f t="shared" ref="AD291:AD314" si="124">AB291/(1-AC291)</f>
        <v>0</v>
      </c>
      <c r="AE291" s="312">
        <f t="shared" ref="AE291:AE314" si="125">X291</f>
        <v>0</v>
      </c>
      <c r="AF291" s="312">
        <f t="shared" ref="AF291:AF314" si="126">Y291</f>
        <v>0</v>
      </c>
      <c r="AG291" s="311">
        <f>'4. LISTAS'!$M$6</f>
        <v>5.9299999999999999E-2</v>
      </c>
      <c r="AH291" s="310">
        <f>'4. LISTAS'!$M$5</f>
        <v>0.17</v>
      </c>
      <c r="AI291" s="296"/>
      <c r="AJ291" s="324"/>
      <c r="AK291" s="324"/>
      <c r="AL291" s="324"/>
    </row>
    <row r="292" spans="1:38" x14ac:dyDescent="0.2">
      <c r="A292" s="323" t="s">
        <v>477</v>
      </c>
      <c r="B292" s="323">
        <v>1</v>
      </c>
      <c r="C292" s="321"/>
      <c r="D292" s="321"/>
      <c r="E292" s="321"/>
      <c r="F292" s="306">
        <f t="shared" si="119"/>
        <v>0</v>
      </c>
      <c r="G292" s="305">
        <f>IF($A$287='4. LISTAS'!$C$35,IF(V292="sim",AD292/(1-AG292),AD292/(1-AG292-(H292*(1+J292)))),IF($A$287='4. LISTAS'!$C$36,(AD292/(1-AG292-(H292*(1+J292)))),IF($A$287='4. LISTAS'!$C$37,(AB292/(1-AC292-AH292)),"Erro")))</f>
        <v>0</v>
      </c>
      <c r="H292" s="320">
        <f>IF(OR($A$287='4. LISTAS'!$C$35, $A$287='4. LISTAS'!$C$36),(VLOOKUP('1.DASHBOARD'!$B$8,'4. LISTAS'!$F$2:$G$11,2,FALSE)),0)</f>
        <v>0.18</v>
      </c>
      <c r="I292" s="305">
        <f t="shared" si="116"/>
        <v>0</v>
      </c>
      <c r="J292" s="319">
        <f>VLOOKUP($A$287,'4. LISTAS'!$C$35:$F$37,4,0)</f>
        <v>0.1125</v>
      </c>
      <c r="K292" s="305">
        <f t="shared" si="117"/>
        <v>0</v>
      </c>
      <c r="L292" s="305">
        <f t="shared" si="118"/>
        <v>0</v>
      </c>
      <c r="M292" s="318"/>
      <c r="N292" s="296"/>
      <c r="O292" s="317"/>
      <c r="P292" s="317"/>
      <c r="Q292" s="320">
        <v>0.04</v>
      </c>
      <c r="R292" s="320">
        <v>0.15</v>
      </c>
      <c r="S292" s="320">
        <v>0</v>
      </c>
      <c r="T292" s="305"/>
      <c r="U292" s="316" t="str">
        <f t="shared" si="120"/>
        <v>Não</v>
      </c>
      <c r="V292" s="315" t="s">
        <v>454</v>
      </c>
      <c r="W292" s="296"/>
      <c r="X292" s="314">
        <f t="shared" si="121"/>
        <v>0</v>
      </c>
      <c r="Y292" s="312">
        <f t="shared" si="122"/>
        <v>0</v>
      </c>
      <c r="Z292" s="312">
        <f t="shared" si="123"/>
        <v>0</v>
      </c>
      <c r="AA292" s="294">
        <f>IF($A$287='4. LISTAS'!$C$35,(P292*B292+T292+Y292+Z292),IF($A$287='4. LISTAS'!$C$36,P292*B292+Y292,IF($A$287='4. LISTAS'!$C$37,P292*B292,"Erro")))</f>
        <v>0</v>
      </c>
      <c r="AB292" s="294">
        <f>IF($A$163='4. LISTAS'!$C$35,IF(V292="sim",AA292,AA292-X292),IF($A$163='4. LISTAS'!$C$36,IF(V292="Sim",AA292-X292,AA292-X292-Y292),IF($A$163='4. LISTAS'!$C$37,AA292,"erro")))</f>
        <v>0</v>
      </c>
      <c r="AC292" s="313">
        <f t="shared" ref="AC292:AC310" si="127">AC291</f>
        <v>0.30349999999999999</v>
      </c>
      <c r="AD292" s="294">
        <f t="shared" si="124"/>
        <v>0</v>
      </c>
      <c r="AE292" s="312">
        <f t="shared" si="125"/>
        <v>0</v>
      </c>
      <c r="AF292" s="312">
        <f t="shared" si="126"/>
        <v>0</v>
      </c>
      <c r="AG292" s="311">
        <f>'4. LISTAS'!$M$6</f>
        <v>5.9299999999999999E-2</v>
      </c>
      <c r="AH292" s="310">
        <f>'4. LISTAS'!$M$5</f>
        <v>0.17</v>
      </c>
      <c r="AI292" s="296"/>
      <c r="AJ292" s="321"/>
      <c r="AK292" s="321"/>
      <c r="AL292" s="321"/>
    </row>
    <row r="293" spans="1:38" x14ac:dyDescent="0.2">
      <c r="A293" s="323" t="s">
        <v>476</v>
      </c>
      <c r="B293" s="323">
        <v>1</v>
      </c>
      <c r="C293" s="321"/>
      <c r="D293" s="321"/>
      <c r="E293" s="321"/>
      <c r="F293" s="306">
        <f t="shared" si="119"/>
        <v>0</v>
      </c>
      <c r="G293" s="305">
        <f>IF($A$287='4. LISTAS'!$C$35,IF(V293="sim",AD293/(1-AG293),AD293/(1-AG293-(H293*(1+J293)))),IF($A$287='4. LISTAS'!$C$36,(AD293/(1-AG293-(H293*(1+J293)))),IF($A$287='4. LISTAS'!$C$37,(AB293/(1-AC293-AH293)),"Erro")))</f>
        <v>0</v>
      </c>
      <c r="H293" s="320">
        <f>IF(OR($A$287='4. LISTAS'!$C$35, $A$287='4. LISTAS'!$C$36),(VLOOKUP('1.DASHBOARD'!$B$8,'4. LISTAS'!$F$2:$G$11,2,FALSE)),0)</f>
        <v>0.18</v>
      </c>
      <c r="I293" s="305">
        <f t="shared" si="116"/>
        <v>0</v>
      </c>
      <c r="J293" s="319">
        <f>VLOOKUP($A$287,'4. LISTAS'!$C$35:$F$37,4,0)</f>
        <v>0.1125</v>
      </c>
      <c r="K293" s="305">
        <f t="shared" si="117"/>
        <v>0</v>
      </c>
      <c r="L293" s="305">
        <f t="shared" si="118"/>
        <v>0</v>
      </c>
      <c r="M293" s="318"/>
      <c r="N293" s="296"/>
      <c r="O293" s="317"/>
      <c r="P293" s="317"/>
      <c r="Q293" s="320">
        <v>0.04</v>
      </c>
      <c r="R293" s="320">
        <v>0.15</v>
      </c>
      <c r="S293" s="320">
        <v>0</v>
      </c>
      <c r="T293" s="305"/>
      <c r="U293" s="316" t="str">
        <f t="shared" si="120"/>
        <v>Não</v>
      </c>
      <c r="V293" s="315" t="s">
        <v>454</v>
      </c>
      <c r="W293" s="296"/>
      <c r="X293" s="314">
        <f t="shared" si="121"/>
        <v>0</v>
      </c>
      <c r="Y293" s="312">
        <f t="shared" si="122"/>
        <v>0</v>
      </c>
      <c r="Z293" s="312">
        <f t="shared" si="123"/>
        <v>0</v>
      </c>
      <c r="AA293" s="294">
        <f>IF($A$287='4. LISTAS'!$C$35,(P293*B293+T293+Y293+Z293),IF($A$287='4. LISTAS'!$C$36,P293*B293+Y293,IF($A$287='4. LISTAS'!$C$37,P293*B293,"Erro")))</f>
        <v>0</v>
      </c>
      <c r="AB293" s="294">
        <f>IF($A$163='4. LISTAS'!$C$35,IF(V293="sim",AA293,AA293-X293),IF($A$163='4. LISTAS'!$C$36,IF(V293="Sim",AA293-X293,AA293-X293-Y293),IF($A$163='4. LISTAS'!$C$37,AA293,"erro")))</f>
        <v>0</v>
      </c>
      <c r="AC293" s="313">
        <f t="shared" si="127"/>
        <v>0.30349999999999999</v>
      </c>
      <c r="AD293" s="294">
        <f t="shared" si="124"/>
        <v>0</v>
      </c>
      <c r="AE293" s="312">
        <f t="shared" si="125"/>
        <v>0</v>
      </c>
      <c r="AF293" s="312">
        <f t="shared" si="126"/>
        <v>0</v>
      </c>
      <c r="AG293" s="311">
        <f>'4. LISTAS'!$M$6</f>
        <v>5.9299999999999999E-2</v>
      </c>
      <c r="AH293" s="310">
        <f>'4. LISTAS'!$M$5</f>
        <v>0.17</v>
      </c>
      <c r="AI293" s="296"/>
      <c r="AJ293" s="321"/>
      <c r="AK293" s="321"/>
      <c r="AL293" s="321"/>
    </row>
    <row r="294" spans="1:38" x14ac:dyDescent="0.2">
      <c r="A294" s="323" t="s">
        <v>475</v>
      </c>
      <c r="B294" s="323">
        <v>1</v>
      </c>
      <c r="C294" s="321"/>
      <c r="D294" s="321"/>
      <c r="E294" s="321"/>
      <c r="F294" s="306">
        <f t="shared" si="119"/>
        <v>0</v>
      </c>
      <c r="G294" s="305">
        <f>IF($A$287='4. LISTAS'!$C$35,IF(V294="sim",AD294/(1-AG294),AD294/(1-AG294-(H294*(1+J294)))),IF($A$287='4. LISTAS'!$C$36,(AD294/(1-AG294-(H294*(1+J294)))),IF($A$287='4. LISTAS'!$C$37,(AB294/(1-AC294-AH294)),"Erro")))</f>
        <v>0</v>
      </c>
      <c r="H294" s="320">
        <f>IF(OR($A$287='4. LISTAS'!$C$35, $A$287='4. LISTAS'!$C$36),(VLOOKUP('1.DASHBOARD'!$B$8,'4. LISTAS'!$F$2:$G$11,2,FALSE)),0)</f>
        <v>0.18</v>
      </c>
      <c r="I294" s="305">
        <f t="shared" si="116"/>
        <v>0</v>
      </c>
      <c r="J294" s="319">
        <f>VLOOKUP($A$287,'4. LISTAS'!$C$35:$F$37,4,0)</f>
        <v>0.1125</v>
      </c>
      <c r="K294" s="305">
        <f t="shared" si="117"/>
        <v>0</v>
      </c>
      <c r="L294" s="305">
        <f t="shared" si="118"/>
        <v>0</v>
      </c>
      <c r="M294" s="318"/>
      <c r="N294" s="296"/>
      <c r="O294" s="317"/>
      <c r="P294" s="317"/>
      <c r="Q294" s="320">
        <v>0.04</v>
      </c>
      <c r="R294" s="320">
        <v>0.15</v>
      </c>
      <c r="S294" s="320">
        <v>0</v>
      </c>
      <c r="T294" s="305"/>
      <c r="U294" s="316" t="str">
        <f t="shared" si="120"/>
        <v>Não</v>
      </c>
      <c r="V294" s="315" t="s">
        <v>454</v>
      </c>
      <c r="W294" s="296"/>
      <c r="X294" s="314">
        <f t="shared" si="121"/>
        <v>0</v>
      </c>
      <c r="Y294" s="312">
        <f t="shared" si="122"/>
        <v>0</v>
      </c>
      <c r="Z294" s="312">
        <f t="shared" si="123"/>
        <v>0</v>
      </c>
      <c r="AA294" s="294">
        <f>IF($A$287='4. LISTAS'!$C$35,(P294*B294+T294+Y294+Z294),IF($A$287='4. LISTAS'!$C$36,P294*B294+Y294,IF($A$287='4. LISTAS'!$C$37,P294*B294,"Erro")))</f>
        <v>0</v>
      </c>
      <c r="AB294" s="294">
        <f>IF($A$163='4. LISTAS'!$C$35,IF(V294="sim",AA294,AA294-X294),IF($A$163='4. LISTAS'!$C$36,IF(V294="Sim",AA294-X294,AA294-X294-Y294),IF($A$163='4. LISTAS'!$C$37,AA294,"erro")))</f>
        <v>0</v>
      </c>
      <c r="AC294" s="313">
        <f t="shared" si="127"/>
        <v>0.30349999999999999</v>
      </c>
      <c r="AD294" s="294">
        <f t="shared" si="124"/>
        <v>0</v>
      </c>
      <c r="AE294" s="312">
        <f t="shared" si="125"/>
        <v>0</v>
      </c>
      <c r="AF294" s="312">
        <f t="shared" si="126"/>
        <v>0</v>
      </c>
      <c r="AG294" s="311">
        <f>'4. LISTAS'!$M$6</f>
        <v>5.9299999999999999E-2</v>
      </c>
      <c r="AH294" s="310">
        <f>'4. LISTAS'!$M$5</f>
        <v>0.17</v>
      </c>
      <c r="AI294" s="296"/>
      <c r="AJ294" s="321"/>
      <c r="AK294" s="321"/>
      <c r="AL294" s="321"/>
    </row>
    <row r="295" spans="1:38" x14ac:dyDescent="0.2">
      <c r="A295" s="323" t="s">
        <v>474</v>
      </c>
      <c r="B295" s="323">
        <v>1</v>
      </c>
      <c r="C295" s="321"/>
      <c r="D295" s="321"/>
      <c r="E295" s="321"/>
      <c r="F295" s="306">
        <f t="shared" si="119"/>
        <v>0</v>
      </c>
      <c r="G295" s="305">
        <f>IF($A$287='4. LISTAS'!$C$35,IF(V295="sim",AD295/(1-AG295),AD295/(1-AG295-(H295*(1+J295)))),IF($A$287='4. LISTAS'!$C$36,(AD295/(1-AG295-(H295*(1+J295)))),IF($A$287='4. LISTAS'!$C$37,(AB295/(1-AC295-AH295)),"Erro")))</f>
        <v>0</v>
      </c>
      <c r="H295" s="320">
        <f>IF(OR($A$287='4. LISTAS'!$C$35, $A$287='4. LISTAS'!$C$36),(VLOOKUP('1.DASHBOARD'!$B$8,'4. LISTAS'!$F$2:$G$11,2,FALSE)),0)</f>
        <v>0.18</v>
      </c>
      <c r="I295" s="305">
        <f t="shared" si="116"/>
        <v>0</v>
      </c>
      <c r="J295" s="319">
        <f>VLOOKUP($A$287,'4. LISTAS'!$C$35:$F$37,4,0)</f>
        <v>0.1125</v>
      </c>
      <c r="K295" s="305">
        <f t="shared" si="117"/>
        <v>0</v>
      </c>
      <c r="L295" s="305">
        <f t="shared" si="118"/>
        <v>0</v>
      </c>
      <c r="M295" s="318"/>
      <c r="N295" s="296"/>
      <c r="O295" s="317"/>
      <c r="P295" s="317"/>
      <c r="Q295" s="320">
        <v>0.04</v>
      </c>
      <c r="R295" s="320">
        <v>0.15</v>
      </c>
      <c r="S295" s="320">
        <v>0</v>
      </c>
      <c r="T295" s="305"/>
      <c r="U295" s="316" t="str">
        <f t="shared" si="120"/>
        <v>Não</v>
      </c>
      <c r="V295" s="315" t="s">
        <v>454</v>
      </c>
      <c r="W295" s="296"/>
      <c r="X295" s="314">
        <f t="shared" si="121"/>
        <v>0</v>
      </c>
      <c r="Y295" s="312">
        <f t="shared" si="122"/>
        <v>0</v>
      </c>
      <c r="Z295" s="312">
        <f t="shared" si="123"/>
        <v>0</v>
      </c>
      <c r="AA295" s="294">
        <f>IF($A$287='4. LISTAS'!$C$35,(P295*B295+T295+Y295+Z295),IF($A$287='4. LISTAS'!$C$36,P295*B295+Y295,IF($A$287='4. LISTAS'!$C$37,P295*B295,"Erro")))</f>
        <v>0</v>
      </c>
      <c r="AB295" s="294">
        <f>IF($A$163='4. LISTAS'!$C$35,IF(V295="sim",AA295,AA295-X295),IF($A$163='4. LISTAS'!$C$36,IF(V295="Sim",AA295-X295,AA295-X295-Y295),IF($A$163='4. LISTAS'!$C$37,AA295,"erro")))</f>
        <v>0</v>
      </c>
      <c r="AC295" s="313">
        <f t="shared" si="127"/>
        <v>0.30349999999999999</v>
      </c>
      <c r="AD295" s="294">
        <f t="shared" si="124"/>
        <v>0</v>
      </c>
      <c r="AE295" s="312">
        <f t="shared" si="125"/>
        <v>0</v>
      </c>
      <c r="AF295" s="312">
        <f t="shared" si="126"/>
        <v>0</v>
      </c>
      <c r="AG295" s="311">
        <f>'4. LISTAS'!$M$6</f>
        <v>5.9299999999999999E-2</v>
      </c>
      <c r="AH295" s="310">
        <f>'4. LISTAS'!$M$5</f>
        <v>0.17</v>
      </c>
    </row>
    <row r="296" spans="1:38" x14ac:dyDescent="0.2">
      <c r="A296" s="323" t="s">
        <v>473</v>
      </c>
      <c r="B296" s="323">
        <v>1</v>
      </c>
      <c r="C296" s="321"/>
      <c r="D296" s="321"/>
      <c r="E296" s="321"/>
      <c r="F296" s="306">
        <f t="shared" si="119"/>
        <v>0</v>
      </c>
      <c r="G296" s="305">
        <f>IF($A$287='4. LISTAS'!$C$35,IF(V296="sim",AD296/(1-AG296),AD296/(1-AG296-(H296*(1+J296)))),IF($A$287='4. LISTAS'!$C$36,(AD296/(1-AG296-(H296*(1+J296)))),IF($A$287='4. LISTAS'!$C$37,(AB296/(1-AC296-AH296)),"Erro")))</f>
        <v>0</v>
      </c>
      <c r="H296" s="320">
        <f>IF(OR($A$287='4. LISTAS'!$C$35, $A$287='4. LISTAS'!$C$36),(VLOOKUP('1.DASHBOARD'!$B$8,'4. LISTAS'!$F$2:$G$11,2,FALSE)),0)</f>
        <v>0.18</v>
      </c>
      <c r="I296" s="305">
        <f t="shared" si="116"/>
        <v>0</v>
      </c>
      <c r="J296" s="319">
        <f>VLOOKUP($A$287,'4. LISTAS'!$C$35:$F$37,4,0)</f>
        <v>0.1125</v>
      </c>
      <c r="K296" s="305">
        <f t="shared" si="117"/>
        <v>0</v>
      </c>
      <c r="L296" s="305">
        <f t="shared" si="118"/>
        <v>0</v>
      </c>
      <c r="M296" s="318"/>
      <c r="N296" s="296"/>
      <c r="O296" s="317"/>
      <c r="P296" s="317"/>
      <c r="Q296" s="320">
        <v>0.04</v>
      </c>
      <c r="R296" s="320">
        <v>0.15</v>
      </c>
      <c r="S296" s="320">
        <v>0</v>
      </c>
      <c r="T296" s="305"/>
      <c r="U296" s="316" t="str">
        <f t="shared" si="120"/>
        <v>Não</v>
      </c>
      <c r="V296" s="315" t="s">
        <v>454</v>
      </c>
      <c r="W296" s="296"/>
      <c r="X296" s="314">
        <f t="shared" si="121"/>
        <v>0</v>
      </c>
      <c r="Y296" s="312">
        <f t="shared" si="122"/>
        <v>0</v>
      </c>
      <c r="Z296" s="312">
        <f t="shared" si="123"/>
        <v>0</v>
      </c>
      <c r="AA296" s="294">
        <f>IF($A$287='4. LISTAS'!$C$35,(P296*B296+T296+Y296+Z296),IF($A$287='4. LISTAS'!$C$36,P296*B296+Y296,IF($A$287='4. LISTAS'!$C$37,P296*B296,"Erro")))</f>
        <v>0</v>
      </c>
      <c r="AB296" s="294">
        <f>IF($A$163='4. LISTAS'!$C$35,IF(V296="sim",AA296,AA296-X296),IF($A$163='4. LISTAS'!$C$36,IF(V296="Sim",AA296-X296,AA296-X296-Y296),IF($A$163='4. LISTAS'!$C$37,AA296,"erro")))</f>
        <v>0</v>
      </c>
      <c r="AC296" s="313">
        <f t="shared" si="127"/>
        <v>0.30349999999999999</v>
      </c>
      <c r="AD296" s="294">
        <f t="shared" si="124"/>
        <v>0</v>
      </c>
      <c r="AE296" s="312">
        <f t="shared" si="125"/>
        <v>0</v>
      </c>
      <c r="AF296" s="312">
        <f t="shared" si="126"/>
        <v>0</v>
      </c>
      <c r="AG296" s="311">
        <f>'4. LISTAS'!$M$6</f>
        <v>5.9299999999999999E-2</v>
      </c>
      <c r="AH296" s="310">
        <f>'4. LISTAS'!$M$5</f>
        <v>0.17</v>
      </c>
    </row>
    <row r="297" spans="1:38" x14ac:dyDescent="0.2">
      <c r="A297" s="323" t="s">
        <v>472</v>
      </c>
      <c r="B297" s="323">
        <v>1</v>
      </c>
      <c r="C297" s="321"/>
      <c r="D297" s="321"/>
      <c r="E297" s="321"/>
      <c r="F297" s="306">
        <f t="shared" si="119"/>
        <v>0</v>
      </c>
      <c r="G297" s="305">
        <f>IF($A$287='4. LISTAS'!$C$35,IF(V297="sim",AD297/(1-AG297),AD297/(1-AG297-(H297*(1+J297)))),IF($A$287='4. LISTAS'!$C$36,(AD297/(1-AG297-(H297*(1+J297)))),IF($A$287='4. LISTAS'!$C$37,(AB297/(1-AC297-AH297)),"Erro")))</f>
        <v>0</v>
      </c>
      <c r="H297" s="320">
        <f>IF(OR($A$287='4. LISTAS'!$C$35, $A$287='4. LISTAS'!$C$36),(VLOOKUP('1.DASHBOARD'!$B$8,'4. LISTAS'!$F$2:$G$11,2,FALSE)),0)</f>
        <v>0.18</v>
      </c>
      <c r="I297" s="305">
        <f t="shared" si="116"/>
        <v>0</v>
      </c>
      <c r="J297" s="319">
        <f>VLOOKUP($A$287,'4. LISTAS'!$C$35:$F$37,4,0)</f>
        <v>0.1125</v>
      </c>
      <c r="K297" s="305">
        <f t="shared" si="117"/>
        <v>0</v>
      </c>
      <c r="L297" s="305">
        <f t="shared" si="118"/>
        <v>0</v>
      </c>
      <c r="M297" s="318"/>
      <c r="N297" s="296"/>
      <c r="O297" s="317"/>
      <c r="P297" s="317"/>
      <c r="Q297" s="320">
        <v>0.04</v>
      </c>
      <c r="R297" s="320">
        <v>0.15</v>
      </c>
      <c r="S297" s="320">
        <v>0</v>
      </c>
      <c r="T297" s="305"/>
      <c r="U297" s="316" t="str">
        <f t="shared" si="120"/>
        <v>Não</v>
      </c>
      <c r="V297" s="315" t="s">
        <v>454</v>
      </c>
      <c r="W297" s="296"/>
      <c r="X297" s="314">
        <f t="shared" si="121"/>
        <v>0</v>
      </c>
      <c r="Y297" s="312">
        <f t="shared" si="122"/>
        <v>0</v>
      </c>
      <c r="Z297" s="312">
        <f t="shared" si="123"/>
        <v>0</v>
      </c>
      <c r="AA297" s="294">
        <f>IF($A$287='4. LISTAS'!$C$35,(P297*B297+T297+Y297+Z297),IF($A$287='4. LISTAS'!$C$36,P297*B297+Y297,IF($A$287='4. LISTAS'!$C$37,P297*B297,"Erro")))</f>
        <v>0</v>
      </c>
      <c r="AB297" s="294">
        <f>IF($A$163='4. LISTAS'!$C$35,IF(V297="sim",AA297,AA297-X297),IF($A$163='4. LISTAS'!$C$36,IF(V297="Sim",AA297-X297,AA297-X297-Y297),IF($A$163='4. LISTAS'!$C$37,AA297,"erro")))</f>
        <v>0</v>
      </c>
      <c r="AC297" s="313">
        <f t="shared" si="127"/>
        <v>0.30349999999999999</v>
      </c>
      <c r="AD297" s="294">
        <f t="shared" si="124"/>
        <v>0</v>
      </c>
      <c r="AE297" s="312">
        <f t="shared" si="125"/>
        <v>0</v>
      </c>
      <c r="AF297" s="312">
        <f t="shared" si="126"/>
        <v>0</v>
      </c>
      <c r="AG297" s="311">
        <f>'4. LISTAS'!$M$6</f>
        <v>5.9299999999999999E-2</v>
      </c>
      <c r="AH297" s="310">
        <f>'4. LISTAS'!$M$5</f>
        <v>0.17</v>
      </c>
    </row>
    <row r="298" spans="1:38" x14ac:dyDescent="0.2">
      <c r="A298" s="323" t="s">
        <v>471</v>
      </c>
      <c r="B298" s="323">
        <v>1</v>
      </c>
      <c r="C298" s="321"/>
      <c r="D298" s="321"/>
      <c r="E298" s="321"/>
      <c r="F298" s="306">
        <f t="shared" si="119"/>
        <v>0</v>
      </c>
      <c r="G298" s="305">
        <f>IF($A$287='4. LISTAS'!$C$35,IF(V298="sim",AD298/(1-AG298),AD298/(1-AG298-(H298*(1+J298)))),IF($A$287='4. LISTAS'!$C$36,(AD298/(1-AG298-(H298*(1+J298)))),IF($A$287='4. LISTAS'!$C$37,(AB298/(1-AC298-AH298)),"Erro")))</f>
        <v>0</v>
      </c>
      <c r="H298" s="320">
        <f>IF(OR($A$287='4. LISTAS'!$C$35, $A$287='4. LISTAS'!$C$36),(VLOOKUP('1.DASHBOARD'!$B$8,'4. LISTAS'!$F$2:$G$11,2,FALSE)),0)</f>
        <v>0.18</v>
      </c>
      <c r="I298" s="305">
        <f t="shared" si="116"/>
        <v>0</v>
      </c>
      <c r="J298" s="319">
        <f>VLOOKUP($A$287,'4. LISTAS'!$C$35:$F$37,4,0)</f>
        <v>0.1125</v>
      </c>
      <c r="K298" s="305">
        <f t="shared" si="117"/>
        <v>0</v>
      </c>
      <c r="L298" s="305">
        <f t="shared" si="118"/>
        <v>0</v>
      </c>
      <c r="M298" s="318"/>
      <c r="N298" s="296"/>
      <c r="O298" s="317"/>
      <c r="P298" s="317"/>
      <c r="Q298" s="320">
        <v>0.04</v>
      </c>
      <c r="R298" s="320">
        <v>0.15</v>
      </c>
      <c r="S298" s="320">
        <v>0</v>
      </c>
      <c r="T298" s="305"/>
      <c r="U298" s="316" t="str">
        <f t="shared" si="120"/>
        <v>Não</v>
      </c>
      <c r="V298" s="315" t="s">
        <v>454</v>
      </c>
      <c r="W298" s="296"/>
      <c r="X298" s="314">
        <f t="shared" si="121"/>
        <v>0</v>
      </c>
      <c r="Y298" s="312">
        <f t="shared" si="122"/>
        <v>0</v>
      </c>
      <c r="Z298" s="312">
        <f t="shared" si="123"/>
        <v>0</v>
      </c>
      <c r="AA298" s="294">
        <f>IF($A$287='4. LISTAS'!$C$35,(P298*B298+T298+Y298+Z298),IF($A$287='4. LISTAS'!$C$36,P298*B298+Y298,IF($A$287='4. LISTAS'!$C$37,P298*B298,"Erro")))</f>
        <v>0</v>
      </c>
      <c r="AB298" s="294">
        <f>IF($A$163='4. LISTAS'!$C$35,IF(V298="sim",AA298,AA298-X298),IF($A$163='4. LISTAS'!$C$36,IF(V298="Sim",AA298-X298,AA298-X298-Y298),IF($A$163='4. LISTAS'!$C$37,AA298,"erro")))</f>
        <v>0</v>
      </c>
      <c r="AC298" s="313">
        <f t="shared" si="127"/>
        <v>0.30349999999999999</v>
      </c>
      <c r="AD298" s="294">
        <f t="shared" si="124"/>
        <v>0</v>
      </c>
      <c r="AE298" s="312">
        <f t="shared" si="125"/>
        <v>0</v>
      </c>
      <c r="AF298" s="312">
        <f t="shared" si="126"/>
        <v>0</v>
      </c>
      <c r="AG298" s="311">
        <f>'4. LISTAS'!$M$6</f>
        <v>5.9299999999999999E-2</v>
      </c>
      <c r="AH298" s="310">
        <f>'4. LISTAS'!$M$5</f>
        <v>0.17</v>
      </c>
    </row>
    <row r="299" spans="1:38" x14ac:dyDescent="0.2">
      <c r="A299" s="323" t="s">
        <v>470</v>
      </c>
      <c r="B299" s="323">
        <v>1</v>
      </c>
      <c r="C299" s="321"/>
      <c r="D299" s="321"/>
      <c r="E299" s="321"/>
      <c r="F299" s="306">
        <f t="shared" si="119"/>
        <v>0</v>
      </c>
      <c r="G299" s="305">
        <f>IF($A$287='4. LISTAS'!$C$35,IF(V299="sim",AD299/(1-AG299),AD299/(1-AG299-(H299*(1+J299)))),IF($A$287='4. LISTAS'!$C$36,(AD299/(1-AG299-(H299*(1+J299)))),IF($A$287='4. LISTAS'!$C$37,(AB299/(1-AC299-AH299)),"Erro")))</f>
        <v>0</v>
      </c>
      <c r="H299" s="320">
        <f>IF(OR($A$287='4. LISTAS'!$C$35, $A$287='4. LISTAS'!$C$36),(VLOOKUP('1.DASHBOARD'!$B$8,'4. LISTAS'!$F$2:$G$11,2,FALSE)),0)</f>
        <v>0.18</v>
      </c>
      <c r="I299" s="305">
        <f t="shared" si="116"/>
        <v>0</v>
      </c>
      <c r="J299" s="319">
        <f>VLOOKUP($A$287,'4. LISTAS'!$C$35:$F$37,4,0)</f>
        <v>0.1125</v>
      </c>
      <c r="K299" s="305">
        <f t="shared" si="117"/>
        <v>0</v>
      </c>
      <c r="L299" s="305">
        <f t="shared" si="118"/>
        <v>0</v>
      </c>
      <c r="M299" s="318"/>
      <c r="N299" s="296"/>
      <c r="O299" s="317"/>
      <c r="P299" s="317"/>
      <c r="Q299" s="320">
        <v>0.04</v>
      </c>
      <c r="R299" s="320">
        <v>0.15</v>
      </c>
      <c r="S299" s="320">
        <v>0</v>
      </c>
      <c r="T299" s="305"/>
      <c r="U299" s="316" t="str">
        <f t="shared" si="120"/>
        <v>Não</v>
      </c>
      <c r="V299" s="315" t="s">
        <v>454</v>
      </c>
      <c r="W299" s="296"/>
      <c r="X299" s="314">
        <f t="shared" si="121"/>
        <v>0</v>
      </c>
      <c r="Y299" s="312">
        <f t="shared" si="122"/>
        <v>0</v>
      </c>
      <c r="Z299" s="312">
        <f t="shared" si="123"/>
        <v>0</v>
      </c>
      <c r="AA299" s="294">
        <f>IF($A$287='4. LISTAS'!$C$35,(P299*B299+T299+Y299+Z299),IF($A$287='4. LISTAS'!$C$36,P299*B299+Y299,IF($A$287='4. LISTAS'!$C$37,P299*B299,"Erro")))</f>
        <v>0</v>
      </c>
      <c r="AB299" s="294">
        <f>IF($A$163='4. LISTAS'!$C$35,IF(V299="sim",AA299,AA299-X299),IF($A$163='4. LISTAS'!$C$36,IF(V299="Sim",AA299-X299,AA299-X299-Y299),IF($A$163='4. LISTAS'!$C$37,AA299,"erro")))</f>
        <v>0</v>
      </c>
      <c r="AC299" s="313">
        <f t="shared" si="127"/>
        <v>0.30349999999999999</v>
      </c>
      <c r="AD299" s="294">
        <f t="shared" si="124"/>
        <v>0</v>
      </c>
      <c r="AE299" s="312">
        <f t="shared" si="125"/>
        <v>0</v>
      </c>
      <c r="AF299" s="312">
        <f t="shared" si="126"/>
        <v>0</v>
      </c>
      <c r="AG299" s="311">
        <f>'4. LISTAS'!$M$6</f>
        <v>5.9299999999999999E-2</v>
      </c>
      <c r="AH299" s="310">
        <f>'4. LISTAS'!$M$5</f>
        <v>0.17</v>
      </c>
    </row>
    <row r="300" spans="1:38" x14ac:dyDescent="0.2">
      <c r="A300" s="323" t="s">
        <v>469</v>
      </c>
      <c r="B300" s="323">
        <v>1</v>
      </c>
      <c r="C300" s="321"/>
      <c r="D300" s="321"/>
      <c r="E300" s="321"/>
      <c r="F300" s="306">
        <f t="shared" si="119"/>
        <v>0</v>
      </c>
      <c r="G300" s="305">
        <f>IF($A$287='4. LISTAS'!$C$35,IF(V300="sim",AD300/(1-AG300),AD300/(1-AG300-(H300*(1+J300)))),IF($A$287='4. LISTAS'!$C$36,(AD300/(1-AG300-(H300*(1+J300)))),IF($A$287='4. LISTAS'!$C$37,(AB300/(1-AC300-AH300)),"Erro")))</f>
        <v>0</v>
      </c>
      <c r="H300" s="320">
        <f>IF(OR($A$287='4. LISTAS'!$C$35, $A$287='4. LISTAS'!$C$36),(VLOOKUP('1.DASHBOARD'!$B$8,'4. LISTAS'!$F$2:$G$11,2,FALSE)),0)</f>
        <v>0.18</v>
      </c>
      <c r="I300" s="305">
        <f t="shared" si="116"/>
        <v>0</v>
      </c>
      <c r="J300" s="319">
        <f>VLOOKUP($A$287,'4. LISTAS'!$C$35:$F$37,4,0)</f>
        <v>0.1125</v>
      </c>
      <c r="K300" s="305">
        <f t="shared" si="117"/>
        <v>0</v>
      </c>
      <c r="L300" s="305">
        <f t="shared" si="118"/>
        <v>0</v>
      </c>
      <c r="M300" s="318"/>
      <c r="N300" s="296"/>
      <c r="O300" s="317"/>
      <c r="P300" s="317"/>
      <c r="Q300" s="320">
        <v>0.04</v>
      </c>
      <c r="R300" s="320">
        <v>0.15</v>
      </c>
      <c r="S300" s="320">
        <v>0</v>
      </c>
      <c r="T300" s="305"/>
      <c r="U300" s="316" t="str">
        <f t="shared" si="120"/>
        <v>Não</v>
      </c>
      <c r="V300" s="315" t="s">
        <v>454</v>
      </c>
      <c r="W300" s="296"/>
      <c r="X300" s="314">
        <f t="shared" si="121"/>
        <v>0</v>
      </c>
      <c r="Y300" s="312">
        <f t="shared" si="122"/>
        <v>0</v>
      </c>
      <c r="Z300" s="312">
        <f t="shared" si="123"/>
        <v>0</v>
      </c>
      <c r="AA300" s="294">
        <f>IF($A$287='4. LISTAS'!$C$35,(P300*B300+T300+Y300+Z300),IF($A$287='4. LISTAS'!$C$36,P300*B300+Y300,IF($A$287='4. LISTAS'!$C$37,P300*B300,"Erro")))</f>
        <v>0</v>
      </c>
      <c r="AB300" s="294">
        <f>IF($A$163='4. LISTAS'!$C$35,IF(V300="sim",AA300,AA300-X300),IF($A$163='4. LISTAS'!$C$36,IF(V300="Sim",AA300-X300,AA300-X300-Y300),IF($A$163='4. LISTAS'!$C$37,AA300,"erro")))</f>
        <v>0</v>
      </c>
      <c r="AC300" s="313">
        <f t="shared" si="127"/>
        <v>0.30349999999999999</v>
      </c>
      <c r="AD300" s="294">
        <f t="shared" si="124"/>
        <v>0</v>
      </c>
      <c r="AE300" s="312">
        <f t="shared" si="125"/>
        <v>0</v>
      </c>
      <c r="AF300" s="312">
        <f t="shared" si="126"/>
        <v>0</v>
      </c>
      <c r="AG300" s="311">
        <f>'4. LISTAS'!$M$6</f>
        <v>5.9299999999999999E-2</v>
      </c>
      <c r="AH300" s="310">
        <f>'4. LISTAS'!$M$5</f>
        <v>0.17</v>
      </c>
    </row>
    <row r="301" spans="1:38" x14ac:dyDescent="0.2">
      <c r="A301" s="323" t="s">
        <v>468</v>
      </c>
      <c r="B301" s="323">
        <v>1</v>
      </c>
      <c r="C301" s="321"/>
      <c r="D301" s="321"/>
      <c r="E301" s="321"/>
      <c r="F301" s="306">
        <f t="shared" si="119"/>
        <v>0</v>
      </c>
      <c r="G301" s="305">
        <f>IF($A$287='4. LISTAS'!$C$35,IF(V301="sim",AD301/(1-AG301),AD301/(1-AG301-(H301*(1+J301)))),IF($A$287='4. LISTAS'!$C$36,(AD301/(1-AG301-(H301*(1+J301)))),IF($A$287='4. LISTAS'!$C$37,(AB301/(1-AC301-AH301)),"Erro")))</f>
        <v>0</v>
      </c>
      <c r="H301" s="320">
        <f>IF(OR($A$287='4. LISTAS'!$C$35, $A$287='4. LISTAS'!$C$36),(VLOOKUP('1.DASHBOARD'!$B$8,'4. LISTAS'!$F$2:$G$11,2,FALSE)),0)</f>
        <v>0.18</v>
      </c>
      <c r="I301" s="305">
        <f t="shared" si="116"/>
        <v>0</v>
      </c>
      <c r="J301" s="319">
        <f>VLOOKUP($A$287,'4. LISTAS'!$C$35:$F$37,4,0)</f>
        <v>0.1125</v>
      </c>
      <c r="K301" s="305">
        <f t="shared" si="117"/>
        <v>0</v>
      </c>
      <c r="L301" s="305">
        <f t="shared" si="118"/>
        <v>0</v>
      </c>
      <c r="M301" s="318"/>
      <c r="N301" s="296"/>
      <c r="O301" s="317"/>
      <c r="P301" s="317"/>
      <c r="Q301" s="320">
        <v>0.04</v>
      </c>
      <c r="R301" s="320">
        <v>0.15</v>
      </c>
      <c r="S301" s="320">
        <v>0</v>
      </c>
      <c r="T301" s="305"/>
      <c r="U301" s="316" t="str">
        <f t="shared" si="120"/>
        <v>Não</v>
      </c>
      <c r="V301" s="315" t="s">
        <v>454</v>
      </c>
      <c r="W301" s="296"/>
      <c r="X301" s="314">
        <f t="shared" si="121"/>
        <v>0</v>
      </c>
      <c r="Y301" s="312">
        <f t="shared" si="122"/>
        <v>0</v>
      </c>
      <c r="Z301" s="312">
        <f t="shared" si="123"/>
        <v>0</v>
      </c>
      <c r="AA301" s="294">
        <f>IF($A$287='4. LISTAS'!$C$35,(P301*B301+T301+Y301+Z301),IF($A$287='4. LISTAS'!$C$36,P301*B301+Y301,IF($A$287='4. LISTAS'!$C$37,P301*B301,"Erro")))</f>
        <v>0</v>
      </c>
      <c r="AB301" s="294">
        <f>IF($A$163='4. LISTAS'!$C$35,IF(V301="sim",AA301,AA301-X301),IF($A$163='4. LISTAS'!$C$36,IF(V301="Sim",AA301-X301,AA301-X301-Y301),IF($A$163='4. LISTAS'!$C$37,AA301,"erro")))</f>
        <v>0</v>
      </c>
      <c r="AC301" s="313">
        <f t="shared" si="127"/>
        <v>0.30349999999999999</v>
      </c>
      <c r="AD301" s="294">
        <f t="shared" si="124"/>
        <v>0</v>
      </c>
      <c r="AE301" s="312">
        <f t="shared" si="125"/>
        <v>0</v>
      </c>
      <c r="AF301" s="312">
        <f t="shared" si="126"/>
        <v>0</v>
      </c>
      <c r="AG301" s="311">
        <f>'4. LISTAS'!$M$6</f>
        <v>5.9299999999999999E-2</v>
      </c>
      <c r="AH301" s="310">
        <f>'4. LISTAS'!$M$5</f>
        <v>0.17</v>
      </c>
    </row>
    <row r="302" spans="1:38" x14ac:dyDescent="0.2">
      <c r="A302" s="323" t="s">
        <v>467</v>
      </c>
      <c r="B302" s="323">
        <v>1</v>
      </c>
      <c r="C302" s="321"/>
      <c r="D302" s="321"/>
      <c r="E302" s="321"/>
      <c r="F302" s="306">
        <f t="shared" si="119"/>
        <v>0</v>
      </c>
      <c r="G302" s="305">
        <f>IF($A$287='4. LISTAS'!$C$35,IF(V302="sim",AD302/(1-AG302),AD302/(1-AG302-(H302*(1+J302)))),IF($A$287='4. LISTAS'!$C$36,(AD302/(1-AG302-(H302*(1+J302)))),IF($A$287='4. LISTAS'!$C$37,(AB302/(1-AC302-AH302)),"Erro")))</f>
        <v>0</v>
      </c>
      <c r="H302" s="320">
        <f>IF(OR($A$287='4. LISTAS'!$C$35, $A$287='4. LISTAS'!$C$36),(VLOOKUP('1.DASHBOARD'!$B$8,'4. LISTAS'!$F$2:$G$11,2,FALSE)),0)</f>
        <v>0.18</v>
      </c>
      <c r="I302" s="305">
        <f t="shared" si="116"/>
        <v>0</v>
      </c>
      <c r="J302" s="319">
        <f>VLOOKUP($A$287,'4. LISTAS'!$C$35:$F$37,4,0)</f>
        <v>0.1125</v>
      </c>
      <c r="K302" s="305">
        <f t="shared" si="117"/>
        <v>0</v>
      </c>
      <c r="L302" s="305">
        <f t="shared" si="118"/>
        <v>0</v>
      </c>
      <c r="M302" s="318"/>
      <c r="N302" s="296"/>
      <c r="O302" s="317"/>
      <c r="P302" s="317"/>
      <c r="Q302" s="320">
        <v>0.04</v>
      </c>
      <c r="R302" s="320">
        <v>0.15</v>
      </c>
      <c r="S302" s="320">
        <v>0</v>
      </c>
      <c r="T302" s="305"/>
      <c r="U302" s="316" t="str">
        <f t="shared" si="120"/>
        <v>Não</v>
      </c>
      <c r="V302" s="315" t="s">
        <v>454</v>
      </c>
      <c r="W302" s="296"/>
      <c r="X302" s="314">
        <f t="shared" si="121"/>
        <v>0</v>
      </c>
      <c r="Y302" s="312">
        <f t="shared" si="122"/>
        <v>0</v>
      </c>
      <c r="Z302" s="312">
        <f t="shared" si="123"/>
        <v>0</v>
      </c>
      <c r="AA302" s="294">
        <f>IF($A$287='4. LISTAS'!$C$35,(P302*B302+T302+Y302+Z302),IF($A$287='4. LISTAS'!$C$36,P302*B302+Y302,IF($A$287='4. LISTAS'!$C$37,P302*B302,"Erro")))</f>
        <v>0</v>
      </c>
      <c r="AB302" s="294">
        <f>IF($A$163='4. LISTAS'!$C$35,IF(V302="sim",AA302,AA302-X302),IF($A$163='4. LISTAS'!$C$36,IF(V302="Sim",AA302-X302,AA302-X302-Y302),IF($A$163='4. LISTAS'!$C$37,AA302,"erro")))</f>
        <v>0</v>
      </c>
      <c r="AC302" s="313">
        <f t="shared" si="127"/>
        <v>0.30349999999999999</v>
      </c>
      <c r="AD302" s="294">
        <f t="shared" si="124"/>
        <v>0</v>
      </c>
      <c r="AE302" s="312">
        <f t="shared" si="125"/>
        <v>0</v>
      </c>
      <c r="AF302" s="312">
        <f t="shared" si="126"/>
        <v>0</v>
      </c>
      <c r="AG302" s="311">
        <f>'4. LISTAS'!$M$6</f>
        <v>5.9299999999999999E-2</v>
      </c>
      <c r="AH302" s="310">
        <f>'4. LISTAS'!$M$5</f>
        <v>0.17</v>
      </c>
    </row>
    <row r="303" spans="1:38" x14ac:dyDescent="0.2">
      <c r="A303" s="323" t="s">
        <v>466</v>
      </c>
      <c r="B303" s="323">
        <v>1</v>
      </c>
      <c r="C303" s="321"/>
      <c r="D303" s="321"/>
      <c r="E303" s="321"/>
      <c r="F303" s="306">
        <f t="shared" si="119"/>
        <v>0</v>
      </c>
      <c r="G303" s="305">
        <f>IF($A$287='4. LISTAS'!$C$35,IF(V303="sim",AD303/(1-AG303),AD303/(1-AG303-(H303*(1+J303)))),IF($A$287='4. LISTAS'!$C$36,(AD303/(1-AG303-(H303*(1+J303)))),IF($A$287='4. LISTAS'!$C$37,(AB303/(1-AC303-AH303)),"Erro")))</f>
        <v>0</v>
      </c>
      <c r="H303" s="320">
        <f>IF(OR($A$287='4. LISTAS'!$C$35, $A$287='4. LISTAS'!$C$36),(VLOOKUP('1.DASHBOARD'!$B$8,'4. LISTAS'!$F$2:$G$11,2,FALSE)),0)</f>
        <v>0.18</v>
      </c>
      <c r="I303" s="305">
        <f t="shared" si="116"/>
        <v>0</v>
      </c>
      <c r="J303" s="319">
        <f>VLOOKUP($A$287,'4. LISTAS'!$C$35:$F$37,4,0)</f>
        <v>0.1125</v>
      </c>
      <c r="K303" s="305">
        <f t="shared" si="117"/>
        <v>0</v>
      </c>
      <c r="L303" s="305">
        <f t="shared" si="118"/>
        <v>0</v>
      </c>
      <c r="M303" s="318"/>
      <c r="N303" s="296"/>
      <c r="O303" s="317"/>
      <c r="P303" s="317"/>
      <c r="Q303" s="320">
        <v>0.04</v>
      </c>
      <c r="R303" s="320">
        <v>0.15</v>
      </c>
      <c r="S303" s="320">
        <v>0</v>
      </c>
      <c r="T303" s="305"/>
      <c r="U303" s="316" t="str">
        <f t="shared" si="120"/>
        <v>Não</v>
      </c>
      <c r="V303" s="315" t="s">
        <v>454</v>
      </c>
      <c r="W303" s="296"/>
      <c r="X303" s="314">
        <f t="shared" si="121"/>
        <v>0</v>
      </c>
      <c r="Y303" s="312">
        <f t="shared" si="122"/>
        <v>0</v>
      </c>
      <c r="Z303" s="312">
        <f t="shared" si="123"/>
        <v>0</v>
      </c>
      <c r="AA303" s="294">
        <f>IF($A$287='4. LISTAS'!$C$35,(P303*B303+T303+Y303+Z303),IF($A$287='4. LISTAS'!$C$36,P303*B303+Y303,IF($A$287='4. LISTAS'!$C$37,P303*B303,"Erro")))</f>
        <v>0</v>
      </c>
      <c r="AB303" s="294">
        <f>IF($A$163='4. LISTAS'!$C$35,IF(V303="sim",AA303,AA303-X303),IF($A$163='4. LISTAS'!$C$36,IF(V303="Sim",AA303-X303,AA303-X303-Y303),IF($A$163='4. LISTAS'!$C$37,AA303,"erro")))</f>
        <v>0</v>
      </c>
      <c r="AC303" s="313">
        <f t="shared" si="127"/>
        <v>0.30349999999999999</v>
      </c>
      <c r="AD303" s="294">
        <f t="shared" si="124"/>
        <v>0</v>
      </c>
      <c r="AE303" s="312">
        <f t="shared" si="125"/>
        <v>0</v>
      </c>
      <c r="AF303" s="312">
        <f t="shared" si="126"/>
        <v>0</v>
      </c>
      <c r="AG303" s="311">
        <f>'4. LISTAS'!$M$6</f>
        <v>5.9299999999999999E-2</v>
      </c>
      <c r="AH303" s="310">
        <f>'4. LISTAS'!$M$5</f>
        <v>0.17</v>
      </c>
    </row>
    <row r="304" spans="1:38" x14ac:dyDescent="0.2">
      <c r="A304" s="323" t="s">
        <v>465</v>
      </c>
      <c r="B304" s="323">
        <v>1</v>
      </c>
      <c r="C304" s="321"/>
      <c r="D304" s="321"/>
      <c r="E304" s="321"/>
      <c r="F304" s="306">
        <f t="shared" si="119"/>
        <v>0</v>
      </c>
      <c r="G304" s="305">
        <f>IF($A$287='4. LISTAS'!$C$35,IF(V304="sim",AD304/(1-AG304),AD304/(1-AG304-(H304*(1+J304)))),IF($A$287='4. LISTAS'!$C$36,(AD304/(1-AG304-(H304*(1+J304)))),IF($A$287='4. LISTAS'!$C$37,(AB304/(1-AC304-AH304)),"Erro")))</f>
        <v>0</v>
      </c>
      <c r="H304" s="320">
        <f>IF(OR($A$287='4. LISTAS'!$C$35, $A$287='4. LISTAS'!$C$36),(VLOOKUP('1.DASHBOARD'!$B$8,'4. LISTAS'!$F$2:$G$11,2,FALSE)),0)</f>
        <v>0.18</v>
      </c>
      <c r="I304" s="305">
        <f t="shared" si="116"/>
        <v>0</v>
      </c>
      <c r="J304" s="319">
        <f>VLOOKUP($A$287,'4. LISTAS'!$C$35:$F$37,4,0)</f>
        <v>0.1125</v>
      </c>
      <c r="K304" s="305">
        <f t="shared" si="117"/>
        <v>0</v>
      </c>
      <c r="L304" s="305">
        <f t="shared" si="118"/>
        <v>0</v>
      </c>
      <c r="M304" s="318"/>
      <c r="N304" s="296"/>
      <c r="O304" s="317"/>
      <c r="P304" s="317"/>
      <c r="Q304" s="320">
        <v>0.04</v>
      </c>
      <c r="R304" s="320">
        <v>0.15</v>
      </c>
      <c r="S304" s="320">
        <v>0</v>
      </c>
      <c r="T304" s="305"/>
      <c r="U304" s="316" t="str">
        <f t="shared" si="120"/>
        <v>Não</v>
      </c>
      <c r="V304" s="315" t="s">
        <v>454</v>
      </c>
      <c r="W304" s="296"/>
      <c r="X304" s="314">
        <f t="shared" si="121"/>
        <v>0</v>
      </c>
      <c r="Y304" s="312">
        <f t="shared" si="122"/>
        <v>0</v>
      </c>
      <c r="Z304" s="312">
        <f t="shared" si="123"/>
        <v>0</v>
      </c>
      <c r="AA304" s="294">
        <f>IF($A$287='4. LISTAS'!$C$35,(P304*B304+T304+Y304+Z304),IF($A$287='4. LISTAS'!$C$36,P304*B304+Y304,IF($A$287='4. LISTAS'!$C$37,P304*B304,"Erro")))</f>
        <v>0</v>
      </c>
      <c r="AB304" s="294">
        <f>IF($A$163='4. LISTAS'!$C$35,IF(V304="sim",AA304,AA304-X304),IF($A$163='4. LISTAS'!$C$36,IF(V304="Sim",AA304-X304,AA304-X304-Y304),IF($A$163='4. LISTAS'!$C$37,AA304,"erro")))</f>
        <v>0</v>
      </c>
      <c r="AC304" s="313">
        <f t="shared" si="127"/>
        <v>0.30349999999999999</v>
      </c>
      <c r="AD304" s="294">
        <f t="shared" si="124"/>
        <v>0</v>
      </c>
      <c r="AE304" s="312">
        <f t="shared" si="125"/>
        <v>0</v>
      </c>
      <c r="AF304" s="312">
        <f t="shared" si="126"/>
        <v>0</v>
      </c>
      <c r="AG304" s="311">
        <f>'4. LISTAS'!$M$6</f>
        <v>5.9299999999999999E-2</v>
      </c>
      <c r="AH304" s="310">
        <f>'4. LISTAS'!$M$5</f>
        <v>0.17</v>
      </c>
    </row>
    <row r="305" spans="1:34" x14ac:dyDescent="0.2">
      <c r="A305" s="323" t="s">
        <v>464</v>
      </c>
      <c r="B305" s="323">
        <v>1</v>
      </c>
      <c r="C305" s="321"/>
      <c r="D305" s="321"/>
      <c r="E305" s="321"/>
      <c r="F305" s="306">
        <f t="shared" si="119"/>
        <v>0</v>
      </c>
      <c r="G305" s="305">
        <f>IF($A$287='4. LISTAS'!$C$35,IF(V305="sim",AD305/(1-AG305),AD305/(1-AG305-(H305*(1+J305)))),IF($A$287='4. LISTAS'!$C$36,(AD305/(1-AG305-(H305*(1+J305)))),IF($A$287='4. LISTAS'!$C$37,(AB305/(1-AC305-AH305)),"Erro")))</f>
        <v>0</v>
      </c>
      <c r="H305" s="320">
        <f>IF(OR($A$287='4. LISTAS'!$C$35, $A$287='4. LISTAS'!$C$36),(VLOOKUP('1.DASHBOARD'!$B$8,'4. LISTAS'!$F$2:$G$11,2,FALSE)),0)</f>
        <v>0.18</v>
      </c>
      <c r="I305" s="305">
        <f t="shared" si="116"/>
        <v>0</v>
      </c>
      <c r="J305" s="319">
        <f>VLOOKUP($A$287,'4. LISTAS'!$C$35:$F$37,4,0)</f>
        <v>0.1125</v>
      </c>
      <c r="K305" s="305">
        <f t="shared" si="117"/>
        <v>0</v>
      </c>
      <c r="L305" s="305">
        <f t="shared" si="118"/>
        <v>0</v>
      </c>
      <c r="M305" s="318"/>
      <c r="N305" s="296"/>
      <c r="O305" s="317"/>
      <c r="P305" s="317"/>
      <c r="Q305" s="320">
        <v>0.04</v>
      </c>
      <c r="R305" s="320">
        <v>0.15</v>
      </c>
      <c r="S305" s="320">
        <v>0</v>
      </c>
      <c r="T305" s="305"/>
      <c r="U305" s="316" t="str">
        <f t="shared" si="120"/>
        <v>Não</v>
      </c>
      <c r="V305" s="315" t="s">
        <v>454</v>
      </c>
      <c r="W305" s="296"/>
      <c r="X305" s="314">
        <f t="shared" si="121"/>
        <v>0</v>
      </c>
      <c r="Y305" s="312">
        <f t="shared" si="122"/>
        <v>0</v>
      </c>
      <c r="Z305" s="312">
        <f t="shared" si="123"/>
        <v>0</v>
      </c>
      <c r="AA305" s="294">
        <f>IF($A$287='4. LISTAS'!$C$35,(P305*B305+T305+Y305+Z305),IF($A$287='4. LISTAS'!$C$36,P305*B305+Y305,IF($A$287='4. LISTAS'!$C$37,P305*B305,"Erro")))</f>
        <v>0</v>
      </c>
      <c r="AB305" s="294">
        <f>IF($A$163='4. LISTAS'!$C$35,IF(V305="sim",AA305,AA305-X305),IF($A$163='4. LISTAS'!$C$36,IF(V305="Sim",AA305-X305,AA305-X305-Y305),IF($A$163='4. LISTAS'!$C$37,AA305,"erro")))</f>
        <v>0</v>
      </c>
      <c r="AC305" s="313">
        <f t="shared" si="127"/>
        <v>0.30349999999999999</v>
      </c>
      <c r="AD305" s="294">
        <f t="shared" si="124"/>
        <v>0</v>
      </c>
      <c r="AE305" s="312">
        <f t="shared" si="125"/>
        <v>0</v>
      </c>
      <c r="AF305" s="312">
        <f t="shared" si="126"/>
        <v>0</v>
      </c>
      <c r="AG305" s="311">
        <f>'4. LISTAS'!$M$6</f>
        <v>5.9299999999999999E-2</v>
      </c>
      <c r="AH305" s="310">
        <f>'4. LISTAS'!$M$5</f>
        <v>0.17</v>
      </c>
    </row>
    <row r="306" spans="1:34" x14ac:dyDescent="0.2">
      <c r="A306" s="323" t="s">
        <v>463</v>
      </c>
      <c r="B306" s="323">
        <v>1</v>
      </c>
      <c r="C306" s="321"/>
      <c r="D306" s="321"/>
      <c r="E306" s="321"/>
      <c r="F306" s="306">
        <f t="shared" si="119"/>
        <v>0</v>
      </c>
      <c r="G306" s="305">
        <f>IF($A$287='4. LISTAS'!$C$35,IF(V306="sim",AD306/(1-AG306),AD306/(1-AG306-(H306*(1+J306)))),IF($A$287='4. LISTAS'!$C$36,(AD306/(1-AG306-(H306*(1+J306)))),IF($A$287='4. LISTAS'!$C$37,(AB306/(1-AC306-AH306)),"Erro")))</f>
        <v>0</v>
      </c>
      <c r="H306" s="320">
        <f>IF(OR($A$287='4. LISTAS'!$C$35, $A$287='4. LISTAS'!$C$36),(VLOOKUP('1.DASHBOARD'!$B$8,'4. LISTAS'!$F$2:$G$11,2,FALSE)),0)</f>
        <v>0.18</v>
      </c>
      <c r="I306" s="305">
        <f t="shared" si="116"/>
        <v>0</v>
      </c>
      <c r="J306" s="319">
        <f>VLOOKUP($A$287,'4. LISTAS'!$C$35:$F$37,4,0)</f>
        <v>0.1125</v>
      </c>
      <c r="K306" s="305">
        <f t="shared" si="117"/>
        <v>0</v>
      </c>
      <c r="L306" s="305">
        <f t="shared" si="118"/>
        <v>0</v>
      </c>
      <c r="M306" s="318"/>
      <c r="N306" s="296"/>
      <c r="O306" s="317"/>
      <c r="P306" s="317"/>
      <c r="Q306" s="320">
        <v>0.04</v>
      </c>
      <c r="R306" s="320">
        <v>0.15</v>
      </c>
      <c r="S306" s="320">
        <v>0</v>
      </c>
      <c r="T306" s="305"/>
      <c r="U306" s="316" t="str">
        <f t="shared" si="120"/>
        <v>Não</v>
      </c>
      <c r="V306" s="315" t="s">
        <v>454</v>
      </c>
      <c r="W306" s="296"/>
      <c r="X306" s="314">
        <f t="shared" si="121"/>
        <v>0</v>
      </c>
      <c r="Y306" s="312">
        <f t="shared" si="122"/>
        <v>0</v>
      </c>
      <c r="Z306" s="312">
        <f t="shared" si="123"/>
        <v>0</v>
      </c>
      <c r="AA306" s="294">
        <f>IF($A$287='4. LISTAS'!$C$35,(P306*B306+T306+Y306+Z306),IF($A$287='4. LISTAS'!$C$36,P306*B306+Y306,IF($A$287='4. LISTAS'!$C$37,P306*B306,"Erro")))</f>
        <v>0</v>
      </c>
      <c r="AB306" s="294">
        <f>IF($A$163='4. LISTAS'!$C$35,IF(V306="sim",AA306,AA306-X306),IF($A$163='4. LISTAS'!$C$36,IF(V306="Sim",AA306-X306,AA306-X306-Y306),IF($A$163='4. LISTAS'!$C$37,AA306,"erro")))</f>
        <v>0</v>
      </c>
      <c r="AC306" s="313">
        <f t="shared" si="127"/>
        <v>0.30349999999999999</v>
      </c>
      <c r="AD306" s="294">
        <f t="shared" si="124"/>
        <v>0</v>
      </c>
      <c r="AE306" s="312">
        <f t="shared" si="125"/>
        <v>0</v>
      </c>
      <c r="AF306" s="312">
        <f t="shared" si="126"/>
        <v>0</v>
      </c>
      <c r="AG306" s="311">
        <f>'4. LISTAS'!$M$6</f>
        <v>5.9299999999999999E-2</v>
      </c>
      <c r="AH306" s="310">
        <f>'4. LISTAS'!$M$5</f>
        <v>0.17</v>
      </c>
    </row>
    <row r="307" spans="1:34" x14ac:dyDescent="0.2">
      <c r="A307" s="323" t="s">
        <v>462</v>
      </c>
      <c r="B307" s="323">
        <v>1</v>
      </c>
      <c r="C307" s="321"/>
      <c r="D307" s="321"/>
      <c r="E307" s="321"/>
      <c r="F307" s="306">
        <f t="shared" si="119"/>
        <v>0</v>
      </c>
      <c r="G307" s="305">
        <f>IF($A$287='4. LISTAS'!$C$35,IF(V307="sim",AD307/(1-AG307),AD307/(1-AG307-(H307*(1+J307)))),IF($A$287='4. LISTAS'!$C$36,(AD307/(1-AG307-(H307*(1+J307)))),IF($A$287='4. LISTAS'!$C$37,(AB307/(1-AC307-AH307)),"Erro")))</f>
        <v>0</v>
      </c>
      <c r="H307" s="320">
        <f>IF(OR($A$287='4. LISTAS'!$C$35, $A$287='4. LISTAS'!$C$36),(VLOOKUP('1.DASHBOARD'!$B$8,'4. LISTAS'!$F$2:$G$11,2,FALSE)),0)</f>
        <v>0.18</v>
      </c>
      <c r="I307" s="305">
        <f t="shared" si="116"/>
        <v>0</v>
      </c>
      <c r="J307" s="319">
        <f>VLOOKUP($A$287,'4. LISTAS'!$C$35:$F$37,4,0)</f>
        <v>0.1125</v>
      </c>
      <c r="K307" s="305">
        <f t="shared" si="117"/>
        <v>0</v>
      </c>
      <c r="L307" s="305">
        <f t="shared" si="118"/>
        <v>0</v>
      </c>
      <c r="M307" s="318"/>
      <c r="N307" s="296"/>
      <c r="O307" s="317"/>
      <c r="P307" s="317"/>
      <c r="Q307" s="320">
        <v>0.04</v>
      </c>
      <c r="R307" s="320">
        <v>0.15</v>
      </c>
      <c r="S307" s="320">
        <v>0</v>
      </c>
      <c r="T307" s="305"/>
      <c r="U307" s="316" t="str">
        <f t="shared" si="120"/>
        <v>Não</v>
      </c>
      <c r="V307" s="315" t="s">
        <v>454</v>
      </c>
      <c r="W307" s="296"/>
      <c r="X307" s="314">
        <f t="shared" si="121"/>
        <v>0</v>
      </c>
      <c r="Y307" s="312">
        <f t="shared" si="122"/>
        <v>0</v>
      </c>
      <c r="Z307" s="312">
        <f t="shared" si="123"/>
        <v>0</v>
      </c>
      <c r="AA307" s="294">
        <f>IF($A$287='4. LISTAS'!$C$35,(P307*B307+T307+Y307+Z307),IF($A$287='4. LISTAS'!$C$36,P307*B307+Y307,IF($A$287='4. LISTAS'!$C$37,P307*B307,"Erro")))</f>
        <v>0</v>
      </c>
      <c r="AB307" s="294">
        <f>IF($A$163='4. LISTAS'!$C$35,IF(V307="sim",AA307,AA307-X307),IF($A$163='4. LISTAS'!$C$36,IF(V307="Sim",AA307-X307,AA307-X307-Y307),IF($A$163='4. LISTAS'!$C$37,AA307,"erro")))</f>
        <v>0</v>
      </c>
      <c r="AC307" s="313">
        <f t="shared" si="127"/>
        <v>0.30349999999999999</v>
      </c>
      <c r="AD307" s="294">
        <f t="shared" si="124"/>
        <v>0</v>
      </c>
      <c r="AE307" s="312">
        <f t="shared" si="125"/>
        <v>0</v>
      </c>
      <c r="AF307" s="312">
        <f t="shared" si="126"/>
        <v>0</v>
      </c>
      <c r="AG307" s="311">
        <f>'4. LISTAS'!$M$6</f>
        <v>5.9299999999999999E-2</v>
      </c>
      <c r="AH307" s="310">
        <f>'4. LISTAS'!$M$5</f>
        <v>0.17</v>
      </c>
    </row>
    <row r="308" spans="1:34" x14ac:dyDescent="0.2">
      <c r="A308" s="323" t="s">
        <v>461</v>
      </c>
      <c r="B308" s="323">
        <v>1</v>
      </c>
      <c r="C308" s="321"/>
      <c r="D308" s="321"/>
      <c r="E308" s="321"/>
      <c r="F308" s="306">
        <f t="shared" si="119"/>
        <v>0</v>
      </c>
      <c r="G308" s="305">
        <f>IF($A$287='4. LISTAS'!$C$35,IF(V308="sim",AD308/(1-AG308),AD308/(1-AG308-(H308*(1+J308)))),IF($A$287='4. LISTAS'!$C$36,(AD308/(1-AG308-(H308*(1+J308)))),IF($A$287='4. LISTAS'!$C$37,(AB308/(1-AC308-AH308)),"Erro")))</f>
        <v>0</v>
      </c>
      <c r="H308" s="320">
        <f>IF(OR($A$287='4. LISTAS'!$C$35, $A$287='4. LISTAS'!$C$36),(VLOOKUP('1.DASHBOARD'!$B$8,'4. LISTAS'!$F$2:$G$11,2,FALSE)),0)</f>
        <v>0.18</v>
      </c>
      <c r="I308" s="305">
        <f t="shared" si="116"/>
        <v>0</v>
      </c>
      <c r="J308" s="319">
        <f>VLOOKUP($A$287,'4. LISTAS'!$C$35:$F$37,4,0)</f>
        <v>0.1125</v>
      </c>
      <c r="K308" s="305">
        <f t="shared" si="117"/>
        <v>0</v>
      </c>
      <c r="L308" s="305">
        <f t="shared" si="118"/>
        <v>0</v>
      </c>
      <c r="M308" s="318"/>
      <c r="N308" s="296"/>
      <c r="O308" s="317"/>
      <c r="P308" s="317"/>
      <c r="Q308" s="320">
        <v>0.04</v>
      </c>
      <c r="R308" s="320">
        <v>0.15</v>
      </c>
      <c r="S308" s="320">
        <v>0</v>
      </c>
      <c r="T308" s="305"/>
      <c r="U308" s="316" t="str">
        <f t="shared" si="120"/>
        <v>Não</v>
      </c>
      <c r="V308" s="315" t="s">
        <v>454</v>
      </c>
      <c r="W308" s="296"/>
      <c r="X308" s="314">
        <f t="shared" si="121"/>
        <v>0</v>
      </c>
      <c r="Y308" s="312">
        <f t="shared" si="122"/>
        <v>0</v>
      </c>
      <c r="Z308" s="312">
        <f t="shared" si="123"/>
        <v>0</v>
      </c>
      <c r="AA308" s="294">
        <f>IF($A$287='4. LISTAS'!$C$35,(P308*B308+T308+Y308+Z308),IF($A$287='4. LISTAS'!$C$36,P308*B308+Y308,IF($A$287='4. LISTAS'!$C$37,P308*B308,"Erro")))</f>
        <v>0</v>
      </c>
      <c r="AB308" s="294">
        <f>IF($A$163='4. LISTAS'!$C$35,IF(V308="sim",AA308,AA308-X308),IF($A$163='4. LISTAS'!$C$36,IF(V308="Sim",AA308-X308,AA308-X308-Y308),IF($A$163='4. LISTAS'!$C$37,AA308,"erro")))</f>
        <v>0</v>
      </c>
      <c r="AC308" s="313">
        <f t="shared" si="127"/>
        <v>0.30349999999999999</v>
      </c>
      <c r="AD308" s="294">
        <f t="shared" si="124"/>
        <v>0</v>
      </c>
      <c r="AE308" s="312">
        <f t="shared" si="125"/>
        <v>0</v>
      </c>
      <c r="AF308" s="312">
        <f t="shared" si="126"/>
        <v>0</v>
      </c>
      <c r="AG308" s="311">
        <f>'4. LISTAS'!$M$6</f>
        <v>5.9299999999999999E-2</v>
      </c>
      <c r="AH308" s="310">
        <f>'4. LISTAS'!$M$5</f>
        <v>0.17</v>
      </c>
    </row>
    <row r="309" spans="1:34" x14ac:dyDescent="0.2">
      <c r="A309" s="323" t="s">
        <v>460</v>
      </c>
      <c r="B309" s="323">
        <v>1</v>
      </c>
      <c r="C309" s="321"/>
      <c r="D309" s="321"/>
      <c r="E309" s="321"/>
      <c r="F309" s="306">
        <f t="shared" si="119"/>
        <v>0</v>
      </c>
      <c r="G309" s="305">
        <f>IF($A$287='4. LISTAS'!$C$35,IF(V309="sim",AD309/(1-AG309),AD309/(1-AG309-(H309*(1+J309)))),IF($A$287='4. LISTAS'!$C$36,(AD309/(1-AG309-(H309*(1+J309)))),IF($A$287='4. LISTAS'!$C$37,(AB309/(1-AC309-AH309)),"Erro")))</f>
        <v>0</v>
      </c>
      <c r="H309" s="320">
        <f>IF(OR($A$287='4. LISTAS'!$C$35, $A$287='4. LISTAS'!$C$36),(VLOOKUP('1.DASHBOARD'!$B$8,'4. LISTAS'!$F$2:$G$11,2,FALSE)),0)</f>
        <v>0.18</v>
      </c>
      <c r="I309" s="305">
        <f t="shared" si="116"/>
        <v>0</v>
      </c>
      <c r="J309" s="319">
        <f>VLOOKUP($A$287,'4. LISTAS'!$C$35:$F$37,4,0)</f>
        <v>0.1125</v>
      </c>
      <c r="K309" s="305">
        <f t="shared" si="117"/>
        <v>0</v>
      </c>
      <c r="L309" s="305">
        <f t="shared" si="118"/>
        <v>0</v>
      </c>
      <c r="M309" s="318"/>
      <c r="N309" s="296"/>
      <c r="O309" s="317"/>
      <c r="P309" s="317"/>
      <c r="Q309" s="320">
        <v>0.04</v>
      </c>
      <c r="R309" s="320">
        <v>0.15</v>
      </c>
      <c r="S309" s="320">
        <v>0</v>
      </c>
      <c r="T309" s="305"/>
      <c r="U309" s="316" t="str">
        <f t="shared" si="120"/>
        <v>Não</v>
      </c>
      <c r="V309" s="315" t="s">
        <v>454</v>
      </c>
      <c r="W309" s="296"/>
      <c r="X309" s="314">
        <f t="shared" si="121"/>
        <v>0</v>
      </c>
      <c r="Y309" s="312">
        <f t="shared" si="122"/>
        <v>0</v>
      </c>
      <c r="Z309" s="312">
        <f t="shared" si="123"/>
        <v>0</v>
      </c>
      <c r="AA309" s="294">
        <f>IF($A$287='4. LISTAS'!$C$35,(P309*B309+T309+Y309+Z309),IF($A$287='4. LISTAS'!$C$36,P309*B309+Y309,IF($A$287='4. LISTAS'!$C$37,P309*B309,"Erro")))</f>
        <v>0</v>
      </c>
      <c r="AB309" s="294">
        <f>IF($A$163='4. LISTAS'!$C$35,IF(V309="sim",AA309,AA309-X309),IF($A$163='4. LISTAS'!$C$36,IF(V309="Sim",AA309-X309,AA309-X309-Y309),IF($A$163='4. LISTAS'!$C$37,AA309,"erro")))</f>
        <v>0</v>
      </c>
      <c r="AC309" s="313">
        <f t="shared" si="127"/>
        <v>0.30349999999999999</v>
      </c>
      <c r="AD309" s="294">
        <f t="shared" si="124"/>
        <v>0</v>
      </c>
      <c r="AE309" s="312">
        <f t="shared" si="125"/>
        <v>0</v>
      </c>
      <c r="AF309" s="312">
        <f t="shared" si="126"/>
        <v>0</v>
      </c>
      <c r="AG309" s="311">
        <f>'4. LISTAS'!$M$6</f>
        <v>5.9299999999999999E-2</v>
      </c>
      <c r="AH309" s="310">
        <f>'4. LISTAS'!$M$5</f>
        <v>0.17</v>
      </c>
    </row>
    <row r="310" spans="1:34" x14ac:dyDescent="0.2">
      <c r="A310" s="323" t="s">
        <v>459</v>
      </c>
      <c r="B310" s="323">
        <v>1</v>
      </c>
      <c r="C310" s="321"/>
      <c r="D310" s="321"/>
      <c r="E310" s="321"/>
      <c r="F310" s="306">
        <f t="shared" si="119"/>
        <v>0</v>
      </c>
      <c r="G310" s="305">
        <f>IF($A$287='4. LISTAS'!$C$35,IF(V310="sim",AD310/(1-AG310),AD310/(1-AG310-(H310*(1+J310)))),IF($A$287='4. LISTAS'!$C$36,(AD310/(1-AG310-(H310*(1+J310)))),IF($A$287='4. LISTAS'!$C$37,(AB310/(1-AC310-AH310)),"Erro")))</f>
        <v>0</v>
      </c>
      <c r="H310" s="320">
        <f>IF(OR($A$287='4. LISTAS'!$C$35, $A$287='4. LISTAS'!$C$36),(VLOOKUP('1.DASHBOARD'!$B$8,'4. LISTAS'!$F$2:$G$11,2,FALSE)),0)</f>
        <v>0.18</v>
      </c>
      <c r="I310" s="305">
        <f t="shared" si="116"/>
        <v>0</v>
      </c>
      <c r="J310" s="319">
        <f>VLOOKUP($A$287,'4. LISTAS'!$C$35:$F$37,4,0)</f>
        <v>0.1125</v>
      </c>
      <c r="K310" s="305">
        <f t="shared" si="117"/>
        <v>0</v>
      </c>
      <c r="L310" s="305">
        <f t="shared" si="118"/>
        <v>0</v>
      </c>
      <c r="M310" s="318"/>
      <c r="N310" s="296"/>
      <c r="O310" s="317"/>
      <c r="P310" s="317"/>
      <c r="Q310" s="320">
        <v>0.04</v>
      </c>
      <c r="R310" s="320">
        <v>0.15</v>
      </c>
      <c r="S310" s="320">
        <v>0</v>
      </c>
      <c r="T310" s="305"/>
      <c r="U310" s="316" t="str">
        <f t="shared" si="120"/>
        <v>Não</v>
      </c>
      <c r="V310" s="315" t="s">
        <v>454</v>
      </c>
      <c r="W310" s="296"/>
      <c r="X310" s="314">
        <f t="shared" si="121"/>
        <v>0</v>
      </c>
      <c r="Y310" s="312">
        <f t="shared" si="122"/>
        <v>0</v>
      </c>
      <c r="Z310" s="312">
        <f t="shared" si="123"/>
        <v>0</v>
      </c>
      <c r="AA310" s="294">
        <f>IF($A$287='4. LISTAS'!$C$35,(P310*B310+T310+Y310+Z310),IF($A$287='4. LISTAS'!$C$36,P310*B310+Y310,IF($A$287='4. LISTAS'!$C$37,P310*B310,"Erro")))</f>
        <v>0</v>
      </c>
      <c r="AB310" s="294">
        <f>IF($A$163='4. LISTAS'!$C$35,IF(V310="sim",AA310,AA310-X310),IF($A$163='4. LISTAS'!$C$36,IF(V310="Sim",AA310-X310,AA310-X310-Y310),IF($A$163='4. LISTAS'!$C$37,AA310,"erro")))</f>
        <v>0</v>
      </c>
      <c r="AC310" s="313">
        <f t="shared" si="127"/>
        <v>0.30349999999999999</v>
      </c>
      <c r="AD310" s="294">
        <f t="shared" si="124"/>
        <v>0</v>
      </c>
      <c r="AE310" s="312">
        <f t="shared" si="125"/>
        <v>0</v>
      </c>
      <c r="AF310" s="312">
        <f t="shared" si="126"/>
        <v>0</v>
      </c>
      <c r="AG310" s="311">
        <f>'4. LISTAS'!$M$6</f>
        <v>5.9299999999999999E-2</v>
      </c>
      <c r="AH310" s="310">
        <f>'4. LISTAS'!$M$5</f>
        <v>0.17</v>
      </c>
    </row>
    <row r="311" spans="1:34" x14ac:dyDescent="0.2">
      <c r="A311" s="323" t="s">
        <v>458</v>
      </c>
      <c r="B311" s="322">
        <f>B280</f>
        <v>0</v>
      </c>
      <c r="C311" s="321"/>
      <c r="D311" s="321" t="str">
        <f>D280</f>
        <v>Gestão + Compras</v>
      </c>
      <c r="E311" s="321"/>
      <c r="F311" s="306">
        <f>IF(B311&lt;&gt;0,G311/B311,0)</f>
        <v>0</v>
      </c>
      <c r="G311" s="305">
        <f>IF($A$287='4. LISTAS'!$C$35,IF(V311="sim",AD311/(1-AG311),AD311/(1-AG311-(H311*(1+J311)))),IF($A$287='4. LISTAS'!$C$36,(AD311/(1-AG311-(H311*(1+J311)))),IF($A$287='4. LISTAS'!$C$37,(AB311/(1-AC311-AH311)),"Erro")))</f>
        <v>0</v>
      </c>
      <c r="H311" s="320">
        <f>IF(OR($A$287='4. LISTAS'!$C$35, $A$287='4. LISTAS'!$C$36),(VLOOKUP('1.DASHBOARD'!$B$8,'4. LISTAS'!$F$2:$G$11,2,FALSE)),0)</f>
        <v>0.18</v>
      </c>
      <c r="I311" s="305">
        <f t="shared" si="116"/>
        <v>0</v>
      </c>
      <c r="J311" s="319">
        <f>VLOOKUP($A$287,'4. LISTAS'!$C$35:$F$37,4,0)</f>
        <v>0.1125</v>
      </c>
      <c r="K311" s="305">
        <f t="shared" si="117"/>
        <v>0</v>
      </c>
      <c r="L311" s="305">
        <f t="shared" si="118"/>
        <v>0</v>
      </c>
      <c r="M311" s="318"/>
      <c r="N311" s="296"/>
      <c r="O311" s="317"/>
      <c r="P311" s="317">
        <f t="shared" ref="P311:S314" si="128">P280</f>
        <v>355.22537921211438</v>
      </c>
      <c r="Q311" s="306">
        <f t="shared" si="128"/>
        <v>0</v>
      </c>
      <c r="R311" s="306">
        <f t="shared" si="128"/>
        <v>0</v>
      </c>
      <c r="S311" s="306">
        <f t="shared" si="128"/>
        <v>0</v>
      </c>
      <c r="T311" s="305"/>
      <c r="U311" s="316" t="str">
        <f t="shared" si="120"/>
        <v>Não</v>
      </c>
      <c r="V311" s="315" t="s">
        <v>454</v>
      </c>
      <c r="W311" s="296"/>
      <c r="X311" s="314">
        <f t="shared" si="121"/>
        <v>0</v>
      </c>
      <c r="Y311" s="312">
        <f t="shared" si="122"/>
        <v>0</v>
      </c>
      <c r="Z311" s="312">
        <f t="shared" si="123"/>
        <v>0</v>
      </c>
      <c r="AA311" s="294">
        <f>IF($A$287='4. LISTAS'!$C$35,(P311*B311+T311+Y311+Z311),IF($A$287='4. LISTAS'!$C$36,P311*B311+Y311,IF($A$287='4. LISTAS'!$C$37,P311*B311,"Erro")))</f>
        <v>0</v>
      </c>
      <c r="AB311" s="294">
        <f>IF($A$163='4. LISTAS'!$C$35,IF(V311="sim",AA311,AA311-X311),IF($A$163='4. LISTAS'!$C$36,IF(V311="Sim",AA311-X311,AA311-X311-Y311),IF($A$163='4. LISTAS'!$C$37,AA311,"erro")))</f>
        <v>0</v>
      </c>
      <c r="AC311" s="313">
        <f>'1.DASHBOARD'!$B$11</f>
        <v>0.25</v>
      </c>
      <c r="AD311" s="294">
        <f t="shared" si="124"/>
        <v>0</v>
      </c>
      <c r="AE311" s="312">
        <f t="shared" si="125"/>
        <v>0</v>
      </c>
      <c r="AF311" s="312">
        <f t="shared" si="126"/>
        <v>0</v>
      </c>
      <c r="AG311" s="311">
        <f>'4. LISTAS'!$M$6</f>
        <v>5.9299999999999999E-2</v>
      </c>
      <c r="AH311" s="310">
        <f>'4. LISTAS'!$M$5</f>
        <v>0.17</v>
      </c>
    </row>
    <row r="312" spans="1:34" x14ac:dyDescent="0.2">
      <c r="A312" s="323" t="s">
        <v>457</v>
      </c>
      <c r="B312" s="322">
        <f>B281</f>
        <v>0</v>
      </c>
      <c r="C312" s="321"/>
      <c r="D312" s="321" t="str">
        <f>D281</f>
        <v>Projeto</v>
      </c>
      <c r="E312" s="321"/>
      <c r="F312" s="306">
        <f>IF(B311&lt;&gt;0,G312/B312,0)</f>
        <v>0</v>
      </c>
      <c r="G312" s="305">
        <f>IF($A$287='4. LISTAS'!$C$35,IF(V312="sim",AD312/(1-AG312),AD312/(1-AG312-(H312*(1+J312)))),IF($A$287='4. LISTAS'!$C$36,(AD312/(1-AG312-(H312*(1+J312)))),IF($A$287='4. LISTAS'!$C$37,(AB312/(1-AC312-AH312)),"Erro")))</f>
        <v>0</v>
      </c>
      <c r="H312" s="320">
        <f>IF(OR($A$287='4. LISTAS'!$C$35, $A$287='4. LISTAS'!$C$36),(VLOOKUP('1.DASHBOARD'!$B$8,'4. LISTAS'!$F$2:$G$11,2,FALSE)),0)</f>
        <v>0.18</v>
      </c>
      <c r="I312" s="305">
        <f t="shared" si="116"/>
        <v>0</v>
      </c>
      <c r="J312" s="319">
        <f>VLOOKUP($A$287,'4. LISTAS'!$C$35:$F$37,4,0)</f>
        <v>0.1125</v>
      </c>
      <c r="K312" s="305">
        <f t="shared" si="117"/>
        <v>0</v>
      </c>
      <c r="L312" s="305">
        <f t="shared" si="118"/>
        <v>0</v>
      </c>
      <c r="M312" s="318"/>
      <c r="N312" s="296"/>
      <c r="O312" s="317"/>
      <c r="P312" s="317">
        <f t="shared" si="128"/>
        <v>37.149026125714286</v>
      </c>
      <c r="Q312" s="306">
        <f t="shared" si="128"/>
        <v>0</v>
      </c>
      <c r="R312" s="306">
        <f t="shared" si="128"/>
        <v>0</v>
      </c>
      <c r="S312" s="306">
        <f t="shared" si="128"/>
        <v>0</v>
      </c>
      <c r="T312" s="305"/>
      <c r="U312" s="316" t="str">
        <f t="shared" si="120"/>
        <v>Não</v>
      </c>
      <c r="V312" s="315" t="s">
        <v>454</v>
      </c>
      <c r="W312" s="296"/>
      <c r="X312" s="314">
        <f t="shared" si="121"/>
        <v>0</v>
      </c>
      <c r="Y312" s="312">
        <f t="shared" si="122"/>
        <v>0</v>
      </c>
      <c r="Z312" s="312">
        <f t="shared" si="123"/>
        <v>0</v>
      </c>
      <c r="AA312" s="294">
        <f>IF($A$287='4. LISTAS'!$C$35,(P312*B312+T312+Y312+Z312),IF($A$287='4. LISTAS'!$C$36,P312*B312+Y312,IF($A$287='4. LISTAS'!$C$37,P312*B312,"Erro")))</f>
        <v>0</v>
      </c>
      <c r="AB312" s="294">
        <f>IF($A$163='4. LISTAS'!$C$35,IF(V312="sim",AA312,AA312-X312),IF($A$163='4. LISTAS'!$C$36,IF(V312="Sim",AA312-X312,AA312-X312-Y312),IF($A$163='4. LISTAS'!$C$37,AA312,"erro")))</f>
        <v>0</v>
      </c>
      <c r="AC312" s="313">
        <f>'1.DASHBOARD'!$B$11</f>
        <v>0.25</v>
      </c>
      <c r="AD312" s="294">
        <f t="shared" si="124"/>
        <v>0</v>
      </c>
      <c r="AE312" s="312">
        <f t="shared" si="125"/>
        <v>0</v>
      </c>
      <c r="AF312" s="312">
        <f t="shared" si="126"/>
        <v>0</v>
      </c>
      <c r="AG312" s="311">
        <f>'4. LISTAS'!$M$6</f>
        <v>5.9299999999999999E-2</v>
      </c>
      <c r="AH312" s="310">
        <f>'4. LISTAS'!$M$5</f>
        <v>0.17</v>
      </c>
    </row>
    <row r="313" spans="1:34" x14ac:dyDescent="0.2">
      <c r="A313" s="323" t="s">
        <v>456</v>
      </c>
      <c r="B313" s="322">
        <f>B282</f>
        <v>0</v>
      </c>
      <c r="C313" s="321"/>
      <c r="D313" s="321" t="str">
        <f>D282</f>
        <v>Testes</v>
      </c>
      <c r="E313" s="321"/>
      <c r="F313" s="306">
        <f>IF(B311&lt;&gt;0,G313/B313,0)</f>
        <v>0</v>
      </c>
      <c r="G313" s="305">
        <f>IF($A$287='4. LISTAS'!$C$35,IF(V313="sim",AD313/(1-AG313),AD313/(1-AG313-(H313*(1+J313)))),IF($A$287='4. LISTAS'!$C$36,(AD313/(1-AG313-(H313*(1+J313)))),IF($A$287='4. LISTAS'!$C$37,(AB313/(1-AC313-AH313)),"Erro")))</f>
        <v>0</v>
      </c>
      <c r="H313" s="320">
        <f>IF(OR($A$287='4. LISTAS'!$C$35, $A$287='4. LISTAS'!$C$36),(VLOOKUP('1.DASHBOARD'!$B$8,'4. LISTAS'!$F$2:$G$11,2,FALSE)),0)</f>
        <v>0.18</v>
      </c>
      <c r="I313" s="305">
        <f t="shared" si="116"/>
        <v>0</v>
      </c>
      <c r="J313" s="319">
        <f>VLOOKUP($A$287,'4. LISTAS'!$C$35:$F$37,4,0)</f>
        <v>0.1125</v>
      </c>
      <c r="K313" s="305">
        <f t="shared" si="117"/>
        <v>0</v>
      </c>
      <c r="L313" s="305">
        <f t="shared" si="118"/>
        <v>0</v>
      </c>
      <c r="M313" s="318"/>
      <c r="N313" s="296"/>
      <c r="O313" s="317"/>
      <c r="P313" s="317">
        <f t="shared" si="128"/>
        <v>129.56768445553286</v>
      </c>
      <c r="Q313" s="306">
        <f t="shared" si="128"/>
        <v>0</v>
      </c>
      <c r="R313" s="306">
        <f t="shared" si="128"/>
        <v>0</v>
      </c>
      <c r="S313" s="306">
        <f t="shared" si="128"/>
        <v>0</v>
      </c>
      <c r="T313" s="305"/>
      <c r="U313" s="316" t="str">
        <f t="shared" si="120"/>
        <v>Não</v>
      </c>
      <c r="V313" s="315" t="s">
        <v>454</v>
      </c>
      <c r="W313" s="296"/>
      <c r="X313" s="314">
        <f t="shared" si="121"/>
        <v>0</v>
      </c>
      <c r="Y313" s="312">
        <f t="shared" si="122"/>
        <v>0</v>
      </c>
      <c r="Z313" s="312">
        <f t="shared" si="123"/>
        <v>0</v>
      </c>
      <c r="AA313" s="294">
        <f>IF($A$287='4. LISTAS'!$C$35,(P313*B313+T313+Y313+Z313),IF($A$287='4. LISTAS'!$C$36,P313*B313+Y313,IF($A$287='4. LISTAS'!$C$37,P313*B313,"Erro")))</f>
        <v>0</v>
      </c>
      <c r="AB313" s="294">
        <f>IF($A$163='4. LISTAS'!$C$35,IF(V313="sim",AA313,AA313-X313),IF($A$163='4. LISTAS'!$C$36,IF(V313="Sim",AA313-X313,AA313-X313-Y313),IF($A$163='4. LISTAS'!$C$37,AA313,"erro")))</f>
        <v>0</v>
      </c>
      <c r="AC313" s="313">
        <f>'1.DASHBOARD'!$B$11</f>
        <v>0.25</v>
      </c>
      <c r="AD313" s="294">
        <f t="shared" si="124"/>
        <v>0</v>
      </c>
      <c r="AE313" s="312">
        <f t="shared" si="125"/>
        <v>0</v>
      </c>
      <c r="AF313" s="312">
        <f t="shared" si="126"/>
        <v>0</v>
      </c>
      <c r="AG313" s="311">
        <f>'4. LISTAS'!$M$6</f>
        <v>5.9299999999999999E-2</v>
      </c>
      <c r="AH313" s="310">
        <f>'4. LISTAS'!$M$5</f>
        <v>0.17</v>
      </c>
    </row>
    <row r="314" spans="1:34" x14ac:dyDescent="0.2">
      <c r="A314" s="309" t="s">
        <v>455</v>
      </c>
      <c r="B314" s="308">
        <f>B283</f>
        <v>0</v>
      </c>
      <c r="C314" s="307"/>
      <c r="D314" s="307" t="str">
        <f>D283</f>
        <v>Frete</v>
      </c>
      <c r="E314" s="307"/>
      <c r="F314" s="306">
        <f>IF(B311&lt;&gt;0,G314/B314,0)</f>
        <v>0</v>
      </c>
      <c r="G314" s="305">
        <f>IF($A$287='4. LISTAS'!$C$35,IF(V314="sim",AD314/(1-AG314),AD314/(1-AG314-(H314*(1+J314)))),IF($A$287='4. LISTAS'!$C$36,(AD314/(1-AG314-(H314*(1+J314)))),IF($A$287='4. LISTAS'!$C$37,(AB314/(1-AC314-AH314)),"Erro")))</f>
        <v>0</v>
      </c>
      <c r="H314" s="304">
        <f>IF(OR($A$287='4. LISTAS'!$C$35, $A$287='4. LISTAS'!$C$36),(VLOOKUP('1.DASHBOARD'!$B$8,'4. LISTAS'!$F$2:$G$11,2,FALSE)),0)</f>
        <v>0.18</v>
      </c>
      <c r="I314" s="299">
        <f t="shared" si="116"/>
        <v>0</v>
      </c>
      <c r="J314" s="303">
        <f>VLOOKUP($A$287,'4. LISTAS'!$C$35:$F$37,4,0)</f>
        <v>0.1125</v>
      </c>
      <c r="K314" s="299">
        <f t="shared" si="117"/>
        <v>0</v>
      </c>
      <c r="L314" s="299">
        <f t="shared" si="118"/>
        <v>0</v>
      </c>
      <c r="M314" s="302"/>
      <c r="N314" s="296"/>
      <c r="O314" s="301"/>
      <c r="P314" s="301">
        <f t="shared" si="128"/>
        <v>300</v>
      </c>
      <c r="Q314" s="300">
        <f t="shared" si="128"/>
        <v>0</v>
      </c>
      <c r="R314" s="300">
        <f t="shared" si="128"/>
        <v>0</v>
      </c>
      <c r="S314" s="300">
        <f t="shared" si="128"/>
        <v>0</v>
      </c>
      <c r="T314" s="299"/>
      <c r="U314" s="298" t="str">
        <f t="shared" si="120"/>
        <v>Não</v>
      </c>
      <c r="V314" s="297" t="s">
        <v>454</v>
      </c>
      <c r="W314" s="296"/>
      <c r="X314" s="295">
        <f t="shared" si="121"/>
        <v>0</v>
      </c>
      <c r="Y314" s="291">
        <f t="shared" si="122"/>
        <v>0</v>
      </c>
      <c r="Z314" s="291">
        <f t="shared" si="123"/>
        <v>0</v>
      </c>
      <c r="AA314" s="294">
        <f>IF($A$287='4. LISTAS'!$C$35,(P314*B314+T314+Y314+Z314),IF($A$287='4. LISTAS'!$C$36,P314*B314+Y314,IF($A$287='4. LISTAS'!$C$37,P314*B314,"Erro")))</f>
        <v>0</v>
      </c>
      <c r="AB314" s="294">
        <f>IF($A$163='4. LISTAS'!$C$35,IF(V314="sim",AA314,AA314-X314),IF($A$163='4. LISTAS'!$C$36,IF(V314="Sim",AA314-X314,AA314-X314-Y314),IF($A$163='4. LISTAS'!$C$37,AA314,"erro")))</f>
        <v>0</v>
      </c>
      <c r="AC314" s="293"/>
      <c r="AD314" s="292">
        <f t="shared" si="124"/>
        <v>0</v>
      </c>
      <c r="AE314" s="291">
        <f t="shared" si="125"/>
        <v>0</v>
      </c>
      <c r="AF314" s="291">
        <f t="shared" si="126"/>
        <v>0</v>
      </c>
      <c r="AG314" s="290">
        <f>'4. LISTAS'!$M$6</f>
        <v>5.9299999999999999E-2</v>
      </c>
      <c r="AH314" s="289">
        <f>'4. LISTAS'!$M$5</f>
        <v>0.17</v>
      </c>
    </row>
    <row r="315" spans="1:34" x14ac:dyDescent="0.2">
      <c r="A315" s="288" t="s">
        <v>453</v>
      </c>
      <c r="B315" s="288"/>
      <c r="C315" s="286"/>
      <c r="D315" s="287"/>
      <c r="E315" s="286"/>
      <c r="F315" s="285"/>
      <c r="G315" s="282">
        <f>SUM(G291:G314)</f>
        <v>0</v>
      </c>
      <c r="H315" s="284" t="s">
        <v>319</v>
      </c>
      <c r="I315" s="282">
        <f>SUBTOTAL(9,I291:I314)</f>
        <v>0</v>
      </c>
      <c r="J315" s="283" t="s">
        <v>319</v>
      </c>
      <c r="K315" s="282">
        <f>SUM(K291:K314)</f>
        <v>0</v>
      </c>
      <c r="L315" s="282">
        <f>SUM(L291:L314)</f>
        <v>0</v>
      </c>
      <c r="M315" s="281"/>
      <c r="N315" s="279"/>
      <c r="O315" s="280"/>
      <c r="P315" s="280"/>
      <c r="Q315" s="277"/>
      <c r="R315" s="277"/>
      <c r="S315" s="277"/>
      <c r="T315" s="278"/>
      <c r="U315" s="277"/>
      <c r="V315" s="277"/>
      <c r="W315" s="279"/>
      <c r="X315" s="278">
        <f t="shared" si="121"/>
        <v>0</v>
      </c>
      <c r="Y315" s="278">
        <f t="shared" si="122"/>
        <v>0</v>
      </c>
      <c r="Z315" s="278">
        <f t="shared" si="123"/>
        <v>0</v>
      </c>
      <c r="AA315" s="277"/>
      <c r="AB315" s="277"/>
      <c r="AC315" s="277"/>
      <c r="AD315" s="277"/>
      <c r="AE315" s="277"/>
      <c r="AF315" s="277"/>
      <c r="AG315" s="277"/>
      <c r="AH315" s="277"/>
    </row>
  </sheetData>
  <mergeCells count="281">
    <mergeCell ref="O71:O72"/>
    <mergeCell ref="P133:P134"/>
    <mergeCell ref="O102:O103"/>
    <mergeCell ref="O133:O134"/>
    <mergeCell ref="U164:U165"/>
    <mergeCell ref="V164:V165"/>
    <mergeCell ref="AA164:AA165"/>
    <mergeCell ref="AB164:AB165"/>
    <mergeCell ref="T102:T103"/>
    <mergeCell ref="T133:T134"/>
    <mergeCell ref="M164:M165"/>
    <mergeCell ref="A70:C70"/>
    <mergeCell ref="A71:A72"/>
    <mergeCell ref="B71:B72"/>
    <mergeCell ref="C71:C72"/>
    <mergeCell ref="D71:D72"/>
    <mergeCell ref="E71:E72"/>
    <mergeCell ref="L71:L72"/>
    <mergeCell ref="F71:F72"/>
    <mergeCell ref="G71:G72"/>
    <mergeCell ref="H71:I71"/>
    <mergeCell ref="AF71:AF72"/>
    <mergeCell ref="AG71:AG72"/>
    <mergeCell ref="U133:U134"/>
    <mergeCell ref="V133:V134"/>
    <mergeCell ref="AF102:AF103"/>
    <mergeCell ref="AG102:AG103"/>
    <mergeCell ref="AC71:AC72"/>
    <mergeCell ref="AD71:AD72"/>
    <mergeCell ref="AE71:AE72"/>
    <mergeCell ref="AF133:AF134"/>
    <mergeCell ref="AG133:AG134"/>
    <mergeCell ref="AD102:AD103"/>
    <mergeCell ref="AE102:AE103"/>
    <mergeCell ref="AC133:AC134"/>
    <mergeCell ref="AD133:AD134"/>
    <mergeCell ref="AE133:AE134"/>
    <mergeCell ref="U71:U72"/>
    <mergeCell ref="AB102:AB103"/>
    <mergeCell ref="U102:U103"/>
    <mergeCell ref="V102:V103"/>
    <mergeCell ref="AA102:AA103"/>
    <mergeCell ref="AC102:AC103"/>
    <mergeCell ref="AA133:AA134"/>
    <mergeCell ref="AB133:AB134"/>
    <mergeCell ref="AG9:AG10"/>
    <mergeCell ref="T9:T10"/>
    <mergeCell ref="AF40:AF41"/>
    <mergeCell ref="O9:O10"/>
    <mergeCell ref="O40:O41"/>
    <mergeCell ref="A39:C39"/>
    <mergeCell ref="A40:A41"/>
    <mergeCell ref="B40:B41"/>
    <mergeCell ref="C40:C41"/>
    <mergeCell ref="D40:D41"/>
    <mergeCell ref="E40:E41"/>
    <mergeCell ref="F40:F41"/>
    <mergeCell ref="AF9:AF10"/>
    <mergeCell ref="A9:A10"/>
    <mergeCell ref="AE9:AE10"/>
    <mergeCell ref="C9:C10"/>
    <mergeCell ref="J40:K40"/>
    <mergeCell ref="L40:L41"/>
    <mergeCell ref="AB9:AB10"/>
    <mergeCell ref="AC9:AC10"/>
    <mergeCell ref="AD9:AD10"/>
    <mergeCell ref="M40:M41"/>
    <mergeCell ref="AB40:AB41"/>
    <mergeCell ref="D9:D10"/>
    <mergeCell ref="A8:C8"/>
    <mergeCell ref="M9:M10"/>
    <mergeCell ref="L9:L10"/>
    <mergeCell ref="H9:I9"/>
    <mergeCell ref="J9:K9"/>
    <mergeCell ref="P164:P165"/>
    <mergeCell ref="T164:T165"/>
    <mergeCell ref="P71:P72"/>
    <mergeCell ref="O164:O165"/>
    <mergeCell ref="C133:C134"/>
    <mergeCell ref="D133:D134"/>
    <mergeCell ref="E133:E134"/>
    <mergeCell ref="E102:E103"/>
    <mergeCell ref="A132:C132"/>
    <mergeCell ref="M71:M72"/>
    <mergeCell ref="M102:M103"/>
    <mergeCell ref="M133:M134"/>
    <mergeCell ref="F102:F103"/>
    <mergeCell ref="G102:G103"/>
    <mergeCell ref="H133:I133"/>
    <mergeCell ref="F133:F134"/>
    <mergeCell ref="J133:K133"/>
    <mergeCell ref="L133:L134"/>
    <mergeCell ref="J71:K71"/>
    <mergeCell ref="AA40:AA41"/>
    <mergeCell ref="U40:U41"/>
    <mergeCell ref="V40:V41"/>
    <mergeCell ref="V71:V72"/>
    <mergeCell ref="AA71:AA72"/>
    <mergeCell ref="P40:P41"/>
    <mergeCell ref="P9:P10"/>
    <mergeCell ref="U9:U10"/>
    <mergeCell ref="V9:V10"/>
    <mergeCell ref="AD40:AD41"/>
    <mergeCell ref="AE40:AE41"/>
    <mergeCell ref="AB71:AB72"/>
    <mergeCell ref="T71:T72"/>
    <mergeCell ref="T40:T41"/>
    <mergeCell ref="AC40:AC41"/>
    <mergeCell ref="AK9:AK10"/>
    <mergeCell ref="AL9:AL10"/>
    <mergeCell ref="A194:C194"/>
    <mergeCell ref="AJ9:AJ10"/>
    <mergeCell ref="AH9:AH10"/>
    <mergeCell ref="AL164:AL165"/>
    <mergeCell ref="AA9:AA10"/>
    <mergeCell ref="G40:G41"/>
    <mergeCell ref="H40:I40"/>
    <mergeCell ref="H102:I102"/>
    <mergeCell ref="J102:K102"/>
    <mergeCell ref="L102:L103"/>
    <mergeCell ref="F164:F165"/>
    <mergeCell ref="G164:G165"/>
    <mergeCell ref="H164:I164"/>
    <mergeCell ref="J164:K164"/>
    <mergeCell ref="L164:L165"/>
    <mergeCell ref="G133:G134"/>
    <mergeCell ref="E195:E196"/>
    <mergeCell ref="F195:F196"/>
    <mergeCell ref="G195:G196"/>
    <mergeCell ref="B9:B10"/>
    <mergeCell ref="G9:G10"/>
    <mergeCell ref="E9:E10"/>
    <mergeCell ref="F9:F10"/>
    <mergeCell ref="A163:C163"/>
    <mergeCell ref="A164:A165"/>
    <mergeCell ref="B164:B165"/>
    <mergeCell ref="C164:C165"/>
    <mergeCell ref="D164:D165"/>
    <mergeCell ref="E164:E165"/>
    <mergeCell ref="A101:C101"/>
    <mergeCell ref="A102:A103"/>
    <mergeCell ref="B102:B103"/>
    <mergeCell ref="C102:C103"/>
    <mergeCell ref="D102:D103"/>
    <mergeCell ref="A133:A134"/>
    <mergeCell ref="B133:B134"/>
    <mergeCell ref="AD257:AD258"/>
    <mergeCell ref="AD226:AD227"/>
    <mergeCell ref="AB226:AB227"/>
    <mergeCell ref="AB195:AB196"/>
    <mergeCell ref="AC195:AC196"/>
    <mergeCell ref="AB257:AB258"/>
    <mergeCell ref="AD195:AD196"/>
    <mergeCell ref="H195:I195"/>
    <mergeCell ref="J195:K195"/>
    <mergeCell ref="L195:L196"/>
    <mergeCell ref="M195:M196"/>
    <mergeCell ref="AA257:AA258"/>
    <mergeCell ref="AA226:AA227"/>
    <mergeCell ref="O195:O196"/>
    <mergeCell ref="P195:P196"/>
    <mergeCell ref="T195:T196"/>
    <mergeCell ref="U195:U196"/>
    <mergeCell ref="V195:V196"/>
    <mergeCell ref="AA195:AA196"/>
    <mergeCell ref="AG40:AG41"/>
    <mergeCell ref="P102:P103"/>
    <mergeCell ref="A225:C225"/>
    <mergeCell ref="A226:A227"/>
    <mergeCell ref="B226:B227"/>
    <mergeCell ref="C226:C227"/>
    <mergeCell ref="D226:D227"/>
    <mergeCell ref="E226:E227"/>
    <mergeCell ref="F226:F227"/>
    <mergeCell ref="G226:G227"/>
    <mergeCell ref="H226:I226"/>
    <mergeCell ref="AG226:AG227"/>
    <mergeCell ref="AD164:AD165"/>
    <mergeCell ref="AE195:AE196"/>
    <mergeCell ref="AF195:AF196"/>
    <mergeCell ref="AG195:AG196"/>
    <mergeCell ref="AC164:AC165"/>
    <mergeCell ref="AF164:AF165"/>
    <mergeCell ref="AG164:AG165"/>
    <mergeCell ref="AE164:AE165"/>
    <mergeCell ref="A195:A196"/>
    <mergeCell ref="B195:B196"/>
    <mergeCell ref="C195:C196"/>
    <mergeCell ref="D195:D196"/>
    <mergeCell ref="A1:F5"/>
    <mergeCell ref="J288:K288"/>
    <mergeCell ref="L288:L289"/>
    <mergeCell ref="E288:E289"/>
    <mergeCell ref="F288:F289"/>
    <mergeCell ref="G288:G289"/>
    <mergeCell ref="H288:I288"/>
    <mergeCell ref="V226:V227"/>
    <mergeCell ref="J257:K257"/>
    <mergeCell ref="L257:L258"/>
    <mergeCell ref="M257:M258"/>
    <mergeCell ref="O257:O258"/>
    <mergeCell ref="P257:P258"/>
    <mergeCell ref="T257:T258"/>
    <mergeCell ref="J226:K226"/>
    <mergeCell ref="L226:L227"/>
    <mergeCell ref="M226:M227"/>
    <mergeCell ref="O226:O227"/>
    <mergeCell ref="P226:P227"/>
    <mergeCell ref="T226:T227"/>
    <mergeCell ref="U257:U258"/>
    <mergeCell ref="V257:V258"/>
    <mergeCell ref="V288:V289"/>
    <mergeCell ref="A256:C256"/>
    <mergeCell ref="AL40:AL41"/>
    <mergeCell ref="AJ71:AJ72"/>
    <mergeCell ref="AK71:AK72"/>
    <mergeCell ref="AL71:AL72"/>
    <mergeCell ref="AH40:AH41"/>
    <mergeCell ref="AA288:AA289"/>
    <mergeCell ref="M288:M289"/>
    <mergeCell ref="O288:O289"/>
    <mergeCell ref="A287:C287"/>
    <mergeCell ref="A288:A289"/>
    <mergeCell ref="B288:B289"/>
    <mergeCell ref="C288:C289"/>
    <mergeCell ref="D288:D289"/>
    <mergeCell ref="A257:A258"/>
    <mergeCell ref="B257:B258"/>
    <mergeCell ref="C257:C258"/>
    <mergeCell ref="D257:D258"/>
    <mergeCell ref="E257:E258"/>
    <mergeCell ref="F257:F258"/>
    <mergeCell ref="U226:U227"/>
    <mergeCell ref="AC226:AC227"/>
    <mergeCell ref="AC257:AC258"/>
    <mergeCell ref="G257:G258"/>
    <mergeCell ref="H257:I257"/>
    <mergeCell ref="AJ40:AJ41"/>
    <mergeCell ref="AH257:AH258"/>
    <mergeCell ref="AK40:AK41"/>
    <mergeCell ref="AJ164:AJ165"/>
    <mergeCell ref="AK164:AK165"/>
    <mergeCell ref="AH195:AH196"/>
    <mergeCell ref="AH133:AH134"/>
    <mergeCell ref="AK257:AK258"/>
    <mergeCell ref="AJ288:AJ289"/>
    <mergeCell ref="AK288:AK289"/>
    <mergeCell ref="AH226:AH227"/>
    <mergeCell ref="AH164:AH165"/>
    <mergeCell ref="AH71:AH72"/>
    <mergeCell ref="AH102:AH103"/>
    <mergeCell ref="AB288:AB289"/>
    <mergeCell ref="AC288:AC289"/>
    <mergeCell ref="P288:P289"/>
    <mergeCell ref="T288:T289"/>
    <mergeCell ref="U288:U289"/>
    <mergeCell ref="AD288:AD289"/>
    <mergeCell ref="AE288:AE289"/>
    <mergeCell ref="AF288:AF289"/>
    <mergeCell ref="AG288:AG289"/>
    <mergeCell ref="AE257:AE258"/>
    <mergeCell ref="AF257:AF258"/>
    <mergeCell ref="AG257:AG258"/>
    <mergeCell ref="AL288:AL289"/>
    <mergeCell ref="AL257:AL258"/>
    <mergeCell ref="AL133:AL134"/>
    <mergeCell ref="AJ102:AJ103"/>
    <mergeCell ref="AK102:AK103"/>
    <mergeCell ref="AL102:AL103"/>
    <mergeCell ref="AJ133:AJ134"/>
    <mergeCell ref="AK133:AK134"/>
    <mergeCell ref="AE226:AE227"/>
    <mergeCell ref="AF226:AF227"/>
    <mergeCell ref="AJ195:AJ196"/>
    <mergeCell ref="AK195:AK196"/>
    <mergeCell ref="AL195:AL196"/>
    <mergeCell ref="AJ226:AJ227"/>
    <mergeCell ref="AK226:AK227"/>
    <mergeCell ref="AL226:AL227"/>
    <mergeCell ref="AJ257:AJ258"/>
    <mergeCell ref="AH288:AH289"/>
  </mergeCells>
  <pageMargins left="0.511811024" right="0.511811024" top="0.78740157499999996" bottom="0.78740157499999996" header="0.31496062000000002" footer="0.31496062000000002"/>
  <pageSetup paperSize="9" orientation="portrait" r:id="rId1"/>
  <legacy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4E13872D-B76D-4336-B624-6F6159E7D329}">
          <x14:formula1>
            <xm:f>'4. LISTAS'!$C$35:$C$39</xm:f>
          </x14:formula1>
          <xm:sqref>A8:C8 A39:C39 A70:C70 A101:C101 A132:C132 A163:C163 A194:C194 A225:C225 A256:C256 A287:C287</xm:sqref>
        </x14:dataValidation>
        <x14:dataValidation type="list" allowBlank="1" showInputMessage="1" showErrorMessage="1" xr:uid="{9E140AC5-8925-4DCF-AD21-07B7100797A9}">
          <x14:formula1>
            <xm:f>'4. LISTAS'!$E$23:$E$24</xm:f>
          </x14:formula1>
          <xm:sqref>U43:V66 U136:V159 U12:V35 U74:V97 U105:V128 U167:V190 U198:V221 U229:V252 U260:V283 U291:V314</xm:sqref>
        </x14:dataValidation>
        <x14:dataValidation type="list" allowBlank="1" showInputMessage="1" showErrorMessage="1" xr:uid="{B0E662E9-D2FF-43A0-850F-6CFFEE525BD4}">
          <x14:formula1>
            <xm:f>'4. LISTAS'!$C$2:$C$33</xm:f>
          </x14:formula1>
          <xm:sqref>AC260:AC283 AC74:AC97 AC105:AC128 AC12:AC35 AC43:AC66 AC136:AC159 AC167:AC190 AC198:AC221 AC229:AC252 AC291:AC314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9C674-E779-4806-89EC-EC53AEB0BDD6}">
  <sheetPr>
    <tabColor theme="4" tint="0.79998168889431442"/>
  </sheetPr>
  <dimension ref="A1:H306"/>
  <sheetViews>
    <sheetView zoomScale="80" zoomScaleNormal="80" workbookViewId="0">
      <pane xSplit="4" ySplit="10" topLeftCell="E232" activePane="bottomRight" state="frozen"/>
      <selection activeCell="H18" sqref="H18"/>
      <selection pane="topRight" activeCell="H18" sqref="H18"/>
      <selection pane="bottomLeft" activeCell="H18" sqref="H18"/>
      <selection pane="bottomRight" activeCell="A307" sqref="A307"/>
    </sheetView>
  </sheetViews>
  <sheetFormatPr defaultColWidth="9.109375" defaultRowHeight="10.199999999999999" x14ac:dyDescent="0.2"/>
  <cols>
    <col min="1" max="2" width="7.44140625" style="276" customWidth="1"/>
    <col min="3" max="3" width="23" style="275" customWidth="1"/>
    <col min="4" max="4" width="55.77734375" style="274" customWidth="1"/>
    <col min="5" max="5" width="13.33203125" style="271" customWidth="1"/>
    <col min="6" max="7" width="15.33203125" style="273" customWidth="1"/>
    <col min="8" max="8" width="15.33203125" style="271" customWidth="1"/>
    <col min="9" max="16384" width="9.109375" style="271"/>
  </cols>
  <sheetData>
    <row r="1" spans="1:8" ht="11.25" customHeight="1" x14ac:dyDescent="0.2">
      <c r="A1" s="660" t="s">
        <v>935</v>
      </c>
      <c r="B1" s="660"/>
      <c r="C1" s="660"/>
      <c r="D1" s="660"/>
      <c r="E1" s="660"/>
    </row>
    <row r="2" spans="1:8" ht="11.25" customHeight="1" x14ac:dyDescent="0.2">
      <c r="A2" s="660"/>
      <c r="B2" s="660"/>
      <c r="C2" s="660"/>
      <c r="D2" s="660"/>
      <c r="E2" s="660"/>
    </row>
    <row r="3" spans="1:8" ht="11.25" customHeight="1" x14ac:dyDescent="0.2">
      <c r="A3" s="660"/>
      <c r="B3" s="660"/>
      <c r="C3" s="660"/>
      <c r="D3" s="660"/>
      <c r="E3" s="660"/>
    </row>
    <row r="4" spans="1:8" ht="11.25" customHeight="1" x14ac:dyDescent="0.2">
      <c r="A4" s="660"/>
      <c r="B4" s="660"/>
      <c r="C4" s="660"/>
      <c r="D4" s="660"/>
      <c r="E4" s="660"/>
    </row>
    <row r="5" spans="1:8" ht="38.25" customHeight="1" x14ac:dyDescent="0.2">
      <c r="A5" s="660"/>
      <c r="B5" s="660"/>
      <c r="C5" s="660"/>
      <c r="D5" s="660"/>
      <c r="E5" s="660"/>
    </row>
    <row r="7" spans="1:8" x14ac:dyDescent="0.2">
      <c r="B7" s="350"/>
      <c r="D7" s="542" t="s">
        <v>508</v>
      </c>
      <c r="E7" s="543"/>
      <c r="F7" s="707" t="s">
        <v>73</v>
      </c>
      <c r="G7" s="707"/>
      <c r="H7" s="708"/>
    </row>
    <row r="8" spans="1:8" x14ac:dyDescent="0.2">
      <c r="A8" s="366"/>
      <c r="B8" s="366"/>
      <c r="C8" s="366"/>
      <c r="D8" s="366"/>
      <c r="E8" s="343"/>
      <c r="F8" s="343"/>
      <c r="G8" s="343"/>
      <c r="H8" s="364"/>
    </row>
    <row r="9" spans="1:8" ht="15" customHeight="1" x14ac:dyDescent="0.2">
      <c r="A9" s="699" t="s">
        <v>50</v>
      </c>
      <c r="B9" s="699" t="s">
        <v>1046</v>
      </c>
      <c r="C9" s="700" t="s">
        <v>1047</v>
      </c>
      <c r="D9" s="700" t="s">
        <v>44</v>
      </c>
      <c r="E9" s="693" t="s">
        <v>1048</v>
      </c>
      <c r="F9" s="706" t="s">
        <v>1051</v>
      </c>
      <c r="G9" s="706" t="s">
        <v>1049</v>
      </c>
      <c r="H9" s="706" t="s">
        <v>1050</v>
      </c>
    </row>
    <row r="10" spans="1:8" ht="18" customHeight="1" x14ac:dyDescent="0.2">
      <c r="A10" s="699"/>
      <c r="B10" s="699"/>
      <c r="C10" s="700"/>
      <c r="D10" s="700"/>
      <c r="E10" s="693"/>
      <c r="F10" s="706"/>
      <c r="G10" s="706"/>
      <c r="H10" s="706"/>
    </row>
    <row r="11" spans="1:8" ht="30" customHeight="1" x14ac:dyDescent="0.2">
      <c r="A11" s="338">
        <v>1</v>
      </c>
      <c r="B11" s="338">
        <v>1</v>
      </c>
      <c r="C11" s="324" t="s">
        <v>859</v>
      </c>
      <c r="D11" s="324" t="s">
        <v>860</v>
      </c>
      <c r="E11" s="337">
        <f>F11*(1-G11)</f>
        <v>0.95</v>
      </c>
      <c r="F11" s="536">
        <v>1</v>
      </c>
      <c r="G11" s="541">
        <v>0.05</v>
      </c>
      <c r="H11" s="537" t="s">
        <v>1052</v>
      </c>
    </row>
    <row r="12" spans="1:8" ht="30" customHeight="1" x14ac:dyDescent="0.2">
      <c r="A12" s="323" t="s">
        <v>720</v>
      </c>
      <c r="B12" s="323">
        <v>1</v>
      </c>
      <c r="C12" s="321" t="s">
        <v>861</v>
      </c>
      <c r="D12" s="321" t="s">
        <v>503</v>
      </c>
      <c r="E12" s="337">
        <f t="shared" ref="E12:E35" si="0">F12*(1-G12)</f>
        <v>0</v>
      </c>
      <c r="F12" s="538"/>
      <c r="G12" s="538"/>
      <c r="H12" s="539"/>
    </row>
    <row r="13" spans="1:8" ht="30" customHeight="1" x14ac:dyDescent="0.2">
      <c r="A13" s="323" t="s">
        <v>719</v>
      </c>
      <c r="B13" s="323">
        <v>1</v>
      </c>
      <c r="C13" s="321"/>
      <c r="D13" s="321"/>
      <c r="E13" s="337">
        <f t="shared" si="0"/>
        <v>0</v>
      </c>
      <c r="F13" s="538"/>
      <c r="G13" s="538"/>
      <c r="H13" s="539"/>
    </row>
    <row r="14" spans="1:8" ht="30" customHeight="1" x14ac:dyDescent="0.2">
      <c r="A14" s="323" t="s">
        <v>718</v>
      </c>
      <c r="B14" s="323">
        <v>1</v>
      </c>
      <c r="C14" s="321"/>
      <c r="D14" s="321"/>
      <c r="E14" s="337">
        <f t="shared" si="0"/>
        <v>0</v>
      </c>
      <c r="F14" s="538"/>
      <c r="G14" s="538"/>
      <c r="H14" s="539"/>
    </row>
    <row r="15" spans="1:8" ht="30" customHeight="1" x14ac:dyDescent="0.2">
      <c r="A15" s="323" t="s">
        <v>717</v>
      </c>
      <c r="B15" s="323">
        <v>1</v>
      </c>
      <c r="C15" s="321"/>
      <c r="D15" s="321"/>
      <c r="E15" s="337">
        <f t="shared" si="0"/>
        <v>0</v>
      </c>
      <c r="F15" s="538"/>
      <c r="G15" s="538"/>
      <c r="H15" s="539"/>
    </row>
    <row r="16" spans="1:8" ht="30" customHeight="1" x14ac:dyDescent="0.2">
      <c r="A16" s="323" t="s">
        <v>716</v>
      </c>
      <c r="B16" s="323">
        <v>1</v>
      </c>
      <c r="C16" s="321"/>
      <c r="D16" s="321"/>
      <c r="E16" s="337">
        <f t="shared" si="0"/>
        <v>0</v>
      </c>
      <c r="F16" s="538"/>
      <c r="G16" s="538"/>
      <c r="H16" s="539"/>
    </row>
    <row r="17" spans="1:8" ht="30" customHeight="1" x14ac:dyDescent="0.2">
      <c r="A17" s="323" t="s">
        <v>715</v>
      </c>
      <c r="B17" s="323">
        <v>1</v>
      </c>
      <c r="C17" s="321"/>
      <c r="D17" s="321"/>
      <c r="E17" s="337">
        <f t="shared" si="0"/>
        <v>0</v>
      </c>
      <c r="F17" s="538"/>
      <c r="G17" s="538"/>
      <c r="H17" s="539"/>
    </row>
    <row r="18" spans="1:8" ht="30" customHeight="1" x14ac:dyDescent="0.2">
      <c r="A18" s="323" t="s">
        <v>714</v>
      </c>
      <c r="B18" s="323">
        <v>1</v>
      </c>
      <c r="C18" s="321"/>
      <c r="D18" s="321"/>
      <c r="E18" s="337">
        <f t="shared" si="0"/>
        <v>0</v>
      </c>
      <c r="F18" s="540"/>
      <c r="G18" s="540"/>
      <c r="H18" s="539"/>
    </row>
    <row r="19" spans="1:8" ht="30" customHeight="1" x14ac:dyDescent="0.2">
      <c r="A19" s="323" t="s">
        <v>713</v>
      </c>
      <c r="B19" s="323">
        <v>1</v>
      </c>
      <c r="C19" s="321"/>
      <c r="D19" s="321"/>
      <c r="E19" s="337">
        <f t="shared" si="0"/>
        <v>0</v>
      </c>
      <c r="F19" s="538"/>
      <c r="G19" s="538"/>
      <c r="H19" s="539"/>
    </row>
    <row r="20" spans="1:8" ht="30" customHeight="1" x14ac:dyDescent="0.2">
      <c r="A20" s="323" t="s">
        <v>712</v>
      </c>
      <c r="B20" s="323">
        <v>1</v>
      </c>
      <c r="C20" s="321"/>
      <c r="D20" s="321"/>
      <c r="E20" s="337">
        <f t="shared" si="0"/>
        <v>0</v>
      </c>
      <c r="F20" s="538"/>
      <c r="G20" s="538"/>
      <c r="H20" s="539"/>
    </row>
    <row r="21" spans="1:8" ht="30" customHeight="1" x14ac:dyDescent="0.2">
      <c r="A21" s="323" t="s">
        <v>711</v>
      </c>
      <c r="B21" s="323">
        <v>1</v>
      </c>
      <c r="C21" s="321"/>
      <c r="D21" s="321"/>
      <c r="E21" s="337">
        <f t="shared" si="0"/>
        <v>0</v>
      </c>
      <c r="F21" s="538"/>
      <c r="G21" s="538"/>
      <c r="H21" s="539"/>
    </row>
    <row r="22" spans="1:8" ht="30" customHeight="1" x14ac:dyDescent="0.2">
      <c r="A22" s="323" t="s">
        <v>710</v>
      </c>
      <c r="B22" s="323">
        <v>1</v>
      </c>
      <c r="C22" s="321"/>
      <c r="D22" s="321"/>
      <c r="E22" s="337">
        <f t="shared" si="0"/>
        <v>0</v>
      </c>
      <c r="F22" s="538"/>
      <c r="G22" s="538"/>
      <c r="H22" s="539"/>
    </row>
    <row r="23" spans="1:8" ht="30" customHeight="1" x14ac:dyDescent="0.2">
      <c r="A23" s="323" t="s">
        <v>709</v>
      </c>
      <c r="B23" s="323">
        <v>1</v>
      </c>
      <c r="C23" s="321"/>
      <c r="D23" s="321"/>
      <c r="E23" s="337">
        <f t="shared" si="0"/>
        <v>0</v>
      </c>
      <c r="F23" s="538"/>
      <c r="G23" s="538"/>
      <c r="H23" s="539"/>
    </row>
    <row r="24" spans="1:8" ht="30" customHeight="1" x14ac:dyDescent="0.2">
      <c r="A24" s="323" t="s">
        <v>708</v>
      </c>
      <c r="B24" s="323">
        <v>1</v>
      </c>
      <c r="C24" s="321"/>
      <c r="D24" s="321"/>
      <c r="E24" s="337">
        <f t="shared" si="0"/>
        <v>0</v>
      </c>
      <c r="F24" s="538"/>
      <c r="G24" s="538"/>
      <c r="H24" s="539"/>
    </row>
    <row r="25" spans="1:8" ht="30" customHeight="1" x14ac:dyDescent="0.2">
      <c r="A25" s="323" t="s">
        <v>707</v>
      </c>
      <c r="B25" s="323">
        <v>1</v>
      </c>
      <c r="C25" s="321"/>
      <c r="D25" s="321"/>
      <c r="E25" s="337">
        <f t="shared" si="0"/>
        <v>0</v>
      </c>
      <c r="F25" s="538"/>
      <c r="G25" s="538"/>
      <c r="H25" s="539"/>
    </row>
    <row r="26" spans="1:8" ht="30" customHeight="1" x14ac:dyDescent="0.2">
      <c r="A26" s="323" t="s">
        <v>706</v>
      </c>
      <c r="B26" s="323">
        <v>1</v>
      </c>
      <c r="C26" s="321"/>
      <c r="D26" s="321"/>
      <c r="E26" s="337">
        <f t="shared" si="0"/>
        <v>0</v>
      </c>
      <c r="F26" s="538"/>
      <c r="G26" s="538"/>
      <c r="H26" s="539"/>
    </row>
    <row r="27" spans="1:8" ht="30" customHeight="1" x14ac:dyDescent="0.2">
      <c r="A27" s="323" t="s">
        <v>705</v>
      </c>
      <c r="B27" s="323">
        <v>1</v>
      </c>
      <c r="C27" s="321"/>
      <c r="D27" s="321"/>
      <c r="E27" s="337">
        <f t="shared" si="0"/>
        <v>0</v>
      </c>
      <c r="F27" s="538"/>
      <c r="G27" s="538"/>
      <c r="H27" s="539"/>
    </row>
    <row r="28" spans="1:8" ht="30" customHeight="1" x14ac:dyDescent="0.2">
      <c r="A28" s="323" t="s">
        <v>704</v>
      </c>
      <c r="B28" s="323">
        <v>1</v>
      </c>
      <c r="C28" s="321"/>
      <c r="D28" s="321"/>
      <c r="E28" s="337">
        <f t="shared" si="0"/>
        <v>0</v>
      </c>
      <c r="F28" s="538"/>
      <c r="G28" s="538"/>
      <c r="H28" s="539"/>
    </row>
    <row r="29" spans="1:8" ht="30" customHeight="1" x14ac:dyDescent="0.2">
      <c r="A29" s="323" t="s">
        <v>703</v>
      </c>
      <c r="B29" s="323">
        <v>1</v>
      </c>
      <c r="C29" s="321"/>
      <c r="D29" s="321"/>
      <c r="E29" s="337">
        <f t="shared" si="0"/>
        <v>0</v>
      </c>
      <c r="F29" s="538"/>
      <c r="G29" s="538"/>
      <c r="H29" s="539"/>
    </row>
    <row r="30" spans="1:8" ht="30" customHeight="1" x14ac:dyDescent="0.2">
      <c r="A30" s="323" t="s">
        <v>702</v>
      </c>
      <c r="B30" s="323">
        <v>1</v>
      </c>
      <c r="C30" s="321"/>
      <c r="D30" s="321"/>
      <c r="E30" s="337">
        <f t="shared" si="0"/>
        <v>0</v>
      </c>
      <c r="F30" s="538"/>
      <c r="G30" s="538"/>
      <c r="H30" s="539"/>
    </row>
    <row r="31" spans="1:8" ht="30" customHeight="1" x14ac:dyDescent="0.2">
      <c r="A31" s="323" t="s">
        <v>701</v>
      </c>
      <c r="B31" s="323">
        <v>1</v>
      </c>
      <c r="C31" s="321"/>
      <c r="D31" s="321"/>
      <c r="E31" s="337">
        <f t="shared" si="0"/>
        <v>0</v>
      </c>
      <c r="F31" s="538"/>
      <c r="G31" s="538"/>
      <c r="H31" s="539"/>
    </row>
    <row r="32" spans="1:8" ht="30" customHeight="1" x14ac:dyDescent="0.2">
      <c r="A32" s="323" t="s">
        <v>700</v>
      </c>
      <c r="B32" s="322">
        <v>0</v>
      </c>
      <c r="C32" s="321"/>
      <c r="D32" s="370" t="s">
        <v>699</v>
      </c>
      <c r="E32" s="337">
        <f t="shared" si="0"/>
        <v>0</v>
      </c>
      <c r="F32" s="538"/>
      <c r="G32" s="538"/>
      <c r="H32" s="539"/>
    </row>
    <row r="33" spans="1:8" ht="30" customHeight="1" x14ac:dyDescent="0.2">
      <c r="A33" s="323" t="s">
        <v>698</v>
      </c>
      <c r="B33" s="322">
        <v>0</v>
      </c>
      <c r="C33" s="321"/>
      <c r="D33" s="370" t="s">
        <v>697</v>
      </c>
      <c r="E33" s="337">
        <f t="shared" si="0"/>
        <v>0</v>
      </c>
      <c r="F33" s="538"/>
      <c r="G33" s="538"/>
      <c r="H33" s="539"/>
    </row>
    <row r="34" spans="1:8" ht="30" customHeight="1" x14ac:dyDescent="0.2">
      <c r="A34" s="323" t="s">
        <v>696</v>
      </c>
      <c r="B34" s="322">
        <v>0</v>
      </c>
      <c r="C34" s="321"/>
      <c r="D34" s="370" t="s">
        <v>695</v>
      </c>
      <c r="E34" s="337">
        <f t="shared" si="0"/>
        <v>0</v>
      </c>
      <c r="F34" s="538"/>
      <c r="G34" s="538"/>
      <c r="H34" s="539"/>
    </row>
    <row r="35" spans="1:8" ht="30" customHeight="1" x14ac:dyDescent="0.2">
      <c r="A35" s="323" t="s">
        <v>694</v>
      </c>
      <c r="B35" s="322">
        <v>0</v>
      </c>
      <c r="C35" s="321"/>
      <c r="D35" s="370" t="s">
        <v>693</v>
      </c>
      <c r="E35" s="337">
        <f t="shared" si="0"/>
        <v>0</v>
      </c>
      <c r="F35" s="538"/>
      <c r="G35" s="538"/>
      <c r="H35" s="539"/>
    </row>
    <row r="36" spans="1:8" x14ac:dyDescent="0.2">
      <c r="A36" s="288" t="s">
        <v>453</v>
      </c>
      <c r="B36" s="288"/>
      <c r="C36" s="286"/>
      <c r="D36" s="287"/>
      <c r="E36" s="285"/>
      <c r="F36" s="282"/>
      <c r="G36" s="282"/>
      <c r="H36" s="280"/>
    </row>
    <row r="37" spans="1:8" x14ac:dyDescent="0.2">
      <c r="B37" s="368"/>
      <c r="F37" s="271"/>
      <c r="G37" s="271"/>
    </row>
    <row r="38" spans="1:8" x14ac:dyDescent="0.2">
      <c r="A38" s="366"/>
      <c r="B38" s="366"/>
      <c r="C38" s="366"/>
      <c r="D38" s="366"/>
      <c r="E38" s="343"/>
      <c r="F38" s="343"/>
      <c r="G38" s="343"/>
      <c r="H38" s="364"/>
    </row>
    <row r="39" spans="1:8" ht="15" customHeight="1" x14ac:dyDescent="0.2">
      <c r="A39" s="699" t="s">
        <v>50</v>
      </c>
      <c r="B39" s="699" t="s">
        <v>1046</v>
      </c>
      <c r="C39" s="700" t="s">
        <v>1047</v>
      </c>
      <c r="D39" s="700" t="s">
        <v>44</v>
      </c>
      <c r="E39" s="693" t="s">
        <v>1048</v>
      </c>
      <c r="F39" s="706" t="s">
        <v>1051</v>
      </c>
      <c r="G39" s="706" t="s">
        <v>1049</v>
      </c>
      <c r="H39" s="706" t="s">
        <v>1050</v>
      </c>
    </row>
    <row r="40" spans="1:8" ht="18" customHeight="1" x14ac:dyDescent="0.2">
      <c r="A40" s="699"/>
      <c r="B40" s="699"/>
      <c r="C40" s="700"/>
      <c r="D40" s="700"/>
      <c r="E40" s="693"/>
      <c r="F40" s="706"/>
      <c r="G40" s="706"/>
      <c r="H40" s="706"/>
    </row>
    <row r="41" spans="1:8" ht="30" customHeight="1" x14ac:dyDescent="0.2">
      <c r="A41" s="338">
        <v>2</v>
      </c>
      <c r="B41" s="338">
        <v>1</v>
      </c>
      <c r="C41" s="324" t="s">
        <v>859</v>
      </c>
      <c r="D41" s="324" t="s">
        <v>860</v>
      </c>
      <c r="E41" s="337">
        <f>F41*(1-G41)</f>
        <v>0.95</v>
      </c>
      <c r="F41" s="536">
        <v>1</v>
      </c>
      <c r="G41" s="541">
        <v>0.05</v>
      </c>
      <c r="H41" s="537" t="s">
        <v>1052</v>
      </c>
    </row>
    <row r="42" spans="1:8" ht="30" customHeight="1" x14ac:dyDescent="0.2">
      <c r="A42" s="323" t="s">
        <v>280</v>
      </c>
      <c r="B42" s="323">
        <v>1</v>
      </c>
      <c r="C42" s="321" t="s">
        <v>861</v>
      </c>
      <c r="D42" s="321" t="s">
        <v>503</v>
      </c>
      <c r="E42" s="337">
        <f t="shared" ref="E42:E65" si="1">F42*(1-G42)</f>
        <v>0</v>
      </c>
      <c r="F42" s="538"/>
      <c r="G42" s="538"/>
      <c r="H42" s="539"/>
    </row>
    <row r="43" spans="1:8" ht="30" customHeight="1" x14ac:dyDescent="0.2">
      <c r="A43" s="323" t="s">
        <v>281</v>
      </c>
      <c r="B43" s="323">
        <v>1</v>
      </c>
      <c r="C43" s="321"/>
      <c r="D43" s="321"/>
      <c r="E43" s="337">
        <f t="shared" si="1"/>
        <v>0</v>
      </c>
      <c r="F43" s="538"/>
      <c r="G43" s="538"/>
      <c r="H43" s="539"/>
    </row>
    <row r="44" spans="1:8" ht="30" customHeight="1" x14ac:dyDescent="0.2">
      <c r="A44" s="323" t="s">
        <v>282</v>
      </c>
      <c r="B44" s="323">
        <v>1</v>
      </c>
      <c r="C44" s="321"/>
      <c r="D44" s="321"/>
      <c r="E44" s="337">
        <f t="shared" si="1"/>
        <v>0</v>
      </c>
      <c r="F44" s="538"/>
      <c r="G44" s="538"/>
      <c r="H44" s="539"/>
    </row>
    <row r="45" spans="1:8" ht="30" customHeight="1" x14ac:dyDescent="0.2">
      <c r="A45" s="323" t="s">
        <v>283</v>
      </c>
      <c r="B45" s="323">
        <v>1</v>
      </c>
      <c r="C45" s="321"/>
      <c r="D45" s="321"/>
      <c r="E45" s="337">
        <f t="shared" si="1"/>
        <v>0</v>
      </c>
      <c r="F45" s="538"/>
      <c r="G45" s="538"/>
      <c r="H45" s="539"/>
    </row>
    <row r="46" spans="1:8" ht="30" customHeight="1" x14ac:dyDescent="0.2">
      <c r="A46" s="323" t="s">
        <v>285</v>
      </c>
      <c r="B46" s="323">
        <v>1</v>
      </c>
      <c r="C46" s="321"/>
      <c r="D46" s="321"/>
      <c r="E46" s="337">
        <f t="shared" si="1"/>
        <v>0</v>
      </c>
      <c r="F46" s="538"/>
      <c r="G46" s="538"/>
      <c r="H46" s="539"/>
    </row>
    <row r="47" spans="1:8" ht="30" customHeight="1" x14ac:dyDescent="0.2">
      <c r="A47" s="323" t="s">
        <v>287</v>
      </c>
      <c r="B47" s="323">
        <v>1</v>
      </c>
      <c r="C47" s="321"/>
      <c r="D47" s="321"/>
      <c r="E47" s="337">
        <f t="shared" si="1"/>
        <v>0</v>
      </c>
      <c r="F47" s="538"/>
      <c r="G47" s="538"/>
      <c r="H47" s="539"/>
    </row>
    <row r="48" spans="1:8" ht="30" customHeight="1" x14ac:dyDescent="0.2">
      <c r="A48" s="323" t="s">
        <v>289</v>
      </c>
      <c r="B48" s="323">
        <v>1</v>
      </c>
      <c r="C48" s="321"/>
      <c r="D48" s="321"/>
      <c r="E48" s="337">
        <f t="shared" si="1"/>
        <v>0</v>
      </c>
      <c r="F48" s="540"/>
      <c r="G48" s="540"/>
      <c r="H48" s="539"/>
    </row>
    <row r="49" spans="1:8" ht="30" customHeight="1" x14ac:dyDescent="0.2">
      <c r="A49" s="323" t="s">
        <v>291</v>
      </c>
      <c r="B49" s="323">
        <v>1</v>
      </c>
      <c r="C49" s="321"/>
      <c r="D49" s="321"/>
      <c r="E49" s="337">
        <f t="shared" si="1"/>
        <v>0</v>
      </c>
      <c r="F49" s="538"/>
      <c r="G49" s="538"/>
      <c r="H49" s="539"/>
    </row>
    <row r="50" spans="1:8" ht="30" customHeight="1" x14ac:dyDescent="0.2">
      <c r="A50" s="323" t="s">
        <v>293</v>
      </c>
      <c r="B50" s="323">
        <v>1</v>
      </c>
      <c r="C50" s="321"/>
      <c r="D50" s="321"/>
      <c r="E50" s="337">
        <f t="shared" si="1"/>
        <v>0</v>
      </c>
      <c r="F50" s="538"/>
      <c r="G50" s="538"/>
      <c r="H50" s="539"/>
    </row>
    <row r="51" spans="1:8" ht="30" customHeight="1" x14ac:dyDescent="0.2">
      <c r="A51" s="323" t="s">
        <v>294</v>
      </c>
      <c r="B51" s="323">
        <v>1</v>
      </c>
      <c r="C51" s="321"/>
      <c r="D51" s="321"/>
      <c r="E51" s="337">
        <f t="shared" si="1"/>
        <v>0</v>
      </c>
      <c r="F51" s="538"/>
      <c r="G51" s="538"/>
      <c r="H51" s="539"/>
    </row>
    <row r="52" spans="1:8" ht="30" customHeight="1" x14ac:dyDescent="0.2">
      <c r="A52" s="323" t="s">
        <v>692</v>
      </c>
      <c r="B52" s="323">
        <v>1</v>
      </c>
      <c r="C52" s="321"/>
      <c r="D52" s="321"/>
      <c r="E52" s="337">
        <f t="shared" si="1"/>
        <v>0</v>
      </c>
      <c r="F52" s="538"/>
      <c r="G52" s="538"/>
      <c r="H52" s="539"/>
    </row>
    <row r="53" spans="1:8" ht="30" customHeight="1" x14ac:dyDescent="0.2">
      <c r="A53" s="323" t="s">
        <v>691</v>
      </c>
      <c r="B53" s="323">
        <v>1</v>
      </c>
      <c r="C53" s="321"/>
      <c r="D53" s="321"/>
      <c r="E53" s="337">
        <f t="shared" si="1"/>
        <v>0</v>
      </c>
      <c r="F53" s="538"/>
      <c r="G53" s="538"/>
      <c r="H53" s="539"/>
    </row>
    <row r="54" spans="1:8" ht="30" customHeight="1" x14ac:dyDescent="0.2">
      <c r="A54" s="323" t="s">
        <v>690</v>
      </c>
      <c r="B54" s="323">
        <v>1</v>
      </c>
      <c r="C54" s="321"/>
      <c r="D54" s="321"/>
      <c r="E54" s="337">
        <f t="shared" si="1"/>
        <v>0</v>
      </c>
      <c r="F54" s="538"/>
      <c r="G54" s="538"/>
      <c r="H54" s="539"/>
    </row>
    <row r="55" spans="1:8" ht="30" customHeight="1" x14ac:dyDescent="0.2">
      <c r="A55" s="323" t="s">
        <v>689</v>
      </c>
      <c r="B55" s="323">
        <v>1</v>
      </c>
      <c r="C55" s="321"/>
      <c r="D55" s="321"/>
      <c r="E55" s="337">
        <f t="shared" si="1"/>
        <v>0</v>
      </c>
      <c r="F55" s="538"/>
      <c r="G55" s="538"/>
      <c r="H55" s="539"/>
    </row>
    <row r="56" spans="1:8" ht="30" customHeight="1" x14ac:dyDescent="0.2">
      <c r="A56" s="323" t="s">
        <v>688</v>
      </c>
      <c r="B56" s="323">
        <v>1</v>
      </c>
      <c r="C56" s="321"/>
      <c r="D56" s="321"/>
      <c r="E56" s="337">
        <f t="shared" si="1"/>
        <v>0</v>
      </c>
      <c r="F56" s="538"/>
      <c r="G56" s="538"/>
      <c r="H56" s="539"/>
    </row>
    <row r="57" spans="1:8" ht="30" customHeight="1" x14ac:dyDescent="0.2">
      <c r="A57" s="323" t="s">
        <v>687</v>
      </c>
      <c r="B57" s="323">
        <v>1</v>
      </c>
      <c r="C57" s="321"/>
      <c r="D57" s="321"/>
      <c r="E57" s="337">
        <f t="shared" si="1"/>
        <v>0</v>
      </c>
      <c r="F57" s="538"/>
      <c r="G57" s="538"/>
      <c r="H57" s="539"/>
    </row>
    <row r="58" spans="1:8" ht="30" customHeight="1" x14ac:dyDescent="0.2">
      <c r="A58" s="323" t="s">
        <v>686</v>
      </c>
      <c r="B58" s="323">
        <v>1</v>
      </c>
      <c r="C58" s="321"/>
      <c r="D58" s="321"/>
      <c r="E58" s="337">
        <f t="shared" si="1"/>
        <v>0</v>
      </c>
      <c r="F58" s="538"/>
      <c r="G58" s="538"/>
      <c r="H58" s="539"/>
    </row>
    <row r="59" spans="1:8" ht="30" customHeight="1" x14ac:dyDescent="0.2">
      <c r="A59" s="323" t="s">
        <v>685</v>
      </c>
      <c r="B59" s="323">
        <v>1</v>
      </c>
      <c r="C59" s="321"/>
      <c r="D59" s="321"/>
      <c r="E59" s="337">
        <f t="shared" si="1"/>
        <v>0</v>
      </c>
      <c r="F59" s="538"/>
      <c r="G59" s="538"/>
      <c r="H59" s="539"/>
    </row>
    <row r="60" spans="1:8" ht="30" customHeight="1" x14ac:dyDescent="0.2">
      <c r="A60" s="323" t="s">
        <v>684</v>
      </c>
      <c r="B60" s="323">
        <v>1</v>
      </c>
      <c r="C60" s="321"/>
      <c r="D60" s="321"/>
      <c r="E60" s="337">
        <f t="shared" si="1"/>
        <v>0</v>
      </c>
      <c r="F60" s="538"/>
      <c r="G60" s="538"/>
      <c r="H60" s="539"/>
    </row>
    <row r="61" spans="1:8" ht="30" customHeight="1" x14ac:dyDescent="0.2">
      <c r="A61" s="323" t="s">
        <v>683</v>
      </c>
      <c r="B61" s="323">
        <v>1</v>
      </c>
      <c r="C61" s="321"/>
      <c r="D61" s="321"/>
      <c r="E61" s="337">
        <f t="shared" si="1"/>
        <v>0</v>
      </c>
      <c r="F61" s="538"/>
      <c r="G61" s="538"/>
      <c r="H61" s="539"/>
    </row>
    <row r="62" spans="1:8" ht="30" customHeight="1" x14ac:dyDescent="0.2">
      <c r="A62" s="323" t="s">
        <v>682</v>
      </c>
      <c r="B62" s="322">
        <v>0</v>
      </c>
      <c r="C62" s="321"/>
      <c r="D62" s="370" t="s">
        <v>699</v>
      </c>
      <c r="E62" s="337">
        <f t="shared" si="1"/>
        <v>0</v>
      </c>
      <c r="F62" s="538"/>
      <c r="G62" s="538"/>
      <c r="H62" s="539"/>
    </row>
    <row r="63" spans="1:8" ht="30" customHeight="1" x14ac:dyDescent="0.2">
      <c r="A63" s="323" t="s">
        <v>681</v>
      </c>
      <c r="B63" s="322">
        <v>0</v>
      </c>
      <c r="C63" s="321"/>
      <c r="D63" s="370" t="s">
        <v>697</v>
      </c>
      <c r="E63" s="337">
        <f t="shared" si="1"/>
        <v>0</v>
      </c>
      <c r="F63" s="538"/>
      <c r="G63" s="538"/>
      <c r="H63" s="539"/>
    </row>
    <row r="64" spans="1:8" ht="30" customHeight="1" x14ac:dyDescent="0.2">
      <c r="A64" s="323" t="s">
        <v>680</v>
      </c>
      <c r="B64" s="322">
        <v>0</v>
      </c>
      <c r="C64" s="321"/>
      <c r="D64" s="370" t="s">
        <v>695</v>
      </c>
      <c r="E64" s="337">
        <f t="shared" si="1"/>
        <v>0</v>
      </c>
      <c r="F64" s="538"/>
      <c r="G64" s="538"/>
      <c r="H64" s="539"/>
    </row>
    <row r="65" spans="1:8" ht="30" customHeight="1" x14ac:dyDescent="0.2">
      <c r="A65" s="323" t="s">
        <v>679</v>
      </c>
      <c r="B65" s="322">
        <v>0</v>
      </c>
      <c r="C65" s="321"/>
      <c r="D65" s="370" t="s">
        <v>693</v>
      </c>
      <c r="E65" s="337">
        <f t="shared" si="1"/>
        <v>0</v>
      </c>
      <c r="F65" s="538"/>
      <c r="G65" s="538"/>
      <c r="H65" s="539"/>
    </row>
    <row r="66" spans="1:8" x14ac:dyDescent="0.2">
      <c r="A66" s="323"/>
      <c r="B66" s="288"/>
      <c r="C66" s="286"/>
      <c r="D66" s="287"/>
      <c r="E66" s="285"/>
      <c r="F66" s="282"/>
      <c r="G66" s="282"/>
      <c r="H66" s="280"/>
    </row>
    <row r="68" spans="1:8" x14ac:dyDescent="0.2">
      <c r="A68" s="366"/>
      <c r="B68" s="366"/>
      <c r="C68" s="366"/>
      <c r="D68" s="366"/>
      <c r="E68" s="343"/>
      <c r="F68" s="343"/>
      <c r="G68" s="343"/>
      <c r="H68" s="364"/>
    </row>
    <row r="69" spans="1:8" ht="15" customHeight="1" x14ac:dyDescent="0.2">
      <c r="A69" s="699" t="s">
        <v>50</v>
      </c>
      <c r="B69" s="699" t="s">
        <v>1046</v>
      </c>
      <c r="C69" s="700" t="s">
        <v>1047</v>
      </c>
      <c r="D69" s="700" t="s">
        <v>44</v>
      </c>
      <c r="E69" s="693" t="s">
        <v>1048</v>
      </c>
      <c r="F69" s="706" t="s">
        <v>1051</v>
      </c>
      <c r="G69" s="706" t="s">
        <v>1049</v>
      </c>
      <c r="H69" s="706" t="s">
        <v>1050</v>
      </c>
    </row>
    <row r="70" spans="1:8" ht="18" customHeight="1" x14ac:dyDescent="0.2">
      <c r="A70" s="699"/>
      <c r="B70" s="699"/>
      <c r="C70" s="700"/>
      <c r="D70" s="700"/>
      <c r="E70" s="693"/>
      <c r="F70" s="706"/>
      <c r="G70" s="706"/>
      <c r="H70" s="706"/>
    </row>
    <row r="71" spans="1:8" ht="30" customHeight="1" x14ac:dyDescent="0.2">
      <c r="A71" s="338">
        <v>3</v>
      </c>
      <c r="B71" s="338">
        <v>1</v>
      </c>
      <c r="C71" s="324" t="s">
        <v>859</v>
      </c>
      <c r="D71" s="324" t="s">
        <v>860</v>
      </c>
      <c r="E71" s="337">
        <f>F71*(1-G71)</f>
        <v>0.95</v>
      </c>
      <c r="F71" s="536">
        <v>1</v>
      </c>
      <c r="G71" s="541">
        <v>0.05</v>
      </c>
      <c r="H71" s="537" t="s">
        <v>1052</v>
      </c>
    </row>
    <row r="72" spans="1:8" ht="30" customHeight="1" x14ac:dyDescent="0.2">
      <c r="A72" s="323" t="s">
        <v>678</v>
      </c>
      <c r="B72" s="323">
        <v>1</v>
      </c>
      <c r="C72" s="321" t="s">
        <v>861</v>
      </c>
      <c r="D72" s="321" t="s">
        <v>503</v>
      </c>
      <c r="E72" s="337">
        <f t="shared" ref="E72:E95" si="2">F72*(1-G72)</f>
        <v>0</v>
      </c>
      <c r="F72" s="538"/>
      <c r="G72" s="538"/>
      <c r="H72" s="539"/>
    </row>
    <row r="73" spans="1:8" ht="30" customHeight="1" x14ac:dyDescent="0.2">
      <c r="A73" s="323" t="s">
        <v>677</v>
      </c>
      <c r="B73" s="323">
        <v>1</v>
      </c>
      <c r="C73" s="321"/>
      <c r="D73" s="321"/>
      <c r="E73" s="337">
        <f t="shared" si="2"/>
        <v>0</v>
      </c>
      <c r="F73" s="538"/>
      <c r="G73" s="538"/>
      <c r="H73" s="539"/>
    </row>
    <row r="74" spans="1:8" ht="30" customHeight="1" x14ac:dyDescent="0.2">
      <c r="A74" s="323" t="s">
        <v>676</v>
      </c>
      <c r="B74" s="323">
        <v>1</v>
      </c>
      <c r="C74" s="321"/>
      <c r="D74" s="321"/>
      <c r="E74" s="337">
        <f t="shared" si="2"/>
        <v>0</v>
      </c>
      <c r="F74" s="538"/>
      <c r="G74" s="538"/>
      <c r="H74" s="539"/>
    </row>
    <row r="75" spans="1:8" ht="30" customHeight="1" x14ac:dyDescent="0.2">
      <c r="A75" s="323" t="s">
        <v>675</v>
      </c>
      <c r="B75" s="323">
        <v>1</v>
      </c>
      <c r="C75" s="321"/>
      <c r="D75" s="321"/>
      <c r="E75" s="337">
        <f t="shared" si="2"/>
        <v>0</v>
      </c>
      <c r="F75" s="538"/>
      <c r="G75" s="538"/>
      <c r="H75" s="539"/>
    </row>
    <row r="76" spans="1:8" ht="30" customHeight="1" x14ac:dyDescent="0.2">
      <c r="A76" s="323" t="s">
        <v>674</v>
      </c>
      <c r="B76" s="323">
        <v>1</v>
      </c>
      <c r="C76" s="321"/>
      <c r="D76" s="321"/>
      <c r="E76" s="337">
        <f t="shared" si="2"/>
        <v>0</v>
      </c>
      <c r="F76" s="538"/>
      <c r="G76" s="538"/>
      <c r="H76" s="539"/>
    </row>
    <row r="77" spans="1:8" ht="30" customHeight="1" x14ac:dyDescent="0.2">
      <c r="A77" s="323" t="s">
        <v>673</v>
      </c>
      <c r="B77" s="323">
        <v>1</v>
      </c>
      <c r="C77" s="321"/>
      <c r="D77" s="321"/>
      <c r="E77" s="337">
        <f t="shared" si="2"/>
        <v>0</v>
      </c>
      <c r="F77" s="538"/>
      <c r="G77" s="538"/>
      <c r="H77" s="539"/>
    </row>
    <row r="78" spans="1:8" ht="30" customHeight="1" x14ac:dyDescent="0.2">
      <c r="A78" s="323" t="s">
        <v>672</v>
      </c>
      <c r="B78" s="323">
        <v>1</v>
      </c>
      <c r="C78" s="321"/>
      <c r="D78" s="321"/>
      <c r="E78" s="337">
        <f t="shared" si="2"/>
        <v>0</v>
      </c>
      <c r="F78" s="540"/>
      <c r="G78" s="540"/>
      <c r="H78" s="539"/>
    </row>
    <row r="79" spans="1:8" ht="30" customHeight="1" x14ac:dyDescent="0.2">
      <c r="A79" s="323" t="s">
        <v>671</v>
      </c>
      <c r="B79" s="323">
        <v>1</v>
      </c>
      <c r="C79" s="321"/>
      <c r="D79" s="321"/>
      <c r="E79" s="337">
        <f t="shared" si="2"/>
        <v>0</v>
      </c>
      <c r="F79" s="538"/>
      <c r="G79" s="538"/>
      <c r="H79" s="539"/>
    </row>
    <row r="80" spans="1:8" ht="30" customHeight="1" x14ac:dyDescent="0.2">
      <c r="A80" s="323" t="s">
        <v>670</v>
      </c>
      <c r="B80" s="323">
        <v>1</v>
      </c>
      <c r="C80" s="321"/>
      <c r="D80" s="321"/>
      <c r="E80" s="337">
        <f t="shared" si="2"/>
        <v>0</v>
      </c>
      <c r="F80" s="538"/>
      <c r="G80" s="538"/>
      <c r="H80" s="539"/>
    </row>
    <row r="81" spans="1:8" ht="30" customHeight="1" x14ac:dyDescent="0.2">
      <c r="A81" s="323" t="s">
        <v>669</v>
      </c>
      <c r="B81" s="323">
        <v>1</v>
      </c>
      <c r="C81" s="321"/>
      <c r="D81" s="321"/>
      <c r="E81" s="337">
        <f t="shared" si="2"/>
        <v>0</v>
      </c>
      <c r="F81" s="538"/>
      <c r="G81" s="538"/>
      <c r="H81" s="539"/>
    </row>
    <row r="82" spans="1:8" ht="30" customHeight="1" x14ac:dyDescent="0.2">
      <c r="A82" s="323" t="s">
        <v>668</v>
      </c>
      <c r="B82" s="323">
        <v>1</v>
      </c>
      <c r="C82" s="321"/>
      <c r="D82" s="321"/>
      <c r="E82" s="337">
        <f t="shared" si="2"/>
        <v>0</v>
      </c>
      <c r="F82" s="538"/>
      <c r="G82" s="538"/>
      <c r="H82" s="539"/>
    </row>
    <row r="83" spans="1:8" ht="30" customHeight="1" x14ac:dyDescent="0.2">
      <c r="A83" s="323" t="s">
        <v>667</v>
      </c>
      <c r="B83" s="323">
        <v>1</v>
      </c>
      <c r="C83" s="321"/>
      <c r="D83" s="321"/>
      <c r="E83" s="337">
        <f t="shared" si="2"/>
        <v>0</v>
      </c>
      <c r="F83" s="538"/>
      <c r="G83" s="538"/>
      <c r="H83" s="539"/>
    </row>
    <row r="84" spans="1:8" ht="30" customHeight="1" x14ac:dyDescent="0.2">
      <c r="A84" s="323" t="s">
        <v>666</v>
      </c>
      <c r="B84" s="323">
        <v>1</v>
      </c>
      <c r="C84" s="321"/>
      <c r="D84" s="321"/>
      <c r="E84" s="337">
        <f t="shared" si="2"/>
        <v>0</v>
      </c>
      <c r="F84" s="538"/>
      <c r="G84" s="538"/>
      <c r="H84" s="539"/>
    </row>
    <row r="85" spans="1:8" ht="30" customHeight="1" x14ac:dyDescent="0.2">
      <c r="A85" s="323" t="s">
        <v>665</v>
      </c>
      <c r="B85" s="323">
        <v>1</v>
      </c>
      <c r="C85" s="321"/>
      <c r="D85" s="321"/>
      <c r="E85" s="337">
        <f t="shared" si="2"/>
        <v>0</v>
      </c>
      <c r="F85" s="538"/>
      <c r="G85" s="538"/>
      <c r="H85" s="539"/>
    </row>
    <row r="86" spans="1:8" ht="30" customHeight="1" x14ac:dyDescent="0.2">
      <c r="A86" s="323" t="s">
        <v>664</v>
      </c>
      <c r="B86" s="323">
        <v>1</v>
      </c>
      <c r="C86" s="321"/>
      <c r="D86" s="321"/>
      <c r="E86" s="337">
        <f t="shared" si="2"/>
        <v>0</v>
      </c>
      <c r="F86" s="538"/>
      <c r="G86" s="538"/>
      <c r="H86" s="539"/>
    </row>
    <row r="87" spans="1:8" ht="30" customHeight="1" x14ac:dyDescent="0.2">
      <c r="A87" s="323" t="s">
        <v>663</v>
      </c>
      <c r="B87" s="323">
        <v>1</v>
      </c>
      <c r="C87" s="321"/>
      <c r="D87" s="321"/>
      <c r="E87" s="337">
        <f t="shared" si="2"/>
        <v>0</v>
      </c>
      <c r="F87" s="538"/>
      <c r="G87" s="538"/>
      <c r="H87" s="539"/>
    </row>
    <row r="88" spans="1:8" ht="30" customHeight="1" x14ac:dyDescent="0.2">
      <c r="A88" s="323" t="s">
        <v>662</v>
      </c>
      <c r="B88" s="323">
        <v>1</v>
      </c>
      <c r="C88" s="321"/>
      <c r="D88" s="321"/>
      <c r="E88" s="337">
        <f t="shared" si="2"/>
        <v>0</v>
      </c>
      <c r="F88" s="538"/>
      <c r="G88" s="538"/>
      <c r="H88" s="539"/>
    </row>
    <row r="89" spans="1:8" ht="30" customHeight="1" x14ac:dyDescent="0.2">
      <c r="A89" s="323" t="s">
        <v>661</v>
      </c>
      <c r="B89" s="323">
        <v>1</v>
      </c>
      <c r="C89" s="321"/>
      <c r="D89" s="321"/>
      <c r="E89" s="337">
        <f t="shared" si="2"/>
        <v>0</v>
      </c>
      <c r="F89" s="538"/>
      <c r="G89" s="538"/>
      <c r="H89" s="539"/>
    </row>
    <row r="90" spans="1:8" ht="30" customHeight="1" x14ac:dyDescent="0.2">
      <c r="A90" s="323" t="s">
        <v>660</v>
      </c>
      <c r="B90" s="323">
        <v>1</v>
      </c>
      <c r="C90" s="321"/>
      <c r="D90" s="321"/>
      <c r="E90" s="337">
        <f t="shared" si="2"/>
        <v>0</v>
      </c>
      <c r="F90" s="538"/>
      <c r="G90" s="538"/>
      <c r="H90" s="539"/>
    </row>
    <row r="91" spans="1:8" ht="30" customHeight="1" x14ac:dyDescent="0.2">
      <c r="A91" s="323" t="s">
        <v>659</v>
      </c>
      <c r="B91" s="323">
        <v>1</v>
      </c>
      <c r="C91" s="321"/>
      <c r="D91" s="321"/>
      <c r="E91" s="337">
        <f t="shared" si="2"/>
        <v>0</v>
      </c>
      <c r="F91" s="538"/>
      <c r="G91" s="538"/>
      <c r="H91" s="539"/>
    </row>
    <row r="92" spans="1:8" ht="30" customHeight="1" x14ac:dyDescent="0.2">
      <c r="A92" s="323" t="s">
        <v>658</v>
      </c>
      <c r="B92" s="322">
        <v>0</v>
      </c>
      <c r="C92" s="321"/>
      <c r="D92" s="370" t="s">
        <v>699</v>
      </c>
      <c r="E92" s="337">
        <f t="shared" si="2"/>
        <v>0</v>
      </c>
      <c r="F92" s="538"/>
      <c r="G92" s="538"/>
      <c r="H92" s="539"/>
    </row>
    <row r="93" spans="1:8" ht="30" customHeight="1" x14ac:dyDescent="0.2">
      <c r="A93" s="323" t="s">
        <v>657</v>
      </c>
      <c r="B93" s="322">
        <v>0</v>
      </c>
      <c r="C93" s="321"/>
      <c r="D93" s="370" t="s">
        <v>697</v>
      </c>
      <c r="E93" s="337">
        <f t="shared" si="2"/>
        <v>0</v>
      </c>
      <c r="F93" s="538"/>
      <c r="G93" s="538"/>
      <c r="H93" s="539"/>
    </row>
    <row r="94" spans="1:8" ht="30" customHeight="1" x14ac:dyDescent="0.2">
      <c r="A94" s="323" t="s">
        <v>656</v>
      </c>
      <c r="B94" s="322">
        <v>0</v>
      </c>
      <c r="C94" s="321"/>
      <c r="D94" s="370" t="s">
        <v>695</v>
      </c>
      <c r="E94" s="337">
        <f t="shared" si="2"/>
        <v>0</v>
      </c>
      <c r="F94" s="538"/>
      <c r="G94" s="538"/>
      <c r="H94" s="539"/>
    </row>
    <row r="95" spans="1:8" ht="30" customHeight="1" x14ac:dyDescent="0.2">
      <c r="A95" s="323" t="s">
        <v>655</v>
      </c>
      <c r="B95" s="322">
        <v>0</v>
      </c>
      <c r="C95" s="321"/>
      <c r="D95" s="370" t="s">
        <v>693</v>
      </c>
      <c r="E95" s="337">
        <f t="shared" si="2"/>
        <v>0</v>
      </c>
      <c r="F95" s="538"/>
      <c r="G95" s="538"/>
      <c r="H95" s="539"/>
    </row>
    <row r="96" spans="1:8" x14ac:dyDescent="0.2">
      <c r="A96" s="323"/>
      <c r="B96" s="288"/>
      <c r="C96" s="286"/>
      <c r="D96" s="287"/>
      <c r="E96" s="285"/>
      <c r="F96" s="282"/>
      <c r="G96" s="282"/>
      <c r="H96" s="280"/>
    </row>
    <row r="98" spans="1:8" x14ac:dyDescent="0.2">
      <c r="A98" s="366"/>
      <c r="B98" s="366"/>
      <c r="C98" s="366"/>
      <c r="D98" s="366"/>
      <c r="E98" s="343"/>
      <c r="F98" s="343"/>
      <c r="G98" s="343"/>
      <c r="H98" s="364"/>
    </row>
    <row r="99" spans="1:8" ht="15" customHeight="1" x14ac:dyDescent="0.2">
      <c r="A99" s="699" t="s">
        <v>50</v>
      </c>
      <c r="B99" s="699" t="s">
        <v>1046</v>
      </c>
      <c r="C99" s="700" t="s">
        <v>1047</v>
      </c>
      <c r="D99" s="700" t="s">
        <v>44</v>
      </c>
      <c r="E99" s="693" t="s">
        <v>1048</v>
      </c>
      <c r="F99" s="706" t="s">
        <v>1051</v>
      </c>
      <c r="G99" s="706" t="s">
        <v>1049</v>
      </c>
      <c r="H99" s="706" t="s">
        <v>1050</v>
      </c>
    </row>
    <row r="100" spans="1:8" ht="18" customHeight="1" x14ac:dyDescent="0.2">
      <c r="A100" s="699"/>
      <c r="B100" s="699"/>
      <c r="C100" s="700"/>
      <c r="D100" s="700"/>
      <c r="E100" s="693"/>
      <c r="F100" s="706"/>
      <c r="G100" s="706"/>
      <c r="H100" s="706"/>
    </row>
    <row r="101" spans="1:8" ht="30" customHeight="1" x14ac:dyDescent="0.2">
      <c r="A101" s="338">
        <v>4</v>
      </c>
      <c r="B101" s="338">
        <v>1</v>
      </c>
      <c r="C101" s="324" t="s">
        <v>859</v>
      </c>
      <c r="D101" s="324" t="s">
        <v>860</v>
      </c>
      <c r="E101" s="337">
        <f>F101*(1-G101)</f>
        <v>0.95</v>
      </c>
      <c r="F101" s="536">
        <v>1</v>
      </c>
      <c r="G101" s="541">
        <v>0.05</v>
      </c>
      <c r="H101" s="537" t="s">
        <v>1052</v>
      </c>
    </row>
    <row r="102" spans="1:8" ht="30" customHeight="1" x14ac:dyDescent="0.2">
      <c r="A102" s="323" t="s">
        <v>654</v>
      </c>
      <c r="B102" s="323">
        <v>1</v>
      </c>
      <c r="C102" s="321" t="s">
        <v>861</v>
      </c>
      <c r="D102" s="321" t="s">
        <v>503</v>
      </c>
      <c r="E102" s="337">
        <f t="shared" ref="E102:E125" si="3">F102*(1-G102)</f>
        <v>0</v>
      </c>
      <c r="F102" s="538"/>
      <c r="G102" s="538"/>
      <c r="H102" s="539"/>
    </row>
    <row r="103" spans="1:8" ht="30" customHeight="1" x14ac:dyDescent="0.2">
      <c r="A103" s="323" t="s">
        <v>653</v>
      </c>
      <c r="B103" s="323">
        <v>1</v>
      </c>
      <c r="C103" s="321"/>
      <c r="D103" s="321"/>
      <c r="E103" s="337">
        <f t="shared" si="3"/>
        <v>0</v>
      </c>
      <c r="F103" s="538"/>
      <c r="G103" s="538"/>
      <c r="H103" s="539"/>
    </row>
    <row r="104" spans="1:8" ht="30" customHeight="1" x14ac:dyDescent="0.2">
      <c r="A104" s="323" t="s">
        <v>652</v>
      </c>
      <c r="B104" s="323">
        <v>1</v>
      </c>
      <c r="C104" s="321"/>
      <c r="D104" s="321"/>
      <c r="E104" s="337">
        <f t="shared" si="3"/>
        <v>0</v>
      </c>
      <c r="F104" s="538"/>
      <c r="G104" s="538"/>
      <c r="H104" s="539"/>
    </row>
    <row r="105" spans="1:8" ht="30" customHeight="1" x14ac:dyDescent="0.2">
      <c r="A105" s="323" t="s">
        <v>651</v>
      </c>
      <c r="B105" s="323">
        <v>1</v>
      </c>
      <c r="C105" s="321"/>
      <c r="D105" s="321"/>
      <c r="E105" s="337">
        <f t="shared" si="3"/>
        <v>0</v>
      </c>
      <c r="F105" s="538"/>
      <c r="G105" s="538"/>
      <c r="H105" s="539"/>
    </row>
    <row r="106" spans="1:8" ht="30" customHeight="1" x14ac:dyDescent="0.2">
      <c r="A106" s="323" t="s">
        <v>650</v>
      </c>
      <c r="B106" s="323">
        <v>1</v>
      </c>
      <c r="C106" s="321"/>
      <c r="D106" s="321"/>
      <c r="E106" s="337">
        <f t="shared" si="3"/>
        <v>0</v>
      </c>
      <c r="F106" s="538"/>
      <c r="G106" s="538"/>
      <c r="H106" s="539"/>
    </row>
    <row r="107" spans="1:8" ht="30" customHeight="1" x14ac:dyDescent="0.2">
      <c r="A107" s="323" t="s">
        <v>649</v>
      </c>
      <c r="B107" s="323">
        <v>1</v>
      </c>
      <c r="C107" s="321"/>
      <c r="D107" s="321"/>
      <c r="E107" s="337">
        <f t="shared" si="3"/>
        <v>0</v>
      </c>
      <c r="F107" s="538"/>
      <c r="G107" s="538"/>
      <c r="H107" s="539"/>
    </row>
    <row r="108" spans="1:8" ht="30" customHeight="1" x14ac:dyDescent="0.2">
      <c r="A108" s="323" t="s">
        <v>648</v>
      </c>
      <c r="B108" s="323">
        <v>1</v>
      </c>
      <c r="C108" s="321"/>
      <c r="D108" s="321"/>
      <c r="E108" s="337">
        <f t="shared" si="3"/>
        <v>0</v>
      </c>
      <c r="F108" s="540"/>
      <c r="G108" s="540"/>
      <c r="H108" s="539"/>
    </row>
    <row r="109" spans="1:8" ht="30" customHeight="1" x14ac:dyDescent="0.2">
      <c r="A109" s="323" t="s">
        <v>647</v>
      </c>
      <c r="B109" s="323">
        <v>1</v>
      </c>
      <c r="C109" s="321"/>
      <c r="D109" s="321"/>
      <c r="E109" s="337">
        <f t="shared" si="3"/>
        <v>0</v>
      </c>
      <c r="F109" s="538"/>
      <c r="G109" s="538"/>
      <c r="H109" s="539"/>
    </row>
    <row r="110" spans="1:8" ht="30" customHeight="1" x14ac:dyDescent="0.2">
      <c r="A110" s="323" t="s">
        <v>646</v>
      </c>
      <c r="B110" s="323">
        <v>1</v>
      </c>
      <c r="C110" s="321"/>
      <c r="D110" s="321"/>
      <c r="E110" s="337">
        <f t="shared" si="3"/>
        <v>0</v>
      </c>
      <c r="F110" s="538"/>
      <c r="G110" s="538"/>
      <c r="H110" s="539"/>
    </row>
    <row r="111" spans="1:8" ht="30" customHeight="1" x14ac:dyDescent="0.2">
      <c r="A111" s="323" t="s">
        <v>645</v>
      </c>
      <c r="B111" s="323">
        <v>1</v>
      </c>
      <c r="C111" s="321"/>
      <c r="D111" s="321"/>
      <c r="E111" s="337">
        <f t="shared" si="3"/>
        <v>0</v>
      </c>
      <c r="F111" s="538"/>
      <c r="G111" s="538"/>
      <c r="H111" s="539"/>
    </row>
    <row r="112" spans="1:8" ht="30" customHeight="1" x14ac:dyDescent="0.2">
      <c r="A112" s="323" t="s">
        <v>644</v>
      </c>
      <c r="B112" s="323">
        <v>1</v>
      </c>
      <c r="C112" s="321"/>
      <c r="D112" s="321"/>
      <c r="E112" s="337">
        <f t="shared" si="3"/>
        <v>0</v>
      </c>
      <c r="F112" s="538"/>
      <c r="G112" s="538"/>
      <c r="H112" s="539"/>
    </row>
    <row r="113" spans="1:8" ht="30" customHeight="1" x14ac:dyDescent="0.2">
      <c r="A113" s="323" t="s">
        <v>643</v>
      </c>
      <c r="B113" s="323">
        <v>1</v>
      </c>
      <c r="C113" s="321"/>
      <c r="D113" s="321"/>
      <c r="E113" s="337">
        <f t="shared" si="3"/>
        <v>0</v>
      </c>
      <c r="F113" s="538"/>
      <c r="G113" s="538"/>
      <c r="H113" s="539"/>
    </row>
    <row r="114" spans="1:8" ht="30" customHeight="1" x14ac:dyDescent="0.2">
      <c r="A114" s="323" t="s">
        <v>642</v>
      </c>
      <c r="B114" s="323">
        <v>1</v>
      </c>
      <c r="C114" s="321"/>
      <c r="D114" s="321"/>
      <c r="E114" s="337">
        <f t="shared" si="3"/>
        <v>0</v>
      </c>
      <c r="F114" s="538"/>
      <c r="G114" s="538"/>
      <c r="H114" s="539"/>
    </row>
    <row r="115" spans="1:8" ht="30" customHeight="1" x14ac:dyDescent="0.2">
      <c r="A115" s="323" t="s">
        <v>641</v>
      </c>
      <c r="B115" s="323">
        <v>1</v>
      </c>
      <c r="C115" s="321"/>
      <c r="D115" s="321"/>
      <c r="E115" s="337">
        <f t="shared" si="3"/>
        <v>0</v>
      </c>
      <c r="F115" s="538"/>
      <c r="G115" s="538"/>
      <c r="H115" s="539"/>
    </row>
    <row r="116" spans="1:8" ht="30" customHeight="1" x14ac:dyDescent="0.2">
      <c r="A116" s="323" t="s">
        <v>640</v>
      </c>
      <c r="B116" s="323">
        <v>1</v>
      </c>
      <c r="C116" s="321"/>
      <c r="D116" s="321"/>
      <c r="E116" s="337">
        <f t="shared" si="3"/>
        <v>0</v>
      </c>
      <c r="F116" s="538"/>
      <c r="G116" s="538"/>
      <c r="H116" s="539"/>
    </row>
    <row r="117" spans="1:8" ht="30" customHeight="1" x14ac:dyDescent="0.2">
      <c r="A117" s="323" t="s">
        <v>639</v>
      </c>
      <c r="B117" s="323">
        <v>1</v>
      </c>
      <c r="C117" s="321"/>
      <c r="D117" s="321"/>
      <c r="E117" s="337">
        <f t="shared" si="3"/>
        <v>0</v>
      </c>
      <c r="F117" s="538"/>
      <c r="G117" s="538"/>
      <c r="H117" s="539"/>
    </row>
    <row r="118" spans="1:8" ht="30" customHeight="1" x14ac:dyDescent="0.2">
      <c r="A118" s="323" t="s">
        <v>638</v>
      </c>
      <c r="B118" s="323">
        <v>1</v>
      </c>
      <c r="C118" s="321"/>
      <c r="D118" s="321"/>
      <c r="E118" s="337">
        <f t="shared" si="3"/>
        <v>0</v>
      </c>
      <c r="F118" s="538"/>
      <c r="G118" s="538"/>
      <c r="H118" s="539"/>
    </row>
    <row r="119" spans="1:8" ht="30" customHeight="1" x14ac:dyDescent="0.2">
      <c r="A119" s="323" t="s">
        <v>637</v>
      </c>
      <c r="B119" s="323">
        <v>1</v>
      </c>
      <c r="C119" s="321"/>
      <c r="D119" s="321"/>
      <c r="E119" s="337">
        <f t="shared" si="3"/>
        <v>0</v>
      </c>
      <c r="F119" s="538"/>
      <c r="G119" s="538"/>
      <c r="H119" s="539"/>
    </row>
    <row r="120" spans="1:8" ht="30" customHeight="1" x14ac:dyDescent="0.2">
      <c r="A120" s="323" t="s">
        <v>636</v>
      </c>
      <c r="B120" s="323">
        <v>1</v>
      </c>
      <c r="C120" s="321"/>
      <c r="D120" s="321"/>
      <c r="E120" s="337">
        <f t="shared" si="3"/>
        <v>0</v>
      </c>
      <c r="F120" s="538"/>
      <c r="G120" s="538"/>
      <c r="H120" s="539"/>
    </row>
    <row r="121" spans="1:8" ht="30" customHeight="1" x14ac:dyDescent="0.2">
      <c r="A121" s="323" t="s">
        <v>635</v>
      </c>
      <c r="B121" s="323">
        <v>1</v>
      </c>
      <c r="C121" s="321"/>
      <c r="D121" s="321"/>
      <c r="E121" s="337">
        <f t="shared" si="3"/>
        <v>0</v>
      </c>
      <c r="F121" s="538"/>
      <c r="G121" s="538"/>
      <c r="H121" s="539"/>
    </row>
    <row r="122" spans="1:8" ht="30" customHeight="1" x14ac:dyDescent="0.2">
      <c r="A122" s="323" t="s">
        <v>634</v>
      </c>
      <c r="B122" s="322">
        <v>0</v>
      </c>
      <c r="C122" s="321"/>
      <c r="D122" s="370" t="s">
        <v>699</v>
      </c>
      <c r="E122" s="337">
        <f t="shared" si="3"/>
        <v>0</v>
      </c>
      <c r="F122" s="538"/>
      <c r="G122" s="538"/>
      <c r="H122" s="539"/>
    </row>
    <row r="123" spans="1:8" ht="30" customHeight="1" x14ac:dyDescent="0.2">
      <c r="A123" s="323" t="s">
        <v>633</v>
      </c>
      <c r="B123" s="322">
        <v>0</v>
      </c>
      <c r="C123" s="321"/>
      <c r="D123" s="370" t="s">
        <v>697</v>
      </c>
      <c r="E123" s="337">
        <f t="shared" si="3"/>
        <v>0</v>
      </c>
      <c r="F123" s="538"/>
      <c r="G123" s="538"/>
      <c r="H123" s="539"/>
    </row>
    <row r="124" spans="1:8" ht="30" customHeight="1" x14ac:dyDescent="0.2">
      <c r="A124" s="323" t="s">
        <v>632</v>
      </c>
      <c r="B124" s="322">
        <v>0</v>
      </c>
      <c r="C124" s="321"/>
      <c r="D124" s="370" t="s">
        <v>695</v>
      </c>
      <c r="E124" s="337">
        <f t="shared" si="3"/>
        <v>0</v>
      </c>
      <c r="F124" s="538"/>
      <c r="G124" s="538"/>
      <c r="H124" s="539"/>
    </row>
    <row r="125" spans="1:8" ht="30" customHeight="1" x14ac:dyDescent="0.2">
      <c r="A125" s="323" t="s">
        <v>631</v>
      </c>
      <c r="B125" s="322">
        <v>0</v>
      </c>
      <c r="C125" s="321"/>
      <c r="D125" s="370" t="s">
        <v>693</v>
      </c>
      <c r="E125" s="337">
        <f t="shared" si="3"/>
        <v>0</v>
      </c>
      <c r="F125" s="538"/>
      <c r="G125" s="538"/>
      <c r="H125" s="539"/>
    </row>
    <row r="126" spans="1:8" x14ac:dyDescent="0.2">
      <c r="A126" s="323"/>
      <c r="B126" s="288"/>
      <c r="C126" s="286"/>
      <c r="D126" s="287"/>
      <c r="E126" s="285"/>
      <c r="F126" s="282"/>
      <c r="G126" s="282"/>
      <c r="H126" s="280"/>
    </row>
    <row r="128" spans="1:8" x14ac:dyDescent="0.2">
      <c r="A128" s="366"/>
      <c r="B128" s="366"/>
      <c r="C128" s="366"/>
      <c r="D128" s="366"/>
      <c r="E128" s="343"/>
      <c r="F128" s="343"/>
      <c r="G128" s="343"/>
      <c r="H128" s="364"/>
    </row>
    <row r="129" spans="1:8" ht="15" customHeight="1" x14ac:dyDescent="0.2">
      <c r="A129" s="699" t="s">
        <v>50</v>
      </c>
      <c r="B129" s="699" t="s">
        <v>1046</v>
      </c>
      <c r="C129" s="700" t="s">
        <v>1047</v>
      </c>
      <c r="D129" s="700" t="s">
        <v>44</v>
      </c>
      <c r="E129" s="693" t="s">
        <v>1048</v>
      </c>
      <c r="F129" s="706" t="s">
        <v>1051</v>
      </c>
      <c r="G129" s="706" t="s">
        <v>1049</v>
      </c>
      <c r="H129" s="706" t="s">
        <v>1050</v>
      </c>
    </row>
    <row r="130" spans="1:8" ht="18" customHeight="1" x14ac:dyDescent="0.2">
      <c r="A130" s="699"/>
      <c r="B130" s="699"/>
      <c r="C130" s="700"/>
      <c r="D130" s="700"/>
      <c r="E130" s="693"/>
      <c r="F130" s="706"/>
      <c r="G130" s="706"/>
      <c r="H130" s="706"/>
    </row>
    <row r="131" spans="1:8" ht="30" customHeight="1" x14ac:dyDescent="0.2">
      <c r="A131" s="338">
        <v>5</v>
      </c>
      <c r="B131" s="338">
        <v>1</v>
      </c>
      <c r="C131" s="324" t="s">
        <v>859</v>
      </c>
      <c r="D131" s="324" t="s">
        <v>860</v>
      </c>
      <c r="E131" s="337">
        <f>F131*(1-G131)</f>
        <v>0.95</v>
      </c>
      <c r="F131" s="536">
        <v>1</v>
      </c>
      <c r="G131" s="541">
        <v>0.05</v>
      </c>
      <c r="H131" s="537" t="s">
        <v>1052</v>
      </c>
    </row>
    <row r="132" spans="1:8" ht="30" customHeight="1" x14ac:dyDescent="0.2">
      <c r="A132" s="323" t="s">
        <v>630</v>
      </c>
      <c r="B132" s="323">
        <v>1</v>
      </c>
      <c r="C132" s="321" t="s">
        <v>861</v>
      </c>
      <c r="D132" s="321" t="s">
        <v>503</v>
      </c>
      <c r="E132" s="337">
        <f t="shared" ref="E132:E155" si="4">F132*(1-G132)</f>
        <v>0</v>
      </c>
      <c r="F132" s="538"/>
      <c r="G132" s="538"/>
      <c r="H132" s="539"/>
    </row>
    <row r="133" spans="1:8" ht="30" customHeight="1" x14ac:dyDescent="0.2">
      <c r="A133" s="323" t="s">
        <v>629</v>
      </c>
      <c r="B133" s="323">
        <v>1</v>
      </c>
      <c r="C133" s="321"/>
      <c r="D133" s="321"/>
      <c r="E133" s="337">
        <f t="shared" si="4"/>
        <v>0</v>
      </c>
      <c r="F133" s="538"/>
      <c r="G133" s="538"/>
      <c r="H133" s="539"/>
    </row>
    <row r="134" spans="1:8" ht="30" customHeight="1" x14ac:dyDescent="0.2">
      <c r="A134" s="323" t="s">
        <v>628</v>
      </c>
      <c r="B134" s="323">
        <v>1</v>
      </c>
      <c r="C134" s="321"/>
      <c r="D134" s="321"/>
      <c r="E134" s="337">
        <f t="shared" si="4"/>
        <v>0</v>
      </c>
      <c r="F134" s="538"/>
      <c r="G134" s="538"/>
      <c r="H134" s="539"/>
    </row>
    <row r="135" spans="1:8" ht="30" customHeight="1" x14ac:dyDescent="0.2">
      <c r="A135" s="323" t="s">
        <v>627</v>
      </c>
      <c r="B135" s="323">
        <v>1</v>
      </c>
      <c r="C135" s="321"/>
      <c r="D135" s="321"/>
      <c r="E135" s="337">
        <f t="shared" si="4"/>
        <v>0</v>
      </c>
      <c r="F135" s="538"/>
      <c r="G135" s="538"/>
      <c r="H135" s="539"/>
    </row>
    <row r="136" spans="1:8" ht="30" customHeight="1" x14ac:dyDescent="0.2">
      <c r="A136" s="323" t="s">
        <v>626</v>
      </c>
      <c r="B136" s="323">
        <v>1</v>
      </c>
      <c r="C136" s="321"/>
      <c r="D136" s="321"/>
      <c r="E136" s="337">
        <f t="shared" si="4"/>
        <v>0</v>
      </c>
      <c r="F136" s="538"/>
      <c r="G136" s="538"/>
      <c r="H136" s="539"/>
    </row>
    <row r="137" spans="1:8" ht="30" customHeight="1" x14ac:dyDescent="0.2">
      <c r="A137" s="323" t="s">
        <v>625</v>
      </c>
      <c r="B137" s="323">
        <v>1</v>
      </c>
      <c r="C137" s="321"/>
      <c r="D137" s="321"/>
      <c r="E137" s="337">
        <f t="shared" si="4"/>
        <v>0</v>
      </c>
      <c r="F137" s="538"/>
      <c r="G137" s="538"/>
      <c r="H137" s="539"/>
    </row>
    <row r="138" spans="1:8" ht="30" customHeight="1" x14ac:dyDescent="0.2">
      <c r="A138" s="323" t="s">
        <v>624</v>
      </c>
      <c r="B138" s="323">
        <v>1</v>
      </c>
      <c r="C138" s="321"/>
      <c r="D138" s="321"/>
      <c r="E138" s="337">
        <f t="shared" si="4"/>
        <v>0</v>
      </c>
      <c r="F138" s="540"/>
      <c r="G138" s="540"/>
      <c r="H138" s="539"/>
    </row>
    <row r="139" spans="1:8" ht="30" customHeight="1" x14ac:dyDescent="0.2">
      <c r="A139" s="323" t="s">
        <v>623</v>
      </c>
      <c r="B139" s="323">
        <v>1</v>
      </c>
      <c r="C139" s="321"/>
      <c r="D139" s="321"/>
      <c r="E139" s="337">
        <f t="shared" si="4"/>
        <v>0</v>
      </c>
      <c r="F139" s="538"/>
      <c r="G139" s="538"/>
      <c r="H139" s="539"/>
    </row>
    <row r="140" spans="1:8" ht="30" customHeight="1" x14ac:dyDescent="0.2">
      <c r="A140" s="323" t="s">
        <v>622</v>
      </c>
      <c r="B140" s="323">
        <v>1</v>
      </c>
      <c r="C140" s="321"/>
      <c r="D140" s="321"/>
      <c r="E140" s="337">
        <f t="shared" si="4"/>
        <v>0</v>
      </c>
      <c r="F140" s="538"/>
      <c r="G140" s="538"/>
      <c r="H140" s="539"/>
    </row>
    <row r="141" spans="1:8" ht="30" customHeight="1" x14ac:dyDescent="0.2">
      <c r="A141" s="323" t="s">
        <v>621</v>
      </c>
      <c r="B141" s="323">
        <v>1</v>
      </c>
      <c r="C141" s="321"/>
      <c r="D141" s="321"/>
      <c r="E141" s="337">
        <f t="shared" si="4"/>
        <v>0</v>
      </c>
      <c r="F141" s="538"/>
      <c r="G141" s="538"/>
      <c r="H141" s="539"/>
    </row>
    <row r="142" spans="1:8" ht="30" customHeight="1" x14ac:dyDescent="0.2">
      <c r="A142" s="323" t="s">
        <v>620</v>
      </c>
      <c r="B142" s="323">
        <v>1</v>
      </c>
      <c r="C142" s="321"/>
      <c r="D142" s="321"/>
      <c r="E142" s="337">
        <f t="shared" si="4"/>
        <v>0</v>
      </c>
      <c r="F142" s="538"/>
      <c r="G142" s="538"/>
      <c r="H142" s="539"/>
    </row>
    <row r="143" spans="1:8" ht="30" customHeight="1" x14ac:dyDescent="0.2">
      <c r="A143" s="323" t="s">
        <v>619</v>
      </c>
      <c r="B143" s="323">
        <v>1</v>
      </c>
      <c r="C143" s="321"/>
      <c r="D143" s="321"/>
      <c r="E143" s="337">
        <f t="shared" si="4"/>
        <v>0</v>
      </c>
      <c r="F143" s="538"/>
      <c r="G143" s="538"/>
      <c r="H143" s="539"/>
    </row>
    <row r="144" spans="1:8" ht="30" customHeight="1" x14ac:dyDescent="0.2">
      <c r="A144" s="323" t="s">
        <v>618</v>
      </c>
      <c r="B144" s="323">
        <v>1</v>
      </c>
      <c r="C144" s="321"/>
      <c r="D144" s="321"/>
      <c r="E144" s="337">
        <f t="shared" si="4"/>
        <v>0</v>
      </c>
      <c r="F144" s="538"/>
      <c r="G144" s="538"/>
      <c r="H144" s="539"/>
    </row>
    <row r="145" spans="1:8" ht="30" customHeight="1" x14ac:dyDescent="0.2">
      <c r="A145" s="323" t="s">
        <v>617</v>
      </c>
      <c r="B145" s="323">
        <v>1</v>
      </c>
      <c r="C145" s="321"/>
      <c r="D145" s="321"/>
      <c r="E145" s="337">
        <f t="shared" si="4"/>
        <v>0</v>
      </c>
      <c r="F145" s="538"/>
      <c r="G145" s="538"/>
      <c r="H145" s="539"/>
    </row>
    <row r="146" spans="1:8" ht="30" customHeight="1" x14ac:dyDescent="0.2">
      <c r="A146" s="323" t="s">
        <v>616</v>
      </c>
      <c r="B146" s="323">
        <v>1</v>
      </c>
      <c r="C146" s="321"/>
      <c r="D146" s="321"/>
      <c r="E146" s="337">
        <f t="shared" si="4"/>
        <v>0</v>
      </c>
      <c r="F146" s="538"/>
      <c r="G146" s="538"/>
      <c r="H146" s="539"/>
    </row>
    <row r="147" spans="1:8" ht="30" customHeight="1" x14ac:dyDescent="0.2">
      <c r="A147" s="323" t="s">
        <v>615</v>
      </c>
      <c r="B147" s="323">
        <v>1</v>
      </c>
      <c r="C147" s="321"/>
      <c r="D147" s="321"/>
      <c r="E147" s="337">
        <f t="shared" si="4"/>
        <v>0</v>
      </c>
      <c r="F147" s="538"/>
      <c r="G147" s="538"/>
      <c r="H147" s="539"/>
    </row>
    <row r="148" spans="1:8" ht="30" customHeight="1" x14ac:dyDescent="0.2">
      <c r="A148" s="323" t="s">
        <v>614</v>
      </c>
      <c r="B148" s="323">
        <v>1</v>
      </c>
      <c r="C148" s="321"/>
      <c r="D148" s="321"/>
      <c r="E148" s="337">
        <f t="shared" si="4"/>
        <v>0</v>
      </c>
      <c r="F148" s="538"/>
      <c r="G148" s="538"/>
      <c r="H148" s="539"/>
    </row>
    <row r="149" spans="1:8" ht="30" customHeight="1" x14ac:dyDescent="0.2">
      <c r="A149" s="323" t="s">
        <v>613</v>
      </c>
      <c r="B149" s="323">
        <v>1</v>
      </c>
      <c r="C149" s="321"/>
      <c r="D149" s="321"/>
      <c r="E149" s="337">
        <f t="shared" si="4"/>
        <v>0</v>
      </c>
      <c r="F149" s="538"/>
      <c r="G149" s="538"/>
      <c r="H149" s="539"/>
    </row>
    <row r="150" spans="1:8" ht="30" customHeight="1" x14ac:dyDescent="0.2">
      <c r="A150" s="323" t="s">
        <v>612</v>
      </c>
      <c r="B150" s="323">
        <v>1</v>
      </c>
      <c r="C150" s="321"/>
      <c r="D150" s="321"/>
      <c r="E150" s="337">
        <f t="shared" si="4"/>
        <v>0</v>
      </c>
      <c r="F150" s="538"/>
      <c r="G150" s="538"/>
      <c r="H150" s="539"/>
    </row>
    <row r="151" spans="1:8" ht="30" customHeight="1" x14ac:dyDescent="0.2">
      <c r="A151" s="323" t="s">
        <v>611</v>
      </c>
      <c r="B151" s="323">
        <v>1</v>
      </c>
      <c r="C151" s="321"/>
      <c r="D151" s="321"/>
      <c r="E151" s="337">
        <f t="shared" si="4"/>
        <v>0</v>
      </c>
      <c r="F151" s="538"/>
      <c r="G151" s="538"/>
      <c r="H151" s="539"/>
    </row>
    <row r="152" spans="1:8" ht="30" customHeight="1" x14ac:dyDescent="0.2">
      <c r="A152" s="323" t="s">
        <v>610</v>
      </c>
      <c r="B152" s="322">
        <v>0</v>
      </c>
      <c r="C152" s="321"/>
      <c r="D152" s="370" t="s">
        <v>699</v>
      </c>
      <c r="E152" s="337">
        <f t="shared" si="4"/>
        <v>0</v>
      </c>
      <c r="F152" s="538"/>
      <c r="G152" s="538"/>
      <c r="H152" s="539"/>
    </row>
    <row r="153" spans="1:8" ht="30" customHeight="1" x14ac:dyDescent="0.2">
      <c r="A153" s="323" t="s">
        <v>609</v>
      </c>
      <c r="B153" s="322">
        <v>0</v>
      </c>
      <c r="C153" s="321"/>
      <c r="D153" s="370" t="s">
        <v>697</v>
      </c>
      <c r="E153" s="337">
        <f t="shared" si="4"/>
        <v>0</v>
      </c>
      <c r="F153" s="538"/>
      <c r="G153" s="538"/>
      <c r="H153" s="539"/>
    </row>
    <row r="154" spans="1:8" ht="30" customHeight="1" x14ac:dyDescent="0.2">
      <c r="A154" s="323" t="s">
        <v>608</v>
      </c>
      <c r="B154" s="322">
        <v>0</v>
      </c>
      <c r="C154" s="321"/>
      <c r="D154" s="370" t="s">
        <v>695</v>
      </c>
      <c r="E154" s="337">
        <f t="shared" si="4"/>
        <v>0</v>
      </c>
      <c r="F154" s="538"/>
      <c r="G154" s="538"/>
      <c r="H154" s="539"/>
    </row>
    <row r="155" spans="1:8" ht="30" customHeight="1" x14ac:dyDescent="0.2">
      <c r="A155" s="323" t="s">
        <v>607</v>
      </c>
      <c r="B155" s="322">
        <v>0</v>
      </c>
      <c r="C155" s="321"/>
      <c r="D155" s="370" t="s">
        <v>693</v>
      </c>
      <c r="E155" s="337">
        <f t="shared" si="4"/>
        <v>0</v>
      </c>
      <c r="F155" s="538"/>
      <c r="G155" s="538"/>
      <c r="H155" s="539"/>
    </row>
    <row r="156" spans="1:8" x14ac:dyDescent="0.2">
      <c r="A156" s="323"/>
      <c r="B156" s="288"/>
      <c r="C156" s="286"/>
      <c r="D156" s="287"/>
      <c r="E156" s="285"/>
      <c r="F156" s="282"/>
      <c r="G156" s="282"/>
      <c r="H156" s="280"/>
    </row>
    <row r="158" spans="1:8" x14ac:dyDescent="0.2">
      <c r="A158" s="366"/>
      <c r="B158" s="366"/>
      <c r="C158" s="366"/>
      <c r="D158" s="366"/>
      <c r="E158" s="343"/>
      <c r="F158" s="343"/>
      <c r="G158" s="343"/>
      <c r="H158" s="364"/>
    </row>
    <row r="159" spans="1:8" ht="15" customHeight="1" x14ac:dyDescent="0.2">
      <c r="A159" s="699" t="s">
        <v>50</v>
      </c>
      <c r="B159" s="699" t="s">
        <v>1046</v>
      </c>
      <c r="C159" s="700" t="s">
        <v>1047</v>
      </c>
      <c r="D159" s="700" t="s">
        <v>44</v>
      </c>
      <c r="E159" s="693" t="s">
        <v>1048</v>
      </c>
      <c r="F159" s="706" t="s">
        <v>1051</v>
      </c>
      <c r="G159" s="706" t="s">
        <v>1049</v>
      </c>
      <c r="H159" s="706" t="s">
        <v>1050</v>
      </c>
    </row>
    <row r="160" spans="1:8" ht="18" customHeight="1" x14ac:dyDescent="0.2">
      <c r="A160" s="699"/>
      <c r="B160" s="699"/>
      <c r="C160" s="700"/>
      <c r="D160" s="700"/>
      <c r="E160" s="693"/>
      <c r="F160" s="706"/>
      <c r="G160" s="706"/>
      <c r="H160" s="706"/>
    </row>
    <row r="161" spans="1:8" ht="30" customHeight="1" x14ac:dyDescent="0.2">
      <c r="A161" s="338">
        <v>6</v>
      </c>
      <c r="B161" s="338">
        <v>1</v>
      </c>
      <c r="C161" s="324" t="s">
        <v>859</v>
      </c>
      <c r="D161" s="324" t="s">
        <v>860</v>
      </c>
      <c r="E161" s="337">
        <f>F161*(1-G161)</f>
        <v>0.95</v>
      </c>
      <c r="F161" s="536">
        <v>1</v>
      </c>
      <c r="G161" s="541">
        <v>0.05</v>
      </c>
      <c r="H161" s="537" t="s">
        <v>1052</v>
      </c>
    </row>
    <row r="162" spans="1:8" ht="30" customHeight="1" x14ac:dyDescent="0.2">
      <c r="A162" s="323" t="s">
        <v>606</v>
      </c>
      <c r="B162" s="323">
        <v>1</v>
      </c>
      <c r="C162" s="321" t="s">
        <v>861</v>
      </c>
      <c r="D162" s="321" t="s">
        <v>503</v>
      </c>
      <c r="E162" s="337">
        <f t="shared" ref="E162:E185" si="5">F162*(1-G162)</f>
        <v>0</v>
      </c>
      <c r="F162" s="538"/>
      <c r="G162" s="538"/>
      <c r="H162" s="539"/>
    </row>
    <row r="163" spans="1:8" ht="30" customHeight="1" x14ac:dyDescent="0.2">
      <c r="A163" s="323" t="s">
        <v>605</v>
      </c>
      <c r="B163" s="323">
        <v>1</v>
      </c>
      <c r="C163" s="321"/>
      <c r="D163" s="321"/>
      <c r="E163" s="337">
        <f t="shared" si="5"/>
        <v>0</v>
      </c>
      <c r="F163" s="538"/>
      <c r="G163" s="538"/>
      <c r="H163" s="539"/>
    </row>
    <row r="164" spans="1:8" ht="30" customHeight="1" x14ac:dyDescent="0.2">
      <c r="A164" s="323" t="s">
        <v>604</v>
      </c>
      <c r="B164" s="323">
        <v>1</v>
      </c>
      <c r="C164" s="321"/>
      <c r="D164" s="321"/>
      <c r="E164" s="337">
        <f t="shared" si="5"/>
        <v>0</v>
      </c>
      <c r="F164" s="538"/>
      <c r="G164" s="538"/>
      <c r="H164" s="539"/>
    </row>
    <row r="165" spans="1:8" ht="30" customHeight="1" x14ac:dyDescent="0.2">
      <c r="A165" s="323" t="s">
        <v>603</v>
      </c>
      <c r="B165" s="323">
        <v>1</v>
      </c>
      <c r="C165" s="321"/>
      <c r="D165" s="321"/>
      <c r="E165" s="337">
        <f t="shared" si="5"/>
        <v>0</v>
      </c>
      <c r="F165" s="538"/>
      <c r="G165" s="538"/>
      <c r="H165" s="539"/>
    </row>
    <row r="166" spans="1:8" ht="30" customHeight="1" x14ac:dyDescent="0.2">
      <c r="A166" s="323" t="s">
        <v>602</v>
      </c>
      <c r="B166" s="323">
        <v>1</v>
      </c>
      <c r="C166" s="321"/>
      <c r="D166" s="321"/>
      <c r="E166" s="337">
        <f t="shared" si="5"/>
        <v>0</v>
      </c>
      <c r="F166" s="538"/>
      <c r="G166" s="538"/>
      <c r="H166" s="539"/>
    </row>
    <row r="167" spans="1:8" ht="30" customHeight="1" x14ac:dyDescent="0.2">
      <c r="A167" s="323" t="s">
        <v>601</v>
      </c>
      <c r="B167" s="323">
        <v>1</v>
      </c>
      <c r="C167" s="321"/>
      <c r="D167" s="321"/>
      <c r="E167" s="337">
        <f t="shared" si="5"/>
        <v>0</v>
      </c>
      <c r="F167" s="538"/>
      <c r="G167" s="538"/>
      <c r="H167" s="539"/>
    </row>
    <row r="168" spans="1:8" ht="30" customHeight="1" x14ac:dyDescent="0.2">
      <c r="A168" s="323" t="s">
        <v>600</v>
      </c>
      <c r="B168" s="323">
        <v>1</v>
      </c>
      <c r="C168" s="321"/>
      <c r="D168" s="321"/>
      <c r="E168" s="337">
        <f t="shared" si="5"/>
        <v>0</v>
      </c>
      <c r="F168" s="540"/>
      <c r="G168" s="540"/>
      <c r="H168" s="539"/>
    </row>
    <row r="169" spans="1:8" ht="30" customHeight="1" x14ac:dyDescent="0.2">
      <c r="A169" s="323" t="s">
        <v>599</v>
      </c>
      <c r="B169" s="323">
        <v>1</v>
      </c>
      <c r="C169" s="321"/>
      <c r="D169" s="321"/>
      <c r="E169" s="337">
        <f t="shared" si="5"/>
        <v>0</v>
      </c>
      <c r="F169" s="538"/>
      <c r="G169" s="538"/>
      <c r="H169" s="539"/>
    </row>
    <row r="170" spans="1:8" ht="30" customHeight="1" x14ac:dyDescent="0.2">
      <c r="A170" s="323" t="s">
        <v>598</v>
      </c>
      <c r="B170" s="323">
        <v>1</v>
      </c>
      <c r="C170" s="321"/>
      <c r="D170" s="321"/>
      <c r="E170" s="337">
        <f t="shared" si="5"/>
        <v>0</v>
      </c>
      <c r="F170" s="538"/>
      <c r="G170" s="538"/>
      <c r="H170" s="539"/>
    </row>
    <row r="171" spans="1:8" ht="30" customHeight="1" x14ac:dyDescent="0.2">
      <c r="A171" s="323" t="s">
        <v>597</v>
      </c>
      <c r="B171" s="323">
        <v>1</v>
      </c>
      <c r="C171" s="321"/>
      <c r="D171" s="321"/>
      <c r="E171" s="337">
        <f t="shared" si="5"/>
        <v>0</v>
      </c>
      <c r="F171" s="538"/>
      <c r="G171" s="538"/>
      <c r="H171" s="539"/>
    </row>
    <row r="172" spans="1:8" ht="30" customHeight="1" x14ac:dyDescent="0.2">
      <c r="A172" s="323" t="s">
        <v>596</v>
      </c>
      <c r="B172" s="323">
        <v>1</v>
      </c>
      <c r="C172" s="321"/>
      <c r="D172" s="321"/>
      <c r="E172" s="337">
        <f t="shared" si="5"/>
        <v>0</v>
      </c>
      <c r="F172" s="538"/>
      <c r="G172" s="538"/>
      <c r="H172" s="539"/>
    </row>
    <row r="173" spans="1:8" ht="30" customHeight="1" x14ac:dyDescent="0.2">
      <c r="A173" s="323" t="s">
        <v>595</v>
      </c>
      <c r="B173" s="323">
        <v>1</v>
      </c>
      <c r="C173" s="321"/>
      <c r="D173" s="321"/>
      <c r="E173" s="337">
        <f t="shared" si="5"/>
        <v>0</v>
      </c>
      <c r="F173" s="538"/>
      <c r="G173" s="538"/>
      <c r="H173" s="539"/>
    </row>
    <row r="174" spans="1:8" ht="30" customHeight="1" x14ac:dyDescent="0.2">
      <c r="A174" s="323" t="s">
        <v>594</v>
      </c>
      <c r="B174" s="323">
        <v>1</v>
      </c>
      <c r="C174" s="321"/>
      <c r="D174" s="321"/>
      <c r="E174" s="337">
        <f t="shared" si="5"/>
        <v>0</v>
      </c>
      <c r="F174" s="538"/>
      <c r="G174" s="538"/>
      <c r="H174" s="539"/>
    </row>
    <row r="175" spans="1:8" ht="30" customHeight="1" x14ac:dyDescent="0.2">
      <c r="A175" s="323" t="s">
        <v>593</v>
      </c>
      <c r="B175" s="323">
        <v>1</v>
      </c>
      <c r="C175" s="321"/>
      <c r="D175" s="321"/>
      <c r="E175" s="337">
        <f t="shared" si="5"/>
        <v>0</v>
      </c>
      <c r="F175" s="538"/>
      <c r="G175" s="538"/>
      <c r="H175" s="539"/>
    </row>
    <row r="176" spans="1:8" ht="30" customHeight="1" x14ac:dyDescent="0.2">
      <c r="A176" s="323" t="s">
        <v>592</v>
      </c>
      <c r="B176" s="323">
        <v>1</v>
      </c>
      <c r="C176" s="321"/>
      <c r="D176" s="321"/>
      <c r="E176" s="337">
        <f t="shared" si="5"/>
        <v>0</v>
      </c>
      <c r="F176" s="538"/>
      <c r="G176" s="538"/>
      <c r="H176" s="539"/>
    </row>
    <row r="177" spans="1:8" ht="30" customHeight="1" x14ac:dyDescent="0.2">
      <c r="A177" s="323" t="s">
        <v>591</v>
      </c>
      <c r="B177" s="323">
        <v>1</v>
      </c>
      <c r="C177" s="321"/>
      <c r="D177" s="321"/>
      <c r="E177" s="337">
        <f t="shared" si="5"/>
        <v>0</v>
      </c>
      <c r="F177" s="538"/>
      <c r="G177" s="538"/>
      <c r="H177" s="539"/>
    </row>
    <row r="178" spans="1:8" ht="30" customHeight="1" x14ac:dyDescent="0.2">
      <c r="A178" s="323" t="s">
        <v>590</v>
      </c>
      <c r="B178" s="323">
        <v>1</v>
      </c>
      <c r="C178" s="321"/>
      <c r="D178" s="321"/>
      <c r="E178" s="337">
        <f t="shared" si="5"/>
        <v>0</v>
      </c>
      <c r="F178" s="538"/>
      <c r="G178" s="538"/>
      <c r="H178" s="539"/>
    </row>
    <row r="179" spans="1:8" ht="30" customHeight="1" x14ac:dyDescent="0.2">
      <c r="A179" s="323" t="s">
        <v>589</v>
      </c>
      <c r="B179" s="323">
        <v>1</v>
      </c>
      <c r="C179" s="321"/>
      <c r="D179" s="321"/>
      <c r="E179" s="337">
        <f t="shared" si="5"/>
        <v>0</v>
      </c>
      <c r="F179" s="538"/>
      <c r="G179" s="538"/>
      <c r="H179" s="539"/>
    </row>
    <row r="180" spans="1:8" ht="30" customHeight="1" x14ac:dyDescent="0.2">
      <c r="A180" s="323" t="s">
        <v>588</v>
      </c>
      <c r="B180" s="323">
        <v>1</v>
      </c>
      <c r="C180" s="321"/>
      <c r="D180" s="321"/>
      <c r="E180" s="337">
        <f t="shared" si="5"/>
        <v>0</v>
      </c>
      <c r="F180" s="538"/>
      <c r="G180" s="538"/>
      <c r="H180" s="539"/>
    </row>
    <row r="181" spans="1:8" ht="30" customHeight="1" x14ac:dyDescent="0.2">
      <c r="A181" s="323" t="s">
        <v>587</v>
      </c>
      <c r="B181" s="323">
        <v>1</v>
      </c>
      <c r="C181" s="321"/>
      <c r="D181" s="321"/>
      <c r="E181" s="337">
        <f t="shared" si="5"/>
        <v>0</v>
      </c>
      <c r="F181" s="538"/>
      <c r="G181" s="538"/>
      <c r="H181" s="539"/>
    </row>
    <row r="182" spans="1:8" ht="30" customHeight="1" x14ac:dyDescent="0.2">
      <c r="A182" s="323" t="s">
        <v>586</v>
      </c>
      <c r="B182" s="322">
        <v>0</v>
      </c>
      <c r="C182" s="321"/>
      <c r="D182" s="370" t="s">
        <v>699</v>
      </c>
      <c r="E182" s="337">
        <f t="shared" si="5"/>
        <v>0</v>
      </c>
      <c r="F182" s="538"/>
      <c r="G182" s="538"/>
      <c r="H182" s="539"/>
    </row>
    <row r="183" spans="1:8" ht="30" customHeight="1" x14ac:dyDescent="0.2">
      <c r="A183" s="323" t="s">
        <v>585</v>
      </c>
      <c r="B183" s="322">
        <v>0</v>
      </c>
      <c r="C183" s="321"/>
      <c r="D183" s="370" t="s">
        <v>697</v>
      </c>
      <c r="E183" s="337">
        <f t="shared" si="5"/>
        <v>0</v>
      </c>
      <c r="F183" s="538"/>
      <c r="G183" s="538"/>
      <c r="H183" s="539"/>
    </row>
    <row r="184" spans="1:8" ht="30" customHeight="1" x14ac:dyDescent="0.2">
      <c r="A184" s="323" t="s">
        <v>584</v>
      </c>
      <c r="B184" s="322">
        <v>0</v>
      </c>
      <c r="C184" s="321"/>
      <c r="D184" s="370" t="s">
        <v>695</v>
      </c>
      <c r="E184" s="337">
        <f t="shared" si="5"/>
        <v>0</v>
      </c>
      <c r="F184" s="538"/>
      <c r="G184" s="538"/>
      <c r="H184" s="539"/>
    </row>
    <row r="185" spans="1:8" ht="30" customHeight="1" x14ac:dyDescent="0.2">
      <c r="A185" s="323" t="s">
        <v>583</v>
      </c>
      <c r="B185" s="322">
        <v>0</v>
      </c>
      <c r="C185" s="321"/>
      <c r="D185" s="370" t="s">
        <v>693</v>
      </c>
      <c r="E185" s="337">
        <f t="shared" si="5"/>
        <v>0</v>
      </c>
      <c r="F185" s="538"/>
      <c r="G185" s="538"/>
      <c r="H185" s="539"/>
    </row>
    <row r="186" spans="1:8" x14ac:dyDescent="0.2">
      <c r="A186" s="323"/>
      <c r="B186" s="288"/>
      <c r="C186" s="286"/>
      <c r="D186" s="287"/>
      <c r="E186" s="285"/>
      <c r="F186" s="282"/>
      <c r="G186" s="282"/>
      <c r="H186" s="280"/>
    </row>
    <row r="188" spans="1:8" x14ac:dyDescent="0.2">
      <c r="A188" s="366"/>
      <c r="B188" s="366"/>
      <c r="C188" s="366"/>
      <c r="D188" s="366"/>
      <c r="E188" s="343"/>
      <c r="F188" s="343"/>
      <c r="G188" s="343"/>
      <c r="H188" s="364"/>
    </row>
    <row r="189" spans="1:8" ht="15" customHeight="1" x14ac:dyDescent="0.2">
      <c r="A189" s="699" t="s">
        <v>50</v>
      </c>
      <c r="B189" s="699" t="s">
        <v>1046</v>
      </c>
      <c r="C189" s="700" t="s">
        <v>1047</v>
      </c>
      <c r="D189" s="700" t="s">
        <v>44</v>
      </c>
      <c r="E189" s="693" t="s">
        <v>1048</v>
      </c>
      <c r="F189" s="706" t="s">
        <v>1051</v>
      </c>
      <c r="G189" s="706" t="s">
        <v>1049</v>
      </c>
      <c r="H189" s="706" t="s">
        <v>1050</v>
      </c>
    </row>
    <row r="190" spans="1:8" ht="18" customHeight="1" x14ac:dyDescent="0.2">
      <c r="A190" s="699"/>
      <c r="B190" s="699"/>
      <c r="C190" s="700"/>
      <c r="D190" s="700"/>
      <c r="E190" s="693"/>
      <c r="F190" s="706"/>
      <c r="G190" s="706"/>
      <c r="H190" s="706"/>
    </row>
    <row r="191" spans="1:8" ht="30" customHeight="1" x14ac:dyDescent="0.2">
      <c r="A191" s="338">
        <v>7</v>
      </c>
      <c r="B191" s="338">
        <v>1</v>
      </c>
      <c r="C191" s="324" t="s">
        <v>859</v>
      </c>
      <c r="D191" s="324" t="s">
        <v>860</v>
      </c>
      <c r="E191" s="337">
        <f>F191*(1-G191)</f>
        <v>0.95</v>
      </c>
      <c r="F191" s="536">
        <v>1</v>
      </c>
      <c r="G191" s="541">
        <v>0.05</v>
      </c>
      <c r="H191" s="537" t="s">
        <v>1052</v>
      </c>
    </row>
    <row r="192" spans="1:8" ht="30" customHeight="1" x14ac:dyDescent="0.2">
      <c r="A192" s="323" t="s">
        <v>582</v>
      </c>
      <c r="B192" s="323">
        <v>1</v>
      </c>
      <c r="C192" s="321" t="s">
        <v>861</v>
      </c>
      <c r="D192" s="321" t="s">
        <v>503</v>
      </c>
      <c r="E192" s="337">
        <f t="shared" ref="E192:E215" si="6">F192*(1-G192)</f>
        <v>0</v>
      </c>
      <c r="F192" s="538"/>
      <c r="G192" s="538"/>
      <c r="H192" s="539"/>
    </row>
    <row r="193" spans="1:8" ht="30" customHeight="1" x14ac:dyDescent="0.2">
      <c r="A193" s="323" t="s">
        <v>581</v>
      </c>
      <c r="B193" s="323">
        <v>1</v>
      </c>
      <c r="C193" s="321"/>
      <c r="D193" s="321"/>
      <c r="E193" s="337">
        <f t="shared" si="6"/>
        <v>0</v>
      </c>
      <c r="F193" s="538"/>
      <c r="G193" s="538"/>
      <c r="H193" s="539"/>
    </row>
    <row r="194" spans="1:8" ht="30" customHeight="1" x14ac:dyDescent="0.2">
      <c r="A194" s="323" t="s">
        <v>580</v>
      </c>
      <c r="B194" s="323">
        <v>1</v>
      </c>
      <c r="C194" s="321"/>
      <c r="D194" s="321"/>
      <c r="E194" s="337">
        <f t="shared" si="6"/>
        <v>0</v>
      </c>
      <c r="F194" s="538"/>
      <c r="G194" s="538"/>
      <c r="H194" s="539"/>
    </row>
    <row r="195" spans="1:8" ht="30" customHeight="1" x14ac:dyDescent="0.2">
      <c r="A195" s="323" t="s">
        <v>579</v>
      </c>
      <c r="B195" s="323">
        <v>1</v>
      </c>
      <c r="C195" s="321"/>
      <c r="D195" s="321"/>
      <c r="E195" s="337">
        <f t="shared" si="6"/>
        <v>0</v>
      </c>
      <c r="F195" s="538"/>
      <c r="G195" s="538"/>
      <c r="H195" s="539"/>
    </row>
    <row r="196" spans="1:8" ht="30" customHeight="1" x14ac:dyDescent="0.2">
      <c r="A196" s="323" t="s">
        <v>578</v>
      </c>
      <c r="B196" s="323">
        <v>1</v>
      </c>
      <c r="C196" s="321"/>
      <c r="D196" s="321"/>
      <c r="E196" s="337">
        <f t="shared" si="6"/>
        <v>0</v>
      </c>
      <c r="F196" s="538"/>
      <c r="G196" s="538"/>
      <c r="H196" s="539"/>
    </row>
    <row r="197" spans="1:8" ht="30" customHeight="1" x14ac:dyDescent="0.2">
      <c r="A197" s="323" t="s">
        <v>577</v>
      </c>
      <c r="B197" s="323">
        <v>1</v>
      </c>
      <c r="C197" s="321"/>
      <c r="D197" s="321"/>
      <c r="E197" s="337">
        <f t="shared" si="6"/>
        <v>0</v>
      </c>
      <c r="F197" s="538"/>
      <c r="G197" s="538"/>
      <c r="H197" s="539"/>
    </row>
    <row r="198" spans="1:8" ht="30" customHeight="1" x14ac:dyDescent="0.2">
      <c r="A198" s="323" t="s">
        <v>576</v>
      </c>
      <c r="B198" s="323">
        <v>1</v>
      </c>
      <c r="C198" s="321"/>
      <c r="D198" s="321"/>
      <c r="E198" s="337">
        <f t="shared" si="6"/>
        <v>0</v>
      </c>
      <c r="F198" s="540"/>
      <c r="G198" s="540"/>
      <c r="H198" s="539"/>
    </row>
    <row r="199" spans="1:8" ht="30" customHeight="1" x14ac:dyDescent="0.2">
      <c r="A199" s="323" t="s">
        <v>575</v>
      </c>
      <c r="B199" s="323">
        <v>1</v>
      </c>
      <c r="C199" s="321"/>
      <c r="D199" s="321"/>
      <c r="E199" s="337">
        <f t="shared" si="6"/>
        <v>0</v>
      </c>
      <c r="F199" s="538"/>
      <c r="G199" s="538"/>
      <c r="H199" s="539"/>
    </row>
    <row r="200" spans="1:8" ht="30" customHeight="1" x14ac:dyDescent="0.2">
      <c r="A200" s="323" t="s">
        <v>574</v>
      </c>
      <c r="B200" s="323">
        <v>1</v>
      </c>
      <c r="C200" s="321"/>
      <c r="D200" s="321"/>
      <c r="E200" s="337">
        <f t="shared" si="6"/>
        <v>0</v>
      </c>
      <c r="F200" s="538"/>
      <c r="G200" s="538"/>
      <c r="H200" s="539"/>
    </row>
    <row r="201" spans="1:8" ht="30" customHeight="1" x14ac:dyDescent="0.2">
      <c r="A201" s="323" t="s">
        <v>573</v>
      </c>
      <c r="B201" s="323">
        <v>1</v>
      </c>
      <c r="C201" s="321"/>
      <c r="D201" s="321"/>
      <c r="E201" s="337">
        <f t="shared" si="6"/>
        <v>0</v>
      </c>
      <c r="F201" s="538"/>
      <c r="G201" s="538"/>
      <c r="H201" s="539"/>
    </row>
    <row r="202" spans="1:8" ht="30" customHeight="1" x14ac:dyDescent="0.2">
      <c r="A202" s="323" t="s">
        <v>572</v>
      </c>
      <c r="B202" s="323">
        <v>1</v>
      </c>
      <c r="C202" s="321"/>
      <c r="D202" s="321"/>
      <c r="E202" s="337">
        <f t="shared" si="6"/>
        <v>0</v>
      </c>
      <c r="F202" s="538"/>
      <c r="G202" s="538"/>
      <c r="H202" s="539"/>
    </row>
    <row r="203" spans="1:8" ht="30" customHeight="1" x14ac:dyDescent="0.2">
      <c r="A203" s="323" t="s">
        <v>571</v>
      </c>
      <c r="B203" s="323">
        <v>1</v>
      </c>
      <c r="C203" s="321"/>
      <c r="D203" s="321"/>
      <c r="E203" s="337">
        <f t="shared" si="6"/>
        <v>0</v>
      </c>
      <c r="F203" s="538"/>
      <c r="G203" s="538"/>
      <c r="H203" s="539"/>
    </row>
    <row r="204" spans="1:8" ht="30" customHeight="1" x14ac:dyDescent="0.2">
      <c r="A204" s="323" t="s">
        <v>570</v>
      </c>
      <c r="B204" s="323">
        <v>1</v>
      </c>
      <c r="C204" s="321"/>
      <c r="D204" s="321"/>
      <c r="E204" s="337">
        <f t="shared" si="6"/>
        <v>0</v>
      </c>
      <c r="F204" s="538"/>
      <c r="G204" s="538"/>
      <c r="H204" s="539"/>
    </row>
    <row r="205" spans="1:8" ht="30" customHeight="1" x14ac:dyDescent="0.2">
      <c r="A205" s="323" t="s">
        <v>569</v>
      </c>
      <c r="B205" s="323">
        <v>1</v>
      </c>
      <c r="C205" s="321"/>
      <c r="D205" s="321"/>
      <c r="E205" s="337">
        <f t="shared" si="6"/>
        <v>0</v>
      </c>
      <c r="F205" s="538"/>
      <c r="G205" s="538"/>
      <c r="H205" s="539"/>
    </row>
    <row r="206" spans="1:8" ht="30" customHeight="1" x14ac:dyDescent="0.2">
      <c r="A206" s="323" t="s">
        <v>568</v>
      </c>
      <c r="B206" s="323">
        <v>1</v>
      </c>
      <c r="C206" s="321"/>
      <c r="D206" s="321"/>
      <c r="E206" s="337">
        <f t="shared" si="6"/>
        <v>0</v>
      </c>
      <c r="F206" s="538"/>
      <c r="G206" s="538"/>
      <c r="H206" s="539"/>
    </row>
    <row r="207" spans="1:8" ht="30" customHeight="1" x14ac:dyDescent="0.2">
      <c r="A207" s="323" t="s">
        <v>567</v>
      </c>
      <c r="B207" s="323">
        <v>1</v>
      </c>
      <c r="C207" s="321"/>
      <c r="D207" s="321"/>
      <c r="E207" s="337">
        <f t="shared" si="6"/>
        <v>0</v>
      </c>
      <c r="F207" s="538"/>
      <c r="G207" s="538"/>
      <c r="H207" s="539"/>
    </row>
    <row r="208" spans="1:8" ht="30" customHeight="1" x14ac:dyDescent="0.2">
      <c r="A208" s="323" t="s">
        <v>566</v>
      </c>
      <c r="B208" s="323">
        <v>1</v>
      </c>
      <c r="C208" s="321"/>
      <c r="D208" s="321"/>
      <c r="E208" s="337">
        <f t="shared" si="6"/>
        <v>0</v>
      </c>
      <c r="F208" s="538"/>
      <c r="G208" s="538"/>
      <c r="H208" s="539"/>
    </row>
    <row r="209" spans="1:8" ht="30" customHeight="1" x14ac:dyDescent="0.2">
      <c r="A209" s="323" t="s">
        <v>565</v>
      </c>
      <c r="B209" s="323">
        <v>1</v>
      </c>
      <c r="C209" s="321"/>
      <c r="D209" s="321"/>
      <c r="E209" s="337">
        <f t="shared" si="6"/>
        <v>0</v>
      </c>
      <c r="F209" s="538"/>
      <c r="G209" s="538"/>
      <c r="H209" s="539"/>
    </row>
    <row r="210" spans="1:8" ht="30" customHeight="1" x14ac:dyDescent="0.2">
      <c r="A210" s="323" t="s">
        <v>564</v>
      </c>
      <c r="B210" s="323">
        <v>1</v>
      </c>
      <c r="C210" s="321"/>
      <c r="D210" s="321"/>
      <c r="E210" s="337">
        <f t="shared" si="6"/>
        <v>0</v>
      </c>
      <c r="F210" s="538"/>
      <c r="G210" s="538"/>
      <c r="H210" s="539"/>
    </row>
    <row r="211" spans="1:8" ht="30" customHeight="1" x14ac:dyDescent="0.2">
      <c r="A211" s="323" t="s">
        <v>563</v>
      </c>
      <c r="B211" s="323">
        <v>1</v>
      </c>
      <c r="C211" s="321"/>
      <c r="D211" s="321"/>
      <c r="E211" s="337">
        <f t="shared" si="6"/>
        <v>0</v>
      </c>
      <c r="F211" s="538"/>
      <c r="G211" s="538"/>
      <c r="H211" s="539"/>
    </row>
    <row r="212" spans="1:8" ht="30" customHeight="1" x14ac:dyDescent="0.2">
      <c r="A212" s="323" t="s">
        <v>562</v>
      </c>
      <c r="B212" s="322">
        <v>0</v>
      </c>
      <c r="C212" s="321"/>
      <c r="D212" s="370" t="s">
        <v>699</v>
      </c>
      <c r="E212" s="337">
        <f t="shared" si="6"/>
        <v>0</v>
      </c>
      <c r="F212" s="538"/>
      <c r="G212" s="538"/>
      <c r="H212" s="539"/>
    </row>
    <row r="213" spans="1:8" ht="30" customHeight="1" x14ac:dyDescent="0.2">
      <c r="A213" s="323" t="s">
        <v>561</v>
      </c>
      <c r="B213" s="322">
        <v>0</v>
      </c>
      <c r="C213" s="321"/>
      <c r="D213" s="370" t="s">
        <v>697</v>
      </c>
      <c r="E213" s="337">
        <f t="shared" si="6"/>
        <v>0</v>
      </c>
      <c r="F213" s="538"/>
      <c r="G213" s="538"/>
      <c r="H213" s="539"/>
    </row>
    <row r="214" spans="1:8" ht="30" customHeight="1" x14ac:dyDescent="0.2">
      <c r="A214" s="323" t="s">
        <v>560</v>
      </c>
      <c r="B214" s="322">
        <v>0</v>
      </c>
      <c r="C214" s="321"/>
      <c r="D214" s="370" t="s">
        <v>695</v>
      </c>
      <c r="E214" s="337">
        <f t="shared" si="6"/>
        <v>0</v>
      </c>
      <c r="F214" s="538"/>
      <c r="G214" s="538"/>
      <c r="H214" s="539"/>
    </row>
    <row r="215" spans="1:8" ht="30" customHeight="1" x14ac:dyDescent="0.2">
      <c r="A215" s="323" t="s">
        <v>559</v>
      </c>
      <c r="B215" s="322">
        <v>0</v>
      </c>
      <c r="C215" s="321"/>
      <c r="D215" s="370" t="s">
        <v>693</v>
      </c>
      <c r="E215" s="337">
        <f t="shared" si="6"/>
        <v>0</v>
      </c>
      <c r="F215" s="538"/>
      <c r="G215" s="538"/>
      <c r="H215" s="539"/>
    </row>
    <row r="216" spans="1:8" x14ac:dyDescent="0.2">
      <c r="A216" s="323"/>
      <c r="B216" s="288"/>
      <c r="C216" s="286"/>
      <c r="D216" s="287"/>
      <c r="E216" s="285"/>
      <c r="F216" s="282"/>
      <c r="G216" s="282"/>
      <c r="H216" s="280"/>
    </row>
    <row r="218" spans="1:8" x14ac:dyDescent="0.2">
      <c r="A218" s="366"/>
      <c r="B218" s="366"/>
      <c r="C218" s="366"/>
      <c r="D218" s="366"/>
      <c r="E218" s="343"/>
      <c r="F218" s="343"/>
      <c r="G218" s="343"/>
      <c r="H218" s="364"/>
    </row>
    <row r="219" spans="1:8" ht="15" customHeight="1" x14ac:dyDescent="0.2">
      <c r="A219" s="699" t="s">
        <v>50</v>
      </c>
      <c r="B219" s="699" t="s">
        <v>1046</v>
      </c>
      <c r="C219" s="700" t="s">
        <v>1047</v>
      </c>
      <c r="D219" s="700" t="s">
        <v>44</v>
      </c>
      <c r="E219" s="693" t="s">
        <v>1048</v>
      </c>
      <c r="F219" s="706" t="s">
        <v>1051</v>
      </c>
      <c r="G219" s="706" t="s">
        <v>1049</v>
      </c>
      <c r="H219" s="706" t="s">
        <v>1050</v>
      </c>
    </row>
    <row r="220" spans="1:8" ht="18" customHeight="1" x14ac:dyDescent="0.2">
      <c r="A220" s="699"/>
      <c r="B220" s="699"/>
      <c r="C220" s="700"/>
      <c r="D220" s="700"/>
      <c r="E220" s="693"/>
      <c r="F220" s="706"/>
      <c r="G220" s="706"/>
      <c r="H220" s="706"/>
    </row>
    <row r="221" spans="1:8" ht="30" customHeight="1" x14ac:dyDescent="0.2">
      <c r="A221" s="338">
        <v>8</v>
      </c>
      <c r="B221" s="338">
        <v>1</v>
      </c>
      <c r="C221" s="324" t="s">
        <v>859</v>
      </c>
      <c r="D221" s="324" t="s">
        <v>860</v>
      </c>
      <c r="E221" s="337">
        <f>F221*(1-G221)</f>
        <v>0.95</v>
      </c>
      <c r="F221" s="536">
        <v>1</v>
      </c>
      <c r="G221" s="541">
        <v>0.05</v>
      </c>
      <c r="H221" s="537" t="s">
        <v>1052</v>
      </c>
    </row>
    <row r="222" spans="1:8" ht="30" customHeight="1" x14ac:dyDescent="0.2">
      <c r="A222" s="323" t="s">
        <v>558</v>
      </c>
      <c r="B222" s="323">
        <v>1</v>
      </c>
      <c r="C222" s="321" t="s">
        <v>861</v>
      </c>
      <c r="D222" s="321" t="s">
        <v>503</v>
      </c>
      <c r="E222" s="337">
        <f t="shared" ref="E222:E245" si="7">F222*(1-G222)</f>
        <v>0</v>
      </c>
      <c r="F222" s="538"/>
      <c r="G222" s="538"/>
      <c r="H222" s="539"/>
    </row>
    <row r="223" spans="1:8" ht="30" customHeight="1" x14ac:dyDescent="0.2">
      <c r="A223" s="323" t="s">
        <v>557</v>
      </c>
      <c r="B223" s="323">
        <v>1</v>
      </c>
      <c r="C223" s="321"/>
      <c r="D223" s="321"/>
      <c r="E223" s="337">
        <f t="shared" si="7"/>
        <v>0</v>
      </c>
      <c r="F223" s="538"/>
      <c r="G223" s="538"/>
      <c r="H223" s="539"/>
    </row>
    <row r="224" spans="1:8" ht="30" customHeight="1" x14ac:dyDescent="0.2">
      <c r="A224" s="323" t="s">
        <v>556</v>
      </c>
      <c r="B224" s="323">
        <v>1</v>
      </c>
      <c r="C224" s="321"/>
      <c r="D224" s="321"/>
      <c r="E224" s="337">
        <f t="shared" si="7"/>
        <v>0</v>
      </c>
      <c r="F224" s="538"/>
      <c r="G224" s="538"/>
      <c r="H224" s="539"/>
    </row>
    <row r="225" spans="1:8" ht="30" customHeight="1" x14ac:dyDescent="0.2">
      <c r="A225" s="323" t="s">
        <v>555</v>
      </c>
      <c r="B225" s="323">
        <v>1</v>
      </c>
      <c r="C225" s="321"/>
      <c r="D225" s="321"/>
      <c r="E225" s="337">
        <f t="shared" si="7"/>
        <v>0</v>
      </c>
      <c r="F225" s="538"/>
      <c r="G225" s="538"/>
      <c r="H225" s="539"/>
    </row>
    <row r="226" spans="1:8" ht="30" customHeight="1" x14ac:dyDescent="0.2">
      <c r="A226" s="323" t="s">
        <v>554</v>
      </c>
      <c r="B226" s="323">
        <v>1</v>
      </c>
      <c r="C226" s="321"/>
      <c r="D226" s="321"/>
      <c r="E226" s="337">
        <f t="shared" si="7"/>
        <v>0</v>
      </c>
      <c r="F226" s="538"/>
      <c r="G226" s="538"/>
      <c r="H226" s="539"/>
    </row>
    <row r="227" spans="1:8" ht="30" customHeight="1" x14ac:dyDescent="0.2">
      <c r="A227" s="323" t="s">
        <v>553</v>
      </c>
      <c r="B227" s="323">
        <v>1</v>
      </c>
      <c r="C227" s="321"/>
      <c r="D227" s="321"/>
      <c r="E227" s="337">
        <f t="shared" si="7"/>
        <v>0</v>
      </c>
      <c r="F227" s="538"/>
      <c r="G227" s="538"/>
      <c r="H227" s="539"/>
    </row>
    <row r="228" spans="1:8" ht="30" customHeight="1" x14ac:dyDescent="0.2">
      <c r="A228" s="323" t="s">
        <v>552</v>
      </c>
      <c r="B228" s="323">
        <v>1</v>
      </c>
      <c r="C228" s="321"/>
      <c r="D228" s="321"/>
      <c r="E228" s="337">
        <f t="shared" si="7"/>
        <v>0</v>
      </c>
      <c r="F228" s="540"/>
      <c r="G228" s="540"/>
      <c r="H228" s="539"/>
    </row>
    <row r="229" spans="1:8" ht="30" customHeight="1" x14ac:dyDescent="0.2">
      <c r="A229" s="323" t="s">
        <v>551</v>
      </c>
      <c r="B229" s="323">
        <v>1</v>
      </c>
      <c r="C229" s="321"/>
      <c r="D229" s="321"/>
      <c r="E229" s="337">
        <f t="shared" si="7"/>
        <v>0</v>
      </c>
      <c r="F229" s="538"/>
      <c r="G229" s="538"/>
      <c r="H229" s="539"/>
    </row>
    <row r="230" spans="1:8" ht="30" customHeight="1" x14ac:dyDescent="0.2">
      <c r="A230" s="323" t="s">
        <v>550</v>
      </c>
      <c r="B230" s="323">
        <v>1</v>
      </c>
      <c r="C230" s="321"/>
      <c r="D230" s="321"/>
      <c r="E230" s="337">
        <f t="shared" si="7"/>
        <v>0</v>
      </c>
      <c r="F230" s="538"/>
      <c r="G230" s="538"/>
      <c r="H230" s="539"/>
    </row>
    <row r="231" spans="1:8" ht="30" customHeight="1" x14ac:dyDescent="0.2">
      <c r="A231" s="323" t="s">
        <v>549</v>
      </c>
      <c r="B231" s="323">
        <v>1</v>
      </c>
      <c r="C231" s="321"/>
      <c r="D231" s="321"/>
      <c r="E231" s="337">
        <f t="shared" si="7"/>
        <v>0</v>
      </c>
      <c r="F231" s="538"/>
      <c r="G231" s="538"/>
      <c r="H231" s="539"/>
    </row>
    <row r="232" spans="1:8" ht="30" customHeight="1" x14ac:dyDescent="0.2">
      <c r="A232" s="323" t="s">
        <v>548</v>
      </c>
      <c r="B232" s="323">
        <v>1</v>
      </c>
      <c r="C232" s="321"/>
      <c r="D232" s="321"/>
      <c r="E232" s="337">
        <f t="shared" si="7"/>
        <v>0</v>
      </c>
      <c r="F232" s="538"/>
      <c r="G232" s="538"/>
      <c r="H232" s="539"/>
    </row>
    <row r="233" spans="1:8" ht="30" customHeight="1" x14ac:dyDescent="0.2">
      <c r="A233" s="323" t="s">
        <v>547</v>
      </c>
      <c r="B233" s="323">
        <v>1</v>
      </c>
      <c r="C233" s="321"/>
      <c r="D233" s="321"/>
      <c r="E233" s="337">
        <f t="shared" si="7"/>
        <v>0</v>
      </c>
      <c r="F233" s="538"/>
      <c r="G233" s="538"/>
      <c r="H233" s="539"/>
    </row>
    <row r="234" spans="1:8" ht="30" customHeight="1" x14ac:dyDescent="0.2">
      <c r="A234" s="323" t="s">
        <v>546</v>
      </c>
      <c r="B234" s="323">
        <v>1</v>
      </c>
      <c r="C234" s="321"/>
      <c r="D234" s="321"/>
      <c r="E234" s="337">
        <f t="shared" si="7"/>
        <v>0</v>
      </c>
      <c r="F234" s="538"/>
      <c r="G234" s="538"/>
      <c r="H234" s="539"/>
    </row>
    <row r="235" spans="1:8" ht="30" customHeight="1" x14ac:dyDescent="0.2">
      <c r="A235" s="323" t="s">
        <v>545</v>
      </c>
      <c r="B235" s="323">
        <v>1</v>
      </c>
      <c r="C235" s="321"/>
      <c r="D235" s="321"/>
      <c r="E235" s="337">
        <f t="shared" si="7"/>
        <v>0</v>
      </c>
      <c r="F235" s="538"/>
      <c r="G235" s="538"/>
      <c r="H235" s="539"/>
    </row>
    <row r="236" spans="1:8" ht="30" customHeight="1" x14ac:dyDescent="0.2">
      <c r="A236" s="323" t="s">
        <v>544</v>
      </c>
      <c r="B236" s="323">
        <v>1</v>
      </c>
      <c r="C236" s="321"/>
      <c r="D236" s="321"/>
      <c r="E236" s="337">
        <f t="shared" si="7"/>
        <v>0</v>
      </c>
      <c r="F236" s="538"/>
      <c r="G236" s="538"/>
      <c r="H236" s="539"/>
    </row>
    <row r="237" spans="1:8" ht="30" customHeight="1" x14ac:dyDescent="0.2">
      <c r="A237" s="323" t="s">
        <v>543</v>
      </c>
      <c r="B237" s="323">
        <v>1</v>
      </c>
      <c r="C237" s="321"/>
      <c r="D237" s="321"/>
      <c r="E237" s="337">
        <f t="shared" si="7"/>
        <v>0</v>
      </c>
      <c r="F237" s="538"/>
      <c r="G237" s="538"/>
      <c r="H237" s="539"/>
    </row>
    <row r="238" spans="1:8" ht="30" customHeight="1" x14ac:dyDescent="0.2">
      <c r="A238" s="323" t="s">
        <v>542</v>
      </c>
      <c r="B238" s="323">
        <v>1</v>
      </c>
      <c r="C238" s="321"/>
      <c r="D238" s="321"/>
      <c r="E238" s="337">
        <f t="shared" si="7"/>
        <v>0</v>
      </c>
      <c r="F238" s="538"/>
      <c r="G238" s="538"/>
      <c r="H238" s="539"/>
    </row>
    <row r="239" spans="1:8" ht="30" customHeight="1" x14ac:dyDescent="0.2">
      <c r="A239" s="323" t="s">
        <v>541</v>
      </c>
      <c r="B239" s="323">
        <v>1</v>
      </c>
      <c r="C239" s="321"/>
      <c r="D239" s="321"/>
      <c r="E239" s="337">
        <f t="shared" si="7"/>
        <v>0</v>
      </c>
      <c r="F239" s="538"/>
      <c r="G239" s="538"/>
      <c r="H239" s="539"/>
    </row>
    <row r="240" spans="1:8" ht="30" customHeight="1" x14ac:dyDescent="0.2">
      <c r="A240" s="323" t="s">
        <v>540</v>
      </c>
      <c r="B240" s="323">
        <v>1</v>
      </c>
      <c r="C240" s="321"/>
      <c r="D240" s="321"/>
      <c r="E240" s="337">
        <f t="shared" si="7"/>
        <v>0</v>
      </c>
      <c r="F240" s="538"/>
      <c r="G240" s="538"/>
      <c r="H240" s="539"/>
    </row>
    <row r="241" spans="1:8" ht="30" customHeight="1" x14ac:dyDescent="0.2">
      <c r="A241" s="323" t="s">
        <v>539</v>
      </c>
      <c r="B241" s="323">
        <v>1</v>
      </c>
      <c r="C241" s="321"/>
      <c r="D241" s="321"/>
      <c r="E241" s="337">
        <f t="shared" si="7"/>
        <v>0</v>
      </c>
      <c r="F241" s="538"/>
      <c r="G241" s="538"/>
      <c r="H241" s="539"/>
    </row>
    <row r="242" spans="1:8" ht="30" customHeight="1" x14ac:dyDescent="0.2">
      <c r="A242" s="323" t="s">
        <v>538</v>
      </c>
      <c r="B242" s="322">
        <v>0</v>
      </c>
      <c r="C242" s="321"/>
      <c r="D242" s="370" t="s">
        <v>699</v>
      </c>
      <c r="E242" s="337">
        <f t="shared" si="7"/>
        <v>0</v>
      </c>
      <c r="F242" s="538"/>
      <c r="G242" s="538"/>
      <c r="H242" s="539"/>
    </row>
    <row r="243" spans="1:8" ht="30" customHeight="1" x14ac:dyDescent="0.2">
      <c r="A243" s="323" t="s">
        <v>537</v>
      </c>
      <c r="B243" s="322">
        <v>0</v>
      </c>
      <c r="C243" s="321"/>
      <c r="D243" s="370" t="s">
        <v>697</v>
      </c>
      <c r="E243" s="337">
        <f t="shared" si="7"/>
        <v>0</v>
      </c>
      <c r="F243" s="538"/>
      <c r="G243" s="538"/>
      <c r="H243" s="539"/>
    </row>
    <row r="244" spans="1:8" ht="30" customHeight="1" x14ac:dyDescent="0.2">
      <c r="A244" s="323" t="s">
        <v>536</v>
      </c>
      <c r="B244" s="322">
        <v>0</v>
      </c>
      <c r="C244" s="321"/>
      <c r="D244" s="370" t="s">
        <v>695</v>
      </c>
      <c r="E244" s="337">
        <f t="shared" si="7"/>
        <v>0</v>
      </c>
      <c r="F244" s="538"/>
      <c r="G244" s="538"/>
      <c r="H244" s="539"/>
    </row>
    <row r="245" spans="1:8" ht="30" customHeight="1" x14ac:dyDescent="0.2">
      <c r="A245" s="323" t="s">
        <v>535</v>
      </c>
      <c r="B245" s="322">
        <v>0</v>
      </c>
      <c r="C245" s="321"/>
      <c r="D245" s="370" t="s">
        <v>693</v>
      </c>
      <c r="E245" s="337">
        <f t="shared" si="7"/>
        <v>0</v>
      </c>
      <c r="F245" s="538"/>
      <c r="G245" s="538"/>
      <c r="H245" s="539"/>
    </row>
    <row r="246" spans="1:8" x14ac:dyDescent="0.2">
      <c r="A246" s="323"/>
      <c r="B246" s="288"/>
      <c r="C246" s="286"/>
      <c r="D246" s="287"/>
      <c r="E246" s="285"/>
      <c r="F246" s="282"/>
      <c r="G246" s="282"/>
      <c r="H246" s="280"/>
    </row>
    <row r="248" spans="1:8" x14ac:dyDescent="0.2">
      <c r="A248" s="366"/>
      <c r="B248" s="366"/>
      <c r="C248" s="366"/>
      <c r="D248" s="366"/>
      <c r="E248" s="343"/>
      <c r="F248" s="343"/>
      <c r="G248" s="343"/>
      <c r="H248" s="364"/>
    </row>
    <row r="249" spans="1:8" ht="15" customHeight="1" x14ac:dyDescent="0.2">
      <c r="A249" s="699" t="s">
        <v>50</v>
      </c>
      <c r="B249" s="699" t="s">
        <v>1046</v>
      </c>
      <c r="C249" s="700" t="s">
        <v>1047</v>
      </c>
      <c r="D249" s="700" t="s">
        <v>44</v>
      </c>
      <c r="E249" s="693" t="s">
        <v>1048</v>
      </c>
      <c r="F249" s="706" t="s">
        <v>1051</v>
      </c>
      <c r="G249" s="706" t="s">
        <v>1049</v>
      </c>
      <c r="H249" s="706" t="s">
        <v>1050</v>
      </c>
    </row>
    <row r="250" spans="1:8" ht="18" customHeight="1" x14ac:dyDescent="0.2">
      <c r="A250" s="699"/>
      <c r="B250" s="699"/>
      <c r="C250" s="700"/>
      <c r="D250" s="700"/>
      <c r="E250" s="693"/>
      <c r="F250" s="706"/>
      <c r="G250" s="706"/>
      <c r="H250" s="706"/>
    </row>
    <row r="251" spans="1:8" ht="30" customHeight="1" x14ac:dyDescent="0.2">
      <c r="A251" s="338">
        <v>9</v>
      </c>
      <c r="B251" s="338">
        <v>1</v>
      </c>
      <c r="C251" s="324" t="s">
        <v>859</v>
      </c>
      <c r="D251" s="324" t="s">
        <v>860</v>
      </c>
      <c r="E251" s="337">
        <f>F251*(1-G251)</f>
        <v>0.95</v>
      </c>
      <c r="F251" s="536">
        <v>1</v>
      </c>
      <c r="G251" s="541">
        <v>0.05</v>
      </c>
      <c r="H251" s="537" t="s">
        <v>1052</v>
      </c>
    </row>
    <row r="252" spans="1:8" ht="30" customHeight="1" x14ac:dyDescent="0.2">
      <c r="A252" s="323" t="s">
        <v>77</v>
      </c>
      <c r="B252" s="323">
        <v>1</v>
      </c>
      <c r="C252" s="321" t="s">
        <v>861</v>
      </c>
      <c r="D252" s="321" t="s">
        <v>503</v>
      </c>
      <c r="E252" s="337">
        <f t="shared" ref="E252:E275" si="8">F252*(1-G252)</f>
        <v>0</v>
      </c>
      <c r="F252" s="538"/>
      <c r="G252" s="538"/>
      <c r="H252" s="539"/>
    </row>
    <row r="253" spans="1:8" ht="30" customHeight="1" x14ac:dyDescent="0.2">
      <c r="A253" s="323" t="s">
        <v>534</v>
      </c>
      <c r="B253" s="323">
        <v>1</v>
      </c>
      <c r="C253" s="321"/>
      <c r="D253" s="321"/>
      <c r="E253" s="337">
        <f t="shared" si="8"/>
        <v>0</v>
      </c>
      <c r="F253" s="538"/>
      <c r="G253" s="538"/>
      <c r="H253" s="539"/>
    </row>
    <row r="254" spans="1:8" ht="30" customHeight="1" x14ac:dyDescent="0.2">
      <c r="A254" s="323" t="s">
        <v>533</v>
      </c>
      <c r="B254" s="323">
        <v>1</v>
      </c>
      <c r="C254" s="321"/>
      <c r="D254" s="321"/>
      <c r="E254" s="337">
        <f t="shared" si="8"/>
        <v>0</v>
      </c>
      <c r="F254" s="538"/>
      <c r="G254" s="538"/>
      <c r="H254" s="539"/>
    </row>
    <row r="255" spans="1:8" ht="30" customHeight="1" x14ac:dyDescent="0.2">
      <c r="A255" s="323" t="s">
        <v>532</v>
      </c>
      <c r="B255" s="323">
        <v>1</v>
      </c>
      <c r="C255" s="321"/>
      <c r="D255" s="321"/>
      <c r="E255" s="337">
        <f t="shared" si="8"/>
        <v>0</v>
      </c>
      <c r="F255" s="538"/>
      <c r="G255" s="538"/>
      <c r="H255" s="539"/>
    </row>
    <row r="256" spans="1:8" ht="30" customHeight="1" x14ac:dyDescent="0.2">
      <c r="A256" s="323" t="s">
        <v>531</v>
      </c>
      <c r="B256" s="323">
        <v>1</v>
      </c>
      <c r="C256" s="321"/>
      <c r="D256" s="321"/>
      <c r="E256" s="337">
        <f t="shared" si="8"/>
        <v>0</v>
      </c>
      <c r="F256" s="538"/>
      <c r="G256" s="538"/>
      <c r="H256" s="539"/>
    </row>
    <row r="257" spans="1:8" ht="30" customHeight="1" x14ac:dyDescent="0.2">
      <c r="A257" s="323" t="s">
        <v>530</v>
      </c>
      <c r="B257" s="323">
        <v>1</v>
      </c>
      <c r="C257" s="321"/>
      <c r="D257" s="321"/>
      <c r="E257" s="337">
        <f t="shared" si="8"/>
        <v>0</v>
      </c>
      <c r="F257" s="538"/>
      <c r="G257" s="538"/>
      <c r="H257" s="539"/>
    </row>
    <row r="258" spans="1:8" ht="30" customHeight="1" x14ac:dyDescent="0.2">
      <c r="A258" s="323" t="s">
        <v>529</v>
      </c>
      <c r="B258" s="323">
        <v>1</v>
      </c>
      <c r="C258" s="321"/>
      <c r="D258" s="321"/>
      <c r="E258" s="337">
        <f t="shared" si="8"/>
        <v>0</v>
      </c>
      <c r="F258" s="540"/>
      <c r="G258" s="540"/>
      <c r="H258" s="539"/>
    </row>
    <row r="259" spans="1:8" ht="30" customHeight="1" x14ac:dyDescent="0.2">
      <c r="A259" s="323" t="s">
        <v>528</v>
      </c>
      <c r="B259" s="323">
        <v>1</v>
      </c>
      <c r="C259" s="321"/>
      <c r="D259" s="321"/>
      <c r="E259" s="337">
        <f t="shared" si="8"/>
        <v>0</v>
      </c>
      <c r="F259" s="538"/>
      <c r="G259" s="538"/>
      <c r="H259" s="539"/>
    </row>
    <row r="260" spans="1:8" ht="30" customHeight="1" x14ac:dyDescent="0.2">
      <c r="A260" s="323" t="s">
        <v>527</v>
      </c>
      <c r="B260" s="323">
        <v>1</v>
      </c>
      <c r="C260" s="321"/>
      <c r="D260" s="321"/>
      <c r="E260" s="337">
        <f t="shared" si="8"/>
        <v>0</v>
      </c>
      <c r="F260" s="538"/>
      <c r="G260" s="538"/>
      <c r="H260" s="539"/>
    </row>
    <row r="261" spans="1:8" ht="30" customHeight="1" x14ac:dyDescent="0.2">
      <c r="A261" s="323" t="s">
        <v>526</v>
      </c>
      <c r="B261" s="323">
        <v>1</v>
      </c>
      <c r="C261" s="321"/>
      <c r="D261" s="321"/>
      <c r="E261" s="337">
        <f t="shared" si="8"/>
        <v>0</v>
      </c>
      <c r="F261" s="538"/>
      <c r="G261" s="538"/>
      <c r="H261" s="539"/>
    </row>
    <row r="262" spans="1:8" ht="30" customHeight="1" x14ac:dyDescent="0.2">
      <c r="A262" s="323" t="s">
        <v>525</v>
      </c>
      <c r="B262" s="323">
        <v>1</v>
      </c>
      <c r="C262" s="321"/>
      <c r="D262" s="321"/>
      <c r="E262" s="337">
        <f t="shared" si="8"/>
        <v>0</v>
      </c>
      <c r="F262" s="538"/>
      <c r="G262" s="538"/>
      <c r="H262" s="539"/>
    </row>
    <row r="263" spans="1:8" ht="30" customHeight="1" x14ac:dyDescent="0.2">
      <c r="A263" s="323" t="s">
        <v>524</v>
      </c>
      <c r="B263" s="323">
        <v>1</v>
      </c>
      <c r="C263" s="321"/>
      <c r="D263" s="321"/>
      <c r="E263" s="337">
        <f t="shared" si="8"/>
        <v>0</v>
      </c>
      <c r="F263" s="538"/>
      <c r="G263" s="538"/>
      <c r="H263" s="539"/>
    </row>
    <row r="264" spans="1:8" ht="30" customHeight="1" x14ac:dyDescent="0.2">
      <c r="A264" s="323" t="s">
        <v>523</v>
      </c>
      <c r="B264" s="323">
        <v>1</v>
      </c>
      <c r="C264" s="321"/>
      <c r="D264" s="321"/>
      <c r="E264" s="337">
        <f t="shared" si="8"/>
        <v>0</v>
      </c>
      <c r="F264" s="538"/>
      <c r="G264" s="538"/>
      <c r="H264" s="539"/>
    </row>
    <row r="265" spans="1:8" ht="30" customHeight="1" x14ac:dyDescent="0.2">
      <c r="A265" s="323" t="s">
        <v>522</v>
      </c>
      <c r="B265" s="323">
        <v>1</v>
      </c>
      <c r="C265" s="321"/>
      <c r="D265" s="321"/>
      <c r="E265" s="337">
        <f t="shared" si="8"/>
        <v>0</v>
      </c>
      <c r="F265" s="538"/>
      <c r="G265" s="538"/>
      <c r="H265" s="539"/>
    </row>
    <row r="266" spans="1:8" ht="30" customHeight="1" x14ac:dyDescent="0.2">
      <c r="A266" s="323" t="s">
        <v>521</v>
      </c>
      <c r="B266" s="323">
        <v>1</v>
      </c>
      <c r="C266" s="321"/>
      <c r="D266" s="321"/>
      <c r="E266" s="337">
        <f t="shared" si="8"/>
        <v>0</v>
      </c>
      <c r="F266" s="538"/>
      <c r="G266" s="538"/>
      <c r="H266" s="539"/>
    </row>
    <row r="267" spans="1:8" ht="30" customHeight="1" x14ac:dyDescent="0.2">
      <c r="A267" s="323" t="s">
        <v>520</v>
      </c>
      <c r="B267" s="323">
        <v>1</v>
      </c>
      <c r="C267" s="321"/>
      <c r="D267" s="321"/>
      <c r="E267" s="337">
        <f t="shared" si="8"/>
        <v>0</v>
      </c>
      <c r="F267" s="538"/>
      <c r="G267" s="538"/>
      <c r="H267" s="539"/>
    </row>
    <row r="268" spans="1:8" ht="30" customHeight="1" x14ac:dyDescent="0.2">
      <c r="A268" s="323" t="s">
        <v>519</v>
      </c>
      <c r="B268" s="323">
        <v>1</v>
      </c>
      <c r="C268" s="321"/>
      <c r="D268" s="321"/>
      <c r="E268" s="337">
        <f t="shared" si="8"/>
        <v>0</v>
      </c>
      <c r="F268" s="538"/>
      <c r="G268" s="538"/>
      <c r="H268" s="539"/>
    </row>
    <row r="269" spans="1:8" ht="30" customHeight="1" x14ac:dyDescent="0.2">
      <c r="A269" s="323" t="s">
        <v>518</v>
      </c>
      <c r="B269" s="323">
        <v>1</v>
      </c>
      <c r="C269" s="321"/>
      <c r="D269" s="321"/>
      <c r="E269" s="337">
        <f t="shared" si="8"/>
        <v>0</v>
      </c>
      <c r="F269" s="538"/>
      <c r="G269" s="538"/>
      <c r="H269" s="539"/>
    </row>
    <row r="270" spans="1:8" ht="30" customHeight="1" x14ac:dyDescent="0.2">
      <c r="A270" s="323" t="s">
        <v>517</v>
      </c>
      <c r="B270" s="323">
        <v>1</v>
      </c>
      <c r="C270" s="321"/>
      <c r="D270" s="321"/>
      <c r="E270" s="337">
        <f t="shared" si="8"/>
        <v>0</v>
      </c>
      <c r="F270" s="538"/>
      <c r="G270" s="538"/>
      <c r="H270" s="539"/>
    </row>
    <row r="271" spans="1:8" ht="30" customHeight="1" x14ac:dyDescent="0.2">
      <c r="A271" s="323" t="s">
        <v>516</v>
      </c>
      <c r="B271" s="323">
        <v>1</v>
      </c>
      <c r="C271" s="321"/>
      <c r="D271" s="321"/>
      <c r="E271" s="337">
        <f t="shared" si="8"/>
        <v>0</v>
      </c>
      <c r="F271" s="538"/>
      <c r="G271" s="538"/>
      <c r="H271" s="539"/>
    </row>
    <row r="272" spans="1:8" ht="30" customHeight="1" x14ac:dyDescent="0.2">
      <c r="A272" s="323" t="s">
        <v>515</v>
      </c>
      <c r="B272" s="322">
        <v>0</v>
      </c>
      <c r="C272" s="321"/>
      <c r="D272" s="370" t="s">
        <v>699</v>
      </c>
      <c r="E272" s="337">
        <f t="shared" si="8"/>
        <v>0</v>
      </c>
      <c r="F272" s="538"/>
      <c r="G272" s="538"/>
      <c r="H272" s="539"/>
    </row>
    <row r="273" spans="1:8" ht="30" customHeight="1" x14ac:dyDescent="0.2">
      <c r="A273" s="323" t="s">
        <v>514</v>
      </c>
      <c r="B273" s="322">
        <v>0</v>
      </c>
      <c r="C273" s="321"/>
      <c r="D273" s="370" t="s">
        <v>697</v>
      </c>
      <c r="E273" s="337">
        <f t="shared" si="8"/>
        <v>0</v>
      </c>
      <c r="F273" s="538"/>
      <c r="G273" s="538"/>
      <c r="H273" s="539"/>
    </row>
    <row r="274" spans="1:8" ht="30" customHeight="1" x14ac:dyDescent="0.2">
      <c r="A274" s="323" t="s">
        <v>513</v>
      </c>
      <c r="B274" s="322">
        <v>0</v>
      </c>
      <c r="C274" s="321"/>
      <c r="D274" s="370" t="s">
        <v>695</v>
      </c>
      <c r="E274" s="337">
        <f t="shared" si="8"/>
        <v>0</v>
      </c>
      <c r="F274" s="538"/>
      <c r="G274" s="538"/>
      <c r="H274" s="539"/>
    </row>
    <row r="275" spans="1:8" ht="30" customHeight="1" x14ac:dyDescent="0.2">
      <c r="A275" s="323" t="s">
        <v>512</v>
      </c>
      <c r="B275" s="322">
        <v>0</v>
      </c>
      <c r="C275" s="321"/>
      <c r="D275" s="370" t="s">
        <v>693</v>
      </c>
      <c r="E275" s="337">
        <f t="shared" si="8"/>
        <v>0</v>
      </c>
      <c r="F275" s="538"/>
      <c r="G275" s="538"/>
      <c r="H275" s="539"/>
    </row>
    <row r="276" spans="1:8" x14ac:dyDescent="0.2">
      <c r="A276" s="323"/>
      <c r="B276" s="288"/>
      <c r="C276" s="286"/>
      <c r="D276" s="287"/>
      <c r="E276" s="285"/>
      <c r="F276" s="282"/>
      <c r="G276" s="282"/>
      <c r="H276" s="280"/>
    </row>
    <row r="278" spans="1:8" x14ac:dyDescent="0.2">
      <c r="A278" s="366"/>
      <c r="B278" s="366"/>
      <c r="C278" s="366"/>
      <c r="D278" s="366"/>
      <c r="E278" s="343"/>
      <c r="F278" s="343"/>
      <c r="G278" s="343"/>
      <c r="H278" s="364"/>
    </row>
    <row r="279" spans="1:8" ht="15" customHeight="1" x14ac:dyDescent="0.2">
      <c r="A279" s="699" t="s">
        <v>50</v>
      </c>
      <c r="B279" s="699" t="s">
        <v>1046</v>
      </c>
      <c r="C279" s="700" t="s">
        <v>1047</v>
      </c>
      <c r="D279" s="700" t="s">
        <v>44</v>
      </c>
      <c r="E279" s="693" t="s">
        <v>1048</v>
      </c>
      <c r="F279" s="706" t="s">
        <v>1051</v>
      </c>
      <c r="G279" s="706" t="s">
        <v>1049</v>
      </c>
      <c r="H279" s="706" t="s">
        <v>1050</v>
      </c>
    </row>
    <row r="280" spans="1:8" ht="18" customHeight="1" x14ac:dyDescent="0.2">
      <c r="A280" s="699"/>
      <c r="B280" s="699"/>
      <c r="C280" s="700"/>
      <c r="D280" s="700"/>
      <c r="E280" s="693"/>
      <c r="F280" s="706"/>
      <c r="G280" s="706"/>
      <c r="H280" s="706"/>
    </row>
    <row r="281" spans="1:8" ht="30" customHeight="1" x14ac:dyDescent="0.2">
      <c r="A281" s="338">
        <v>10</v>
      </c>
      <c r="B281" s="338">
        <v>1</v>
      </c>
      <c r="C281" s="324" t="s">
        <v>859</v>
      </c>
      <c r="D281" s="324" t="s">
        <v>860</v>
      </c>
      <c r="E281" s="337">
        <f>F281*(1-G281)</f>
        <v>0.95</v>
      </c>
      <c r="F281" s="536">
        <v>1</v>
      </c>
      <c r="G281" s="541">
        <v>0.05</v>
      </c>
      <c r="H281" s="537" t="s">
        <v>1052</v>
      </c>
    </row>
    <row r="282" spans="1:8" ht="30" customHeight="1" x14ac:dyDescent="0.2">
      <c r="A282" s="323" t="s">
        <v>478</v>
      </c>
      <c r="B282" s="323">
        <v>1</v>
      </c>
      <c r="C282" s="321" t="s">
        <v>861</v>
      </c>
      <c r="D282" s="321" t="s">
        <v>503</v>
      </c>
      <c r="E282" s="337">
        <f t="shared" ref="E282:E305" si="9">F282*(1-G282)</f>
        <v>0</v>
      </c>
      <c r="F282" s="538"/>
      <c r="G282" s="538"/>
      <c r="H282" s="539"/>
    </row>
    <row r="283" spans="1:8" ht="30" customHeight="1" x14ac:dyDescent="0.2">
      <c r="A283" s="323" t="s">
        <v>477</v>
      </c>
      <c r="B283" s="323">
        <v>1</v>
      </c>
      <c r="C283" s="321"/>
      <c r="D283" s="321"/>
      <c r="E283" s="337">
        <f t="shared" si="9"/>
        <v>0</v>
      </c>
      <c r="F283" s="538"/>
      <c r="G283" s="538"/>
      <c r="H283" s="539"/>
    </row>
    <row r="284" spans="1:8" ht="30" customHeight="1" x14ac:dyDescent="0.2">
      <c r="A284" s="323" t="s">
        <v>476</v>
      </c>
      <c r="B284" s="323">
        <v>1</v>
      </c>
      <c r="C284" s="321"/>
      <c r="D284" s="321"/>
      <c r="E284" s="337">
        <f t="shared" si="9"/>
        <v>0</v>
      </c>
      <c r="F284" s="538"/>
      <c r="G284" s="538"/>
      <c r="H284" s="539"/>
    </row>
    <row r="285" spans="1:8" ht="30" customHeight="1" x14ac:dyDescent="0.2">
      <c r="A285" s="323" t="s">
        <v>475</v>
      </c>
      <c r="B285" s="323">
        <v>1</v>
      </c>
      <c r="C285" s="321"/>
      <c r="D285" s="321"/>
      <c r="E285" s="337">
        <f t="shared" si="9"/>
        <v>0</v>
      </c>
      <c r="F285" s="538"/>
      <c r="G285" s="538"/>
      <c r="H285" s="539"/>
    </row>
    <row r="286" spans="1:8" ht="30" customHeight="1" x14ac:dyDescent="0.2">
      <c r="A286" s="323" t="s">
        <v>474</v>
      </c>
      <c r="B286" s="323">
        <v>1</v>
      </c>
      <c r="C286" s="321"/>
      <c r="D286" s="321"/>
      <c r="E286" s="337">
        <f t="shared" si="9"/>
        <v>0</v>
      </c>
      <c r="F286" s="538"/>
      <c r="G286" s="538"/>
      <c r="H286" s="539"/>
    </row>
    <row r="287" spans="1:8" ht="30" customHeight="1" x14ac:dyDescent="0.2">
      <c r="A287" s="323" t="s">
        <v>473</v>
      </c>
      <c r="B287" s="323">
        <v>1</v>
      </c>
      <c r="C287" s="321"/>
      <c r="D287" s="321"/>
      <c r="E287" s="337">
        <f t="shared" si="9"/>
        <v>0</v>
      </c>
      <c r="F287" s="538"/>
      <c r="G287" s="538"/>
      <c r="H287" s="539"/>
    </row>
    <row r="288" spans="1:8" ht="30" customHeight="1" x14ac:dyDescent="0.2">
      <c r="A288" s="323" t="s">
        <v>472</v>
      </c>
      <c r="B288" s="323">
        <v>1</v>
      </c>
      <c r="C288" s="321"/>
      <c r="D288" s="321"/>
      <c r="E288" s="337">
        <f t="shared" si="9"/>
        <v>0</v>
      </c>
      <c r="F288" s="540"/>
      <c r="G288" s="540"/>
      <c r="H288" s="539"/>
    </row>
    <row r="289" spans="1:8" ht="30" customHeight="1" x14ac:dyDescent="0.2">
      <c r="A289" s="323" t="s">
        <v>471</v>
      </c>
      <c r="B289" s="323">
        <v>1</v>
      </c>
      <c r="C289" s="321"/>
      <c r="D289" s="321"/>
      <c r="E289" s="337">
        <f t="shared" si="9"/>
        <v>0</v>
      </c>
      <c r="F289" s="538"/>
      <c r="G289" s="538"/>
      <c r="H289" s="539"/>
    </row>
    <row r="290" spans="1:8" ht="30" customHeight="1" x14ac:dyDescent="0.2">
      <c r="A290" s="323" t="s">
        <v>470</v>
      </c>
      <c r="B290" s="323">
        <v>1</v>
      </c>
      <c r="C290" s="321"/>
      <c r="D290" s="321"/>
      <c r="E290" s="337">
        <f t="shared" si="9"/>
        <v>0</v>
      </c>
      <c r="F290" s="538"/>
      <c r="G290" s="538"/>
      <c r="H290" s="539"/>
    </row>
    <row r="291" spans="1:8" ht="30" customHeight="1" x14ac:dyDescent="0.2">
      <c r="A291" s="323" t="s">
        <v>469</v>
      </c>
      <c r="B291" s="323">
        <v>1</v>
      </c>
      <c r="C291" s="321"/>
      <c r="D291" s="321"/>
      <c r="E291" s="337">
        <f t="shared" si="9"/>
        <v>0</v>
      </c>
      <c r="F291" s="538"/>
      <c r="G291" s="538"/>
      <c r="H291" s="539"/>
    </row>
    <row r="292" spans="1:8" ht="30" customHeight="1" x14ac:dyDescent="0.2">
      <c r="A292" s="323" t="s">
        <v>468</v>
      </c>
      <c r="B292" s="323">
        <v>1</v>
      </c>
      <c r="C292" s="321"/>
      <c r="D292" s="321"/>
      <c r="E292" s="337">
        <f t="shared" si="9"/>
        <v>0</v>
      </c>
      <c r="F292" s="538"/>
      <c r="G292" s="538"/>
      <c r="H292" s="539"/>
    </row>
    <row r="293" spans="1:8" ht="30" customHeight="1" x14ac:dyDescent="0.2">
      <c r="A293" s="323" t="s">
        <v>467</v>
      </c>
      <c r="B293" s="323">
        <v>1</v>
      </c>
      <c r="C293" s="321"/>
      <c r="D293" s="321"/>
      <c r="E293" s="337">
        <f t="shared" si="9"/>
        <v>0</v>
      </c>
      <c r="F293" s="538"/>
      <c r="G293" s="538"/>
      <c r="H293" s="539"/>
    </row>
    <row r="294" spans="1:8" ht="30" customHeight="1" x14ac:dyDescent="0.2">
      <c r="A294" s="323" t="s">
        <v>466</v>
      </c>
      <c r="B294" s="323">
        <v>1</v>
      </c>
      <c r="C294" s="321"/>
      <c r="D294" s="321"/>
      <c r="E294" s="337">
        <f t="shared" si="9"/>
        <v>0</v>
      </c>
      <c r="F294" s="538"/>
      <c r="G294" s="538"/>
      <c r="H294" s="539"/>
    </row>
    <row r="295" spans="1:8" ht="30" customHeight="1" x14ac:dyDescent="0.2">
      <c r="A295" s="323" t="s">
        <v>465</v>
      </c>
      <c r="B295" s="323">
        <v>1</v>
      </c>
      <c r="C295" s="321"/>
      <c r="D295" s="321"/>
      <c r="E295" s="337">
        <f t="shared" si="9"/>
        <v>0</v>
      </c>
      <c r="F295" s="538"/>
      <c r="G295" s="538"/>
      <c r="H295" s="539"/>
    </row>
    <row r="296" spans="1:8" ht="30" customHeight="1" x14ac:dyDescent="0.2">
      <c r="A296" s="323" t="s">
        <v>464</v>
      </c>
      <c r="B296" s="323">
        <v>1</v>
      </c>
      <c r="C296" s="321"/>
      <c r="D296" s="321"/>
      <c r="E296" s="337">
        <f t="shared" si="9"/>
        <v>0</v>
      </c>
      <c r="F296" s="538"/>
      <c r="G296" s="538"/>
      <c r="H296" s="539"/>
    </row>
    <row r="297" spans="1:8" ht="30" customHeight="1" x14ac:dyDescent="0.2">
      <c r="A297" s="323" t="s">
        <v>463</v>
      </c>
      <c r="B297" s="323">
        <v>1</v>
      </c>
      <c r="C297" s="321"/>
      <c r="D297" s="321"/>
      <c r="E297" s="337">
        <f t="shared" si="9"/>
        <v>0</v>
      </c>
      <c r="F297" s="538"/>
      <c r="G297" s="538"/>
      <c r="H297" s="539"/>
    </row>
    <row r="298" spans="1:8" ht="30" customHeight="1" x14ac:dyDescent="0.2">
      <c r="A298" s="323" t="s">
        <v>462</v>
      </c>
      <c r="B298" s="323">
        <v>1</v>
      </c>
      <c r="C298" s="321"/>
      <c r="D298" s="321"/>
      <c r="E298" s="337">
        <f t="shared" si="9"/>
        <v>0</v>
      </c>
      <c r="F298" s="538"/>
      <c r="G298" s="538"/>
      <c r="H298" s="539"/>
    </row>
    <row r="299" spans="1:8" ht="30" customHeight="1" x14ac:dyDescent="0.2">
      <c r="A299" s="323" t="s">
        <v>461</v>
      </c>
      <c r="B299" s="323">
        <v>1</v>
      </c>
      <c r="C299" s="321"/>
      <c r="D299" s="321"/>
      <c r="E299" s="337">
        <f t="shared" si="9"/>
        <v>0</v>
      </c>
      <c r="F299" s="538"/>
      <c r="G299" s="538"/>
      <c r="H299" s="539"/>
    </row>
    <row r="300" spans="1:8" ht="30" customHeight="1" x14ac:dyDescent="0.2">
      <c r="A300" s="323" t="s">
        <v>460</v>
      </c>
      <c r="B300" s="323">
        <v>1</v>
      </c>
      <c r="C300" s="321"/>
      <c r="D300" s="321"/>
      <c r="E300" s="337">
        <f t="shared" si="9"/>
        <v>0</v>
      </c>
      <c r="F300" s="538"/>
      <c r="G300" s="538"/>
      <c r="H300" s="539"/>
    </row>
    <row r="301" spans="1:8" ht="30" customHeight="1" x14ac:dyDescent="0.2">
      <c r="A301" s="323" t="s">
        <v>459</v>
      </c>
      <c r="B301" s="323">
        <v>1</v>
      </c>
      <c r="C301" s="321"/>
      <c r="D301" s="321"/>
      <c r="E301" s="337">
        <f t="shared" si="9"/>
        <v>0</v>
      </c>
      <c r="F301" s="538"/>
      <c r="G301" s="538"/>
      <c r="H301" s="539"/>
    </row>
    <row r="302" spans="1:8" ht="30" customHeight="1" x14ac:dyDescent="0.2">
      <c r="A302" s="323" t="s">
        <v>458</v>
      </c>
      <c r="B302" s="322">
        <v>0</v>
      </c>
      <c r="C302" s="321"/>
      <c r="D302" s="370" t="s">
        <v>699</v>
      </c>
      <c r="E302" s="337">
        <f t="shared" si="9"/>
        <v>0</v>
      </c>
      <c r="F302" s="538"/>
      <c r="G302" s="538"/>
      <c r="H302" s="539"/>
    </row>
    <row r="303" spans="1:8" ht="30" customHeight="1" x14ac:dyDescent="0.2">
      <c r="A303" s="323" t="s">
        <v>457</v>
      </c>
      <c r="B303" s="322">
        <v>0</v>
      </c>
      <c r="C303" s="321"/>
      <c r="D303" s="370" t="s">
        <v>697</v>
      </c>
      <c r="E303" s="337">
        <f t="shared" si="9"/>
        <v>0</v>
      </c>
      <c r="F303" s="538"/>
      <c r="G303" s="538"/>
      <c r="H303" s="539"/>
    </row>
    <row r="304" spans="1:8" ht="30" customHeight="1" x14ac:dyDescent="0.2">
      <c r="A304" s="323" t="s">
        <v>456</v>
      </c>
      <c r="B304" s="322">
        <v>0</v>
      </c>
      <c r="C304" s="321"/>
      <c r="D304" s="370" t="s">
        <v>695</v>
      </c>
      <c r="E304" s="337">
        <f t="shared" si="9"/>
        <v>0</v>
      </c>
      <c r="F304" s="538"/>
      <c r="G304" s="538"/>
      <c r="H304" s="539"/>
    </row>
    <row r="305" spans="1:8" ht="30" customHeight="1" x14ac:dyDescent="0.2">
      <c r="A305" s="323" t="s">
        <v>455</v>
      </c>
      <c r="B305" s="322">
        <v>0</v>
      </c>
      <c r="C305" s="321"/>
      <c r="D305" s="370" t="s">
        <v>693</v>
      </c>
      <c r="E305" s="337">
        <f t="shared" si="9"/>
        <v>0</v>
      </c>
      <c r="F305" s="538"/>
      <c r="G305" s="538"/>
      <c r="H305" s="539"/>
    </row>
    <row r="306" spans="1:8" x14ac:dyDescent="0.2">
      <c r="A306" s="323"/>
      <c r="B306" s="288"/>
      <c r="C306" s="286"/>
      <c r="D306" s="287"/>
      <c r="E306" s="285"/>
      <c r="F306" s="282"/>
      <c r="G306" s="282"/>
      <c r="H306" s="280"/>
    </row>
  </sheetData>
  <mergeCells count="82">
    <mergeCell ref="A1:E5"/>
    <mergeCell ref="A9:A10"/>
    <mergeCell ref="B9:B10"/>
    <mergeCell ref="C9:C10"/>
    <mergeCell ref="D9:D10"/>
    <mergeCell ref="E9:E10"/>
    <mergeCell ref="G9:G10"/>
    <mergeCell ref="F7:H7"/>
    <mergeCell ref="G39:G40"/>
    <mergeCell ref="H39:H40"/>
    <mergeCell ref="G69:G70"/>
    <mergeCell ref="H69:H70"/>
    <mergeCell ref="F9:F10"/>
    <mergeCell ref="H9:H10"/>
    <mergeCell ref="F69:F70"/>
    <mergeCell ref="F39:F40"/>
    <mergeCell ref="A39:A40"/>
    <mergeCell ref="B39:B40"/>
    <mergeCell ref="C39:C40"/>
    <mergeCell ref="D39:D40"/>
    <mergeCell ref="E39:E40"/>
    <mergeCell ref="A69:A70"/>
    <mergeCell ref="B69:B70"/>
    <mergeCell ref="C69:C70"/>
    <mergeCell ref="D69:D70"/>
    <mergeCell ref="E69:E70"/>
    <mergeCell ref="G99:G100"/>
    <mergeCell ref="H99:H100"/>
    <mergeCell ref="A129:A130"/>
    <mergeCell ref="B129:B130"/>
    <mergeCell ref="C129:C130"/>
    <mergeCell ref="D129:D130"/>
    <mergeCell ref="E129:E130"/>
    <mergeCell ref="F129:F130"/>
    <mergeCell ref="G129:G130"/>
    <mergeCell ref="H129:H130"/>
    <mergeCell ref="A99:A100"/>
    <mergeCell ref="B99:B100"/>
    <mergeCell ref="C99:C100"/>
    <mergeCell ref="D99:D100"/>
    <mergeCell ref="E99:E100"/>
    <mergeCell ref="F99:F100"/>
    <mergeCell ref="G159:G160"/>
    <mergeCell ref="H159:H160"/>
    <mergeCell ref="A189:A190"/>
    <mergeCell ref="B189:B190"/>
    <mergeCell ref="C189:C190"/>
    <mergeCell ref="D189:D190"/>
    <mergeCell ref="E189:E190"/>
    <mergeCell ref="F189:F190"/>
    <mergeCell ref="G189:G190"/>
    <mergeCell ref="H189:H190"/>
    <mergeCell ref="A159:A160"/>
    <mergeCell ref="B159:B160"/>
    <mergeCell ref="C159:C160"/>
    <mergeCell ref="D159:D160"/>
    <mergeCell ref="E159:E160"/>
    <mergeCell ref="F159:F160"/>
    <mergeCell ref="G219:G220"/>
    <mergeCell ref="H219:H220"/>
    <mergeCell ref="A249:A250"/>
    <mergeCell ref="B249:B250"/>
    <mergeCell ref="C249:C250"/>
    <mergeCell ref="D249:D250"/>
    <mergeCell ref="E249:E250"/>
    <mergeCell ref="F249:F250"/>
    <mergeCell ref="G249:G250"/>
    <mergeCell ref="H249:H250"/>
    <mergeCell ref="A219:A220"/>
    <mergeCell ref="B219:B220"/>
    <mergeCell ref="C219:C220"/>
    <mergeCell ref="D219:D220"/>
    <mergeCell ref="E219:E220"/>
    <mergeCell ref="F219:F220"/>
    <mergeCell ref="G279:G280"/>
    <mergeCell ref="H279:H280"/>
    <mergeCell ref="A279:A280"/>
    <mergeCell ref="B279:B280"/>
    <mergeCell ref="C279:C280"/>
    <mergeCell ref="D279:D280"/>
    <mergeCell ref="E279:E280"/>
    <mergeCell ref="F279:F280"/>
  </mergeCells>
  <phoneticPr fontId="10" type="noConversion"/>
  <pageMargins left="0.511811024" right="0.511811024" top="0.78740157499999996" bottom="0.78740157499999996" header="0.31496062000000002" footer="0.31496062000000002"/>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5E0D8-6DAC-4C54-AFE3-3255B44FC6B6}">
  <sheetPr>
    <tabColor theme="4" tint="0.79998168889431442"/>
  </sheetPr>
  <dimension ref="A1:H123"/>
  <sheetViews>
    <sheetView zoomScale="80" zoomScaleNormal="80" workbookViewId="0">
      <selection activeCell="J15" sqref="J15"/>
    </sheetView>
  </sheetViews>
  <sheetFormatPr defaultColWidth="9.109375" defaultRowHeight="10.199999999999999" x14ac:dyDescent="0.2"/>
  <cols>
    <col min="1" max="1" width="35.88671875" style="206" bestFit="1" customWidth="1"/>
    <col min="2" max="2" width="24.88671875" style="206" customWidth="1"/>
    <col min="3" max="3" width="23" style="206" hidden="1" customWidth="1"/>
    <col min="4" max="4" width="19.44140625" style="206" hidden="1" customWidth="1"/>
    <col min="5" max="5" width="15.88671875" style="206" hidden="1" customWidth="1"/>
    <col min="6" max="6" width="20.109375" style="207" bestFit="1" customWidth="1"/>
    <col min="7" max="7" width="15.88671875" style="207" bestFit="1" customWidth="1"/>
    <col min="8" max="8" width="18.88671875" style="207" bestFit="1" customWidth="1"/>
    <col min="9" max="9" width="5.5546875" style="206" bestFit="1" customWidth="1"/>
    <col min="10" max="10" width="9.109375" style="206"/>
    <col min="11" max="11" width="30.88671875" style="206" bestFit="1" customWidth="1"/>
    <col min="12" max="12" width="13.88671875" style="206" bestFit="1" customWidth="1"/>
    <col min="13" max="13" width="9.5546875" style="206" bestFit="1" customWidth="1"/>
    <col min="14" max="14" width="21.109375" style="206" customWidth="1"/>
    <col min="15" max="15" width="12.109375" style="206" bestFit="1" customWidth="1"/>
    <col min="16" max="16" width="20.109375" style="206" bestFit="1" customWidth="1"/>
    <col min="17" max="17" width="19.44140625" style="206" bestFit="1" customWidth="1"/>
    <col min="18" max="18" width="9.44140625" style="206" customWidth="1"/>
    <col min="19" max="19" width="12.109375" style="206" bestFit="1" customWidth="1"/>
    <col min="20" max="21" width="13.109375" style="206" bestFit="1" customWidth="1"/>
    <col min="22" max="22" width="12.109375" style="206" bestFit="1" customWidth="1"/>
    <col min="23" max="23" width="10.88671875" style="206" bestFit="1" customWidth="1"/>
    <col min="24" max="16384" width="9.109375" style="206"/>
  </cols>
  <sheetData>
    <row r="1" spans="1:5" s="267" customFormat="1" x14ac:dyDescent="0.2">
      <c r="A1" s="230" t="str">
        <f>_xlfn.CONCAT(B3,"-",B4,"-",B5)</f>
        <v>--</v>
      </c>
      <c r="B1" s="270"/>
      <c r="C1" s="269"/>
      <c r="D1" s="268"/>
      <c r="E1" s="207"/>
    </row>
    <row r="2" spans="1:5" x14ac:dyDescent="0.2">
      <c r="A2" s="244" t="s">
        <v>452</v>
      </c>
      <c r="B2" s="257"/>
      <c r="C2" s="207"/>
      <c r="D2" s="263"/>
      <c r="E2" s="207"/>
    </row>
    <row r="3" spans="1:5" x14ac:dyDescent="0.2">
      <c r="A3" s="217" t="s">
        <v>451</v>
      </c>
      <c r="B3" s="266"/>
      <c r="C3" s="207"/>
      <c r="D3" s="263"/>
      <c r="E3" s="207"/>
    </row>
    <row r="4" spans="1:5" x14ac:dyDescent="0.2">
      <c r="A4" s="217" t="s">
        <v>450</v>
      </c>
      <c r="B4" s="265"/>
      <c r="C4" s="207"/>
      <c r="D4" s="263"/>
      <c r="E4" s="207"/>
    </row>
    <row r="5" spans="1:5" x14ac:dyDescent="0.2">
      <c r="A5" s="217" t="s">
        <v>449</v>
      </c>
      <c r="B5" s="264"/>
      <c r="C5" s="207"/>
      <c r="D5" s="263"/>
      <c r="E5" s="207"/>
    </row>
    <row r="6" spans="1:5" x14ac:dyDescent="0.2">
      <c r="A6" s="217" t="s">
        <v>448</v>
      </c>
      <c r="B6" s="264"/>
      <c r="C6" s="207"/>
      <c r="D6" s="263"/>
      <c r="E6" s="207"/>
    </row>
    <row r="7" spans="1:5" x14ac:dyDescent="0.2">
      <c r="A7" s="217" t="s">
        <v>447</v>
      </c>
      <c r="B7" s="264"/>
      <c r="C7" s="207"/>
      <c r="D7" s="263"/>
      <c r="E7" s="207"/>
    </row>
    <row r="8" spans="1:5" ht="10.8" thickBot="1" x14ac:dyDescent="0.25">
      <c r="A8" s="217" t="s">
        <v>446</v>
      </c>
      <c r="B8" s="264" t="s">
        <v>445</v>
      </c>
      <c r="C8" s="207"/>
      <c r="D8" s="263"/>
      <c r="E8" s="207"/>
    </row>
    <row r="9" spans="1:5" x14ac:dyDescent="0.2">
      <c r="A9" s="230" t="s">
        <v>444</v>
      </c>
      <c r="B9" s="262"/>
      <c r="C9" s="230" t="s">
        <v>443</v>
      </c>
      <c r="D9" s="262"/>
      <c r="E9" s="261"/>
    </row>
    <row r="10" spans="1:5" x14ac:dyDescent="0.2">
      <c r="A10" s="244" t="s">
        <v>442</v>
      </c>
      <c r="B10" s="257"/>
      <c r="C10" s="244" t="s">
        <v>441</v>
      </c>
      <c r="D10" s="257"/>
      <c r="E10" s="260"/>
    </row>
    <row r="11" spans="1:5" x14ac:dyDescent="0.2">
      <c r="A11" s="217" t="s">
        <v>440</v>
      </c>
      <c r="B11" s="254">
        <v>0.25</v>
      </c>
      <c r="C11" s="251" t="s">
        <v>439</v>
      </c>
      <c r="D11" s="258"/>
    </row>
    <row r="12" spans="1:5" x14ac:dyDescent="0.2">
      <c r="A12" s="217" t="s">
        <v>438</v>
      </c>
      <c r="B12" s="254">
        <v>0.25</v>
      </c>
      <c r="C12" s="251" t="s">
        <v>437</v>
      </c>
      <c r="D12" s="258"/>
    </row>
    <row r="13" spans="1:5" x14ac:dyDescent="0.2">
      <c r="A13" s="217" t="s">
        <v>436</v>
      </c>
      <c r="B13" s="254">
        <v>0.3</v>
      </c>
      <c r="C13" s="259" t="s">
        <v>435</v>
      </c>
      <c r="D13" s="258"/>
    </row>
    <row r="14" spans="1:5" x14ac:dyDescent="0.2">
      <c r="A14" s="217" t="s">
        <v>434</v>
      </c>
      <c r="B14" s="254">
        <v>0.3</v>
      </c>
      <c r="C14" s="244"/>
      <c r="D14" s="257"/>
    </row>
    <row r="15" spans="1:5" ht="14.4" x14ac:dyDescent="0.3">
      <c r="A15" s="217" t="s">
        <v>433</v>
      </c>
      <c r="B15" s="254">
        <f>0.35%+0%</f>
        <v>3.4999999999999996E-3</v>
      </c>
      <c r="C15" s="251" t="s">
        <v>432</v>
      </c>
      <c r="D15" s="256">
        <f>SUMPRODUCT('4. LISTAS'!O4:W4,'4. LISTAS'!O5:W5)/SUM('4. LISTAS'!O5:W5)</f>
        <v>203.38207337197619</v>
      </c>
      <c r="E15" s="255" t="s">
        <v>431</v>
      </c>
    </row>
    <row r="16" spans="1:5" x14ac:dyDescent="0.2">
      <c r="A16" s="217" t="s">
        <v>430</v>
      </c>
      <c r="B16" s="254">
        <f>0.35%+0%</f>
        <v>3.4999999999999996E-3</v>
      </c>
      <c r="C16" s="251" t="s">
        <v>429</v>
      </c>
      <c r="D16" s="250" t="s">
        <v>871</v>
      </c>
    </row>
    <row r="17" spans="1:5" x14ac:dyDescent="0.2">
      <c r="A17" s="253" t="s">
        <v>428</v>
      </c>
      <c r="B17" s="252">
        <v>0.03</v>
      </c>
      <c r="C17" s="251" t="s">
        <v>427</v>
      </c>
      <c r="D17" s="250" t="s">
        <v>871</v>
      </c>
    </row>
    <row r="18" spans="1:5" ht="10.8" thickBot="1" x14ac:dyDescent="0.25">
      <c r="A18" s="233" t="s">
        <v>426</v>
      </c>
      <c r="B18" s="249">
        <v>0.1</v>
      </c>
      <c r="C18" s="248" t="s">
        <v>425</v>
      </c>
      <c r="D18" s="247" t="s">
        <v>871</v>
      </c>
    </row>
    <row r="19" spans="1:5" hidden="1" x14ac:dyDescent="0.2">
      <c r="A19" s="246" t="s">
        <v>424</v>
      </c>
      <c r="B19" s="245"/>
      <c r="C19" s="244" t="s">
        <v>423</v>
      </c>
      <c r="D19" s="243">
        <v>0</v>
      </c>
      <c r="E19" s="207"/>
    </row>
    <row r="20" spans="1:5" hidden="1" x14ac:dyDescent="0.2">
      <c r="A20" s="217" t="s">
        <v>422</v>
      </c>
      <c r="B20" s="238">
        <v>110</v>
      </c>
      <c r="C20" s="221" t="s">
        <v>855</v>
      </c>
      <c r="D20" s="242">
        <v>0</v>
      </c>
      <c r="E20" s="207"/>
    </row>
    <row r="21" spans="1:5" hidden="1" x14ac:dyDescent="0.2">
      <c r="A21" s="217" t="s">
        <v>421</v>
      </c>
      <c r="B21" s="238">
        <v>1000</v>
      </c>
      <c r="C21" s="235" t="s">
        <v>872</v>
      </c>
      <c r="D21" s="234">
        <f>SUM(D22,D23,D24)</f>
        <v>0</v>
      </c>
      <c r="E21" s="207"/>
    </row>
    <row r="22" spans="1:5" hidden="1" x14ac:dyDescent="0.2">
      <c r="A22" s="217" t="s">
        <v>420</v>
      </c>
      <c r="B22" s="238">
        <v>70</v>
      </c>
      <c r="C22" s="221" t="s">
        <v>43</v>
      </c>
      <c r="D22" s="239">
        <v>0</v>
      </c>
      <c r="E22" s="207"/>
    </row>
    <row r="23" spans="1:5" hidden="1" x14ac:dyDescent="0.2">
      <c r="A23" s="217" t="s">
        <v>419</v>
      </c>
      <c r="B23" s="238">
        <v>120</v>
      </c>
      <c r="C23" s="221" t="s">
        <v>873</v>
      </c>
      <c r="D23" s="239">
        <v>0</v>
      </c>
      <c r="E23" s="207"/>
    </row>
    <row r="24" spans="1:5" hidden="1" x14ac:dyDescent="0.2">
      <c r="A24" s="217" t="s">
        <v>418</v>
      </c>
      <c r="B24" s="238">
        <v>75</v>
      </c>
      <c r="C24" s="221" t="s">
        <v>76</v>
      </c>
      <c r="D24" s="239">
        <v>0</v>
      </c>
      <c r="E24" s="207"/>
    </row>
    <row r="25" spans="1:5" hidden="1" x14ac:dyDescent="0.2">
      <c r="A25" s="241" t="s">
        <v>417</v>
      </c>
      <c r="B25" s="238">
        <v>150</v>
      </c>
      <c r="C25" s="235" t="s">
        <v>874</v>
      </c>
      <c r="D25" s="234">
        <f>SUM(D26,D27,D28,D29)</f>
        <v>0</v>
      </c>
      <c r="E25" s="207"/>
    </row>
    <row r="26" spans="1:5" hidden="1" x14ac:dyDescent="0.2">
      <c r="A26" s="217" t="s">
        <v>416</v>
      </c>
      <c r="B26" s="238">
        <v>120</v>
      </c>
      <c r="C26" s="221" t="s">
        <v>58</v>
      </c>
      <c r="D26" s="239">
        <v>0</v>
      </c>
      <c r="E26" s="207"/>
    </row>
    <row r="27" spans="1:5" hidden="1" x14ac:dyDescent="0.2">
      <c r="A27" s="217" t="s">
        <v>415</v>
      </c>
      <c r="B27" s="240">
        <v>500</v>
      </c>
      <c r="C27" s="221" t="s">
        <v>66</v>
      </c>
      <c r="D27" s="239">
        <v>0</v>
      </c>
      <c r="E27" s="207"/>
    </row>
    <row r="28" spans="1:5" hidden="1" x14ac:dyDescent="0.2">
      <c r="A28" s="217" t="s">
        <v>414</v>
      </c>
      <c r="B28" s="238">
        <v>8</v>
      </c>
      <c r="C28" s="221" t="s">
        <v>85</v>
      </c>
      <c r="D28" s="239">
        <v>0</v>
      </c>
      <c r="E28" s="207"/>
    </row>
    <row r="29" spans="1:5" hidden="1" x14ac:dyDescent="0.2">
      <c r="A29" s="217" t="s">
        <v>413</v>
      </c>
      <c r="B29" s="238">
        <f>B27*B28/10/5</f>
        <v>80</v>
      </c>
      <c r="C29" s="221" t="s">
        <v>86</v>
      </c>
      <c r="D29" s="237">
        <v>0</v>
      </c>
      <c r="E29" s="207"/>
    </row>
    <row r="30" spans="1:5" ht="10.8" hidden="1" thickBot="1" x14ac:dyDescent="0.25">
      <c r="A30" s="233" t="s">
        <v>412</v>
      </c>
      <c r="B30" s="236">
        <v>1000</v>
      </c>
      <c r="C30" s="235" t="s">
        <v>179</v>
      </c>
      <c r="D30" s="234">
        <v>0</v>
      </c>
      <c r="E30" s="207"/>
    </row>
    <row r="31" spans="1:5" ht="10.8" thickBot="1" x14ac:dyDescent="0.25">
      <c r="A31" s="233" t="s">
        <v>411</v>
      </c>
      <c r="B31" s="232">
        <v>1.0999999999999999E-2</v>
      </c>
      <c r="C31" s="231" t="s">
        <v>71</v>
      </c>
      <c r="D31" s="231" t="s">
        <v>410</v>
      </c>
      <c r="E31" s="207"/>
    </row>
    <row r="32" spans="1:5" x14ac:dyDescent="0.2">
      <c r="A32" s="230" t="s">
        <v>409</v>
      </c>
      <c r="B32" s="229"/>
      <c r="C32" s="225" t="str">
        <f>'Fornec. TAGNA'!D11</f>
        <v>Painel de controlador para o processo XXX</v>
      </c>
      <c r="D32" s="224">
        <f>'Fornec. TAGNA'!L11</f>
        <v>2070.8774281486244</v>
      </c>
      <c r="E32" s="207"/>
    </row>
    <row r="33" spans="1:5" hidden="1" x14ac:dyDescent="0.2">
      <c r="A33" s="228" t="s">
        <v>408</v>
      </c>
      <c r="B33" s="227"/>
      <c r="C33" s="225" t="str">
        <f>'Fornec. TAGNA'!D42</f>
        <v>Montagem de painel e infra estrutura</v>
      </c>
      <c r="D33" s="224">
        <f>'Fornec. TAGNA'!L42</f>
        <v>0</v>
      </c>
      <c r="E33" s="207"/>
    </row>
    <row r="34" spans="1:5" hidden="1" x14ac:dyDescent="0.2">
      <c r="A34" s="226" t="str">
        <f>C21</f>
        <v>DESENVOLVIMENTO INTERNO</v>
      </c>
      <c r="B34" s="220">
        <f>SUM(,B35,B36,B37,B38)</f>
        <v>0</v>
      </c>
      <c r="C34" s="225">
        <f>'Fornec. TAGNA'!D73</f>
        <v>0</v>
      </c>
      <c r="D34" s="224">
        <f>'Fornec. TAGNA'!L73</f>
        <v>0</v>
      </c>
      <c r="E34" s="207"/>
    </row>
    <row r="35" spans="1:5" hidden="1" x14ac:dyDescent="0.2">
      <c r="A35" s="221" t="str">
        <f>C20</f>
        <v>GESTÃO</v>
      </c>
      <c r="B35" s="220">
        <v>0</v>
      </c>
      <c r="C35" s="225">
        <f>'Fornec. TAGNA'!D104</f>
        <v>0</v>
      </c>
      <c r="D35" s="224">
        <f>'Fornec. TAGNA'!L104</f>
        <v>0</v>
      </c>
      <c r="E35" s="207"/>
    </row>
    <row r="36" spans="1:5" hidden="1" x14ac:dyDescent="0.2">
      <c r="A36" s="221" t="str">
        <f>C22</f>
        <v>ANÁLISE</v>
      </c>
      <c r="B36" s="220">
        <v>0</v>
      </c>
      <c r="C36" s="225">
        <f>'Fornec. TAGNA'!D135</f>
        <v>0</v>
      </c>
      <c r="D36" s="224">
        <f>'Fornec. TAGNA'!L135</f>
        <v>0</v>
      </c>
      <c r="E36" s="207"/>
    </row>
    <row r="37" spans="1:5" hidden="1" x14ac:dyDescent="0.2">
      <c r="A37" s="221" t="str">
        <f>C23</f>
        <v>ENGENHARIA</v>
      </c>
      <c r="B37" s="220">
        <v>0</v>
      </c>
      <c r="C37" s="225">
        <f>'Fornec. TAGNA'!D166</f>
        <v>0</v>
      </c>
      <c r="D37" s="224">
        <f>'Fornec. TAGNA'!L166</f>
        <v>0</v>
      </c>
      <c r="E37" s="207"/>
    </row>
    <row r="38" spans="1:5" hidden="1" x14ac:dyDescent="0.2">
      <c r="A38" s="221" t="s">
        <v>76</v>
      </c>
      <c r="B38" s="220">
        <v>0</v>
      </c>
      <c r="C38" s="225">
        <f>'Fornec. TAGNA'!D197</f>
        <v>0</v>
      </c>
      <c r="D38" s="224">
        <f>'Fornec. TAGNA'!L197</f>
        <v>0</v>
      </c>
      <c r="E38" s="207"/>
    </row>
    <row r="39" spans="1:5" hidden="1" x14ac:dyDescent="0.2">
      <c r="A39" s="226" t="str">
        <f>C25</f>
        <v>CAMPO</v>
      </c>
      <c r="B39" s="220">
        <f>SUM(,B40,B41,B42,B43)</f>
        <v>0</v>
      </c>
      <c r="C39" s="225">
        <f>'Fornec. TAGNA'!D228</f>
        <v>0</v>
      </c>
      <c r="D39" s="224">
        <f>'Fornec. TAGNA'!L228</f>
        <v>0</v>
      </c>
      <c r="E39" s="207"/>
    </row>
    <row r="40" spans="1:5" hidden="1" x14ac:dyDescent="0.2">
      <c r="A40" s="221" t="str">
        <f>C26</f>
        <v>TESTES DE ACEITAÇÃO</v>
      </c>
      <c r="B40" s="220">
        <v>0</v>
      </c>
      <c r="C40" s="225">
        <f>'Fornec. TAGNA'!D259</f>
        <v>0</v>
      </c>
      <c r="D40" s="224">
        <f>'Fornec. TAGNA'!L259</f>
        <v>0</v>
      </c>
      <c r="E40" s="207"/>
    </row>
    <row r="41" spans="1:5" hidden="1" x14ac:dyDescent="0.2">
      <c r="A41" s="221" t="str">
        <f>C27</f>
        <v>IMPLANTAÇÃO DE CAMPO</v>
      </c>
      <c r="B41" s="220">
        <v>0</v>
      </c>
      <c r="C41" s="225">
        <f>'Fornec. TAGNA'!D290</f>
        <v>0</v>
      </c>
      <c r="D41" s="224">
        <f>'Fornec. TAGNA'!L290</f>
        <v>0</v>
      </c>
      <c r="E41" s="207"/>
    </row>
    <row r="42" spans="1:5" hidden="1" x14ac:dyDescent="0.2">
      <c r="A42" s="221" t="str">
        <f>C28</f>
        <v>TREINAMENTOS</v>
      </c>
      <c r="B42" s="220">
        <v>0</v>
      </c>
      <c r="C42" s="223" t="s">
        <v>90</v>
      </c>
      <c r="D42" s="222">
        <f>SUM(D32:D41)</f>
        <v>2070.8774281486244</v>
      </c>
      <c r="E42" s="207"/>
    </row>
    <row r="43" spans="1:5" hidden="1" x14ac:dyDescent="0.2">
      <c r="A43" s="221" t="str">
        <f>C29</f>
        <v>OUTRAS ATIVIDADES</v>
      </c>
      <c r="B43" s="220">
        <v>0</v>
      </c>
      <c r="E43" s="207"/>
    </row>
    <row r="44" spans="1:5" ht="10.8" hidden="1" thickBot="1" x14ac:dyDescent="0.25">
      <c r="A44" s="219" t="s">
        <v>90</v>
      </c>
      <c r="B44" s="218">
        <f>SUBTOTAL(9,B34,B39)</f>
        <v>0</v>
      </c>
    </row>
    <row r="45" spans="1:5" x14ac:dyDescent="0.2">
      <c r="A45" s="217"/>
      <c r="E45" s="207"/>
    </row>
    <row r="46" spans="1:5" hidden="1" x14ac:dyDescent="0.2">
      <c r="A46" s="216" t="s">
        <v>407</v>
      </c>
      <c r="B46" s="215"/>
      <c r="E46" s="207"/>
    </row>
    <row r="47" spans="1:5" hidden="1" x14ac:dyDescent="0.2">
      <c r="A47" s="214" t="s">
        <v>406</v>
      </c>
      <c r="B47" s="213"/>
      <c r="E47" s="207"/>
    </row>
    <row r="48" spans="1:5" hidden="1" x14ac:dyDescent="0.2">
      <c r="A48" s="211" t="s">
        <v>405</v>
      </c>
      <c r="B48" s="213"/>
      <c r="C48" s="207"/>
      <c r="D48" s="207"/>
      <c r="E48" s="207"/>
    </row>
    <row r="49" spans="1:2" hidden="1" x14ac:dyDescent="0.2">
      <c r="A49" s="211" t="s">
        <v>404</v>
      </c>
      <c r="B49" s="212"/>
    </row>
    <row r="50" spans="1:2" hidden="1" x14ac:dyDescent="0.2">
      <c r="A50" s="211" t="s">
        <v>403</v>
      </c>
      <c r="B50" s="212"/>
    </row>
    <row r="51" spans="1:2" hidden="1" x14ac:dyDescent="0.2">
      <c r="A51" s="211" t="s">
        <v>402</v>
      </c>
      <c r="B51" s="212"/>
    </row>
    <row r="52" spans="1:2" hidden="1" x14ac:dyDescent="0.2">
      <c r="A52" s="211" t="s">
        <v>401</v>
      </c>
      <c r="B52" s="210"/>
    </row>
    <row r="53" spans="1:2" hidden="1" x14ac:dyDescent="0.2">
      <c r="A53" s="211" t="s">
        <v>400</v>
      </c>
      <c r="B53" s="210"/>
    </row>
    <row r="54" spans="1:2" ht="10.8" hidden="1" thickBot="1" x14ac:dyDescent="0.25">
      <c r="A54" s="209" t="s">
        <v>399</v>
      </c>
      <c r="B54" s="208"/>
    </row>
    <row r="56" spans="1:2" x14ac:dyDescent="0.2">
      <c r="A56" s="206" t="s">
        <v>398</v>
      </c>
    </row>
    <row r="123" spans="2:2" x14ac:dyDescent="0.2">
      <c r="B123" s="206" t="s">
        <v>397</v>
      </c>
    </row>
  </sheetData>
  <hyperlinks>
    <hyperlink ref="E15" r:id="rId1" xr:uid="{DCBEAEAF-2142-4265-9889-A2615817C6AF}"/>
  </hyperlinks>
  <pageMargins left="0.511811024" right="0.511811024" top="0.78740157499999996" bottom="0.78740157499999996" header="0.31496062000000002" footer="0.31496062000000002"/>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0CDBA-0DD0-440F-86E6-CB406DE7BF43}">
  <sheetPr codeName="Planilha8">
    <tabColor rgb="FFEADB2B"/>
  </sheetPr>
  <dimension ref="B1:F11"/>
  <sheetViews>
    <sheetView workbookViewId="0">
      <selection activeCell="F21" sqref="F21"/>
    </sheetView>
  </sheetViews>
  <sheetFormatPr defaultColWidth="8.88671875" defaultRowHeight="14.4" x14ac:dyDescent="0.3"/>
  <cols>
    <col min="1" max="1" width="8.88671875" style="134"/>
    <col min="2" max="2" width="25.6640625" style="134" customWidth="1"/>
    <col min="3" max="3" width="38.6640625" style="134" bestFit="1" customWidth="1"/>
    <col min="4" max="6" width="25.6640625" style="134" customWidth="1"/>
    <col min="7" max="16384" width="8.88671875" style="134"/>
  </cols>
  <sheetData>
    <row r="1" spans="2:6" ht="19.95" customHeight="1" x14ac:dyDescent="0.3">
      <c r="C1" s="163"/>
      <c r="D1" s="162"/>
      <c r="E1" s="162"/>
      <c r="F1" s="162"/>
    </row>
    <row r="2" spans="2:6" ht="19.95" customHeight="1" x14ac:dyDescent="0.3">
      <c r="B2" s="158" t="s">
        <v>248</v>
      </c>
      <c r="C2" s="158" t="s">
        <v>249</v>
      </c>
      <c r="D2" s="158" t="s">
        <v>250</v>
      </c>
      <c r="E2" s="158" t="s">
        <v>251</v>
      </c>
      <c r="F2" s="158" t="s">
        <v>252</v>
      </c>
    </row>
    <row r="3" spans="2:6" ht="19.95" customHeight="1" x14ac:dyDescent="0.3">
      <c r="B3" s="159" t="s">
        <v>253</v>
      </c>
      <c r="C3" s="164" t="s">
        <v>264</v>
      </c>
      <c r="D3" s="205"/>
      <c r="E3" s="161"/>
      <c r="F3" s="205"/>
    </row>
    <row r="4" spans="2:6" ht="19.95" customHeight="1" x14ac:dyDescent="0.3">
      <c r="B4" s="159" t="s">
        <v>254</v>
      </c>
      <c r="C4" s="205"/>
      <c r="D4" s="161" t="str">
        <f>IF($D$3&lt;&gt;"",IF(IF(AND($C4&gt;=1,$C4&lt;=4),1,IF(AND($C4&gt;4,$C4&lt;=8),2,IF(AND($C4&gt;8,$C4&lt;=16),3,IF(AND($C4&gt;16,$C4&lt;=24),4,IF(AND($C4&gt;=25),5,0)))))=1,'MEMORIA DE PONTOS'!$C8,
IF(IF(AND($C4&gt;=1,$C4&lt;=4),1,IF(AND($C4&gt;4,$C4&lt;=8),2,IF(AND($C4&gt;8,$C4&lt;=16),3,IF(AND($C4&gt;16,$C4&lt;=24),4,IF(AND($C4&gt;=25),5,0)))))=2,'MEMORIA DE PONTOS'!$D8,
IF(IF(AND($C4&gt;=1,$C4&lt;=4),1,IF(AND($C4&gt;4,$C4&lt;=8),2,IF(AND($C4&gt;8,$C4&lt;=16),3,IF(AND($C4&gt;16,$C4&lt;=24),4,IF(AND($C4&gt;=25),5,0)))))=3,'MEMORIA DE PONTOS'!$E8,
IF(IF(AND($C4&gt;=1,$C4&lt;=4),1,IF(AND($C4&gt;4,$C4&lt;=8),2,IF(AND($C4&gt;8,$C4&lt;=16),3,IF(AND($C4&gt;16,$C4&lt;=24),4,IF(AND($C4&gt;=25),5,0)))))=4,'MEMORIA DE PONTOS'!$F8,
IF(IF(AND($C4&gt;=1,$C4&lt;=4),1,IF(AND($C4&gt;4,$C4&lt;=8),2,IF(AND($C4&gt;8,$C4&lt;=16),3,IF(AND($C4&gt;16,$C4&lt;=24),4,IF(AND($C4&gt;=25),5,0)))))=5,'MEMORIA DE PONTOS'!$G8*$C4/25,0))))),"")</f>
        <v/>
      </c>
      <c r="E4" s="161" t="str">
        <f>IF($D$3&lt;&gt;"",IF(IF(AND($C4&gt;=1,$C4&lt;=4),1,IF(AND($C4&gt;4,$C4&lt;=8),2,IF(AND($C4&gt;8,$C4&lt;=16),3,IF(AND($C4&gt;16,$C4&lt;=24),4,IF(AND($C4&gt;=25),5,0)))))=1,'MEMORIA DE PONTOS'!$C18,
IF(IF(AND($C4&gt;=1,$C4&lt;=4),1,IF(AND($C4&gt;4,$C4&lt;=8),2,IF(AND($C4&gt;8,$C4&lt;=16),3,IF(AND($C4&gt;16,$C4&lt;=24),4,IF(AND($C4&gt;=25),5,0)))))=2,'MEMORIA DE PONTOS'!$D18,
IF(IF(AND($C4&gt;=1,$C4&lt;=4),1,IF(AND($C4&gt;4,$C4&lt;=8),2,IF(AND($C4&gt;8,$C4&lt;=16),3,IF(AND($C4&gt;16,$C4&lt;=24),4,IF(AND($C4&gt;=25),5,0)))))=3,'MEMORIA DE PONTOS'!$E18,
IF(IF(AND($C4&gt;=1,$C4&lt;=4),1,IF(AND($C4&gt;4,$C4&lt;=8),2,IF(AND($C4&gt;8,$C4&lt;=16),3,IF(AND($C4&gt;16,$C4&lt;=24),4,IF(AND($C4&gt;=25),5,0)))))=4,'MEMORIA DE PONTOS'!$F18,
IF(IF(AND($C4&gt;=1,$C4&lt;=4),1,IF(AND($C4&gt;4,$C4&lt;=8),2,IF(AND($C4&gt;8,$C4&lt;=16),3,IF(AND($C4&gt;16,$C4&lt;=24),4,IF(AND($C4&gt;=25),5,0)))))=5,'MEMORIA DE PONTOS'!$G18*$C4/25,0))))),"")</f>
        <v/>
      </c>
      <c r="F4" s="161" t="str">
        <f>IF($F$3&lt;&gt;"",IF(IF(AND($C4&gt;=1,$C4&lt;=4),1,IF(AND($C4&gt;4,$C4&lt;=8),2,IF(AND($C4&gt;8,$C4&lt;=16),3,IF(AND($C4&gt;16,$C4&lt;=24),4,IF(AND($C4&gt;=25),5,0)))))=1,'MEMORIA DE PONTOS'!$C28,
IF(IF(AND($C4&gt;=1,$C4&lt;=4),1,IF(AND($C4&gt;4,$C4&lt;=8),2,IF(AND($C4&gt;8,$C4&lt;=16),3,IF(AND($C4&gt;16,$C4&lt;=24),4,IF(AND($C4&gt;=25),5,0)))))=2,'MEMORIA DE PONTOS'!$D28,
IF(IF(AND($C4&gt;=1,$C4&lt;=4),1,IF(AND($C4&gt;4,$C4&lt;=8),2,IF(AND($C4&gt;8,$C4&lt;=16),3,IF(AND($C4&gt;16,$C4&lt;=24),4,IF(AND($C4&gt;=25),5,0)))))=3,'MEMORIA DE PONTOS'!$E28,
IF(IF(AND($C4&gt;=1,$C4&lt;=4),1,IF(AND($C4&gt;4,$C4&lt;=8),2,IF(AND($C4&gt;8,$C4&lt;=16),3,IF(AND($C4&gt;16,$C4&lt;=24),4,IF(AND($C4&gt;=25),5,0)))))=4,'MEMORIA DE PONTOS'!$F28,
IF(IF(AND($C4&gt;=1,$C4&lt;=4),1,IF(AND($C4&gt;4,$C4&lt;=8),2,IF(AND($C4&gt;8,$C4&lt;=16),3,IF(AND($C4&gt;16,$C4&lt;=24),4,IF(AND($C4&gt;=25),5,0)))))=5,'MEMORIA DE PONTOS'!$G28*$C4/25,0))))),"")</f>
        <v/>
      </c>
    </row>
    <row r="5" spans="2:6" ht="19.95" customHeight="1" x14ac:dyDescent="0.3">
      <c r="B5" s="159" t="s">
        <v>255</v>
      </c>
      <c r="C5" s="205"/>
      <c r="D5" s="161" t="str">
        <f>IF($D$3&lt;&gt;"",IF(IF(AND($C5&gt;=1,$C5&lt;=4),1,IF(AND($C5&gt;4,$C5&lt;=8),2,IF(AND($C5&gt;8,$C5&lt;=16),3,IF(AND($C5&gt;16,$C5&lt;=24),4,IF(AND($C5&gt;=25),5,0)))))=1,'MEMORIA DE PONTOS'!$C9,
IF(IF(AND($C5&gt;=1,$C5&lt;=4),1,IF(AND($C5&gt;4,$C5&lt;=8),2,IF(AND($C5&gt;8,$C5&lt;=16),3,IF(AND($C5&gt;16,$C5&lt;=24),4,IF(AND($C5&gt;=25),5,0)))))=2,'MEMORIA DE PONTOS'!$D9,
IF(IF(AND($C5&gt;=1,$C5&lt;=4),1,IF(AND($C5&gt;4,$C5&lt;=8),2,IF(AND($C5&gt;8,$C5&lt;=16),3,IF(AND($C5&gt;16,$C5&lt;=24),4,IF(AND($C5&gt;=25),5,0)))))=3,'MEMORIA DE PONTOS'!$E9,
IF(IF(AND($C5&gt;=1,$C5&lt;=4),1,IF(AND($C5&gt;4,$C5&lt;=8),2,IF(AND($C5&gt;8,$C5&lt;=16),3,IF(AND($C5&gt;16,$C5&lt;=24),4,IF(AND($C5&gt;=25),5,0)))))=4,'MEMORIA DE PONTOS'!$F9,
IF(IF(AND($C5&gt;=1,$C5&lt;=4),1,IF(AND($C5&gt;4,$C5&lt;=8),2,IF(AND($C5&gt;8,$C5&lt;=16),3,IF(AND($C5&gt;16,$C5&lt;=24),4,IF(AND($C5&gt;=25),5,0)))))=5,'MEMORIA DE PONTOS'!$G9*$C5/25,0))))),"")</f>
        <v/>
      </c>
      <c r="E5" s="161" t="str">
        <f>IF($D$3&lt;&gt;"",IF(IF(AND($C5&gt;=1,$C5&lt;=4),1,IF(AND($C5&gt;4,$C5&lt;=8),2,IF(AND($C5&gt;8,$C5&lt;=16),3,IF(AND($C5&gt;16,$C5&lt;=24),4,IF(AND($C5&gt;=25),5,0)))))=1,'MEMORIA DE PONTOS'!$C19,
IF(IF(AND($C5&gt;=1,$C5&lt;=4),1,IF(AND($C5&gt;4,$C5&lt;=8),2,IF(AND($C5&gt;8,$C5&lt;=16),3,IF(AND($C5&gt;16,$C5&lt;=24),4,IF(AND($C5&gt;=25),5,0)))))=2,'MEMORIA DE PONTOS'!$D19,
IF(IF(AND($C5&gt;=1,$C5&lt;=4),1,IF(AND($C5&gt;4,$C5&lt;=8),2,IF(AND($C5&gt;8,$C5&lt;=16),3,IF(AND($C5&gt;16,$C5&lt;=24),4,IF(AND($C5&gt;=25),5,0)))))=3,'MEMORIA DE PONTOS'!$E19,
IF(IF(AND($C5&gt;=1,$C5&lt;=4),1,IF(AND($C5&gt;4,$C5&lt;=8),2,IF(AND($C5&gt;8,$C5&lt;=16),3,IF(AND($C5&gt;16,$C5&lt;=24),4,IF(AND($C5&gt;=25),5,0)))))=4,'MEMORIA DE PONTOS'!$F19,
IF(IF(AND($C5&gt;=1,$C5&lt;=4),1,IF(AND($C5&gt;4,$C5&lt;=8),2,IF(AND($C5&gt;8,$C5&lt;=16),3,IF(AND($C5&gt;16,$C5&lt;=24),4,IF(AND($C5&gt;=25),5,0)))))=5,'MEMORIA DE PONTOS'!$G19*$C5/25,0))))),"")</f>
        <v/>
      </c>
      <c r="F5" s="161" t="str">
        <f>IF($F$3&lt;&gt;"",IF(IF(AND($C5&gt;=1,$C5&lt;=4),1,IF(AND($C5&gt;4,$C5&lt;=8),2,IF(AND($C5&gt;8,$C5&lt;=16),3,IF(AND($C5&gt;16,$C5&lt;=24),4,IF(AND($C5&gt;=25),5,0)))))=1,'MEMORIA DE PONTOS'!$C29,
IF(IF(AND($C5&gt;=1,$C5&lt;=4),1,IF(AND($C5&gt;4,$C5&lt;=8),2,IF(AND($C5&gt;8,$C5&lt;=16),3,IF(AND($C5&gt;16,$C5&lt;=24),4,IF(AND($C5&gt;=25),5,0)))))=2,'MEMORIA DE PONTOS'!$D29,
IF(IF(AND($C5&gt;=1,$C5&lt;=4),1,IF(AND($C5&gt;4,$C5&lt;=8),2,IF(AND($C5&gt;8,$C5&lt;=16),3,IF(AND($C5&gt;16,$C5&lt;=24),4,IF(AND($C5&gt;=25),5,0)))))=3,'MEMORIA DE PONTOS'!$E29,
IF(IF(AND($C5&gt;=1,$C5&lt;=4),1,IF(AND($C5&gt;4,$C5&lt;=8),2,IF(AND($C5&gt;8,$C5&lt;=16),3,IF(AND($C5&gt;16,$C5&lt;=24),4,IF(AND($C5&gt;=25),5,0)))))=4,'MEMORIA DE PONTOS'!$F29,
IF(IF(AND($C5&gt;=1,$C5&lt;=4),1,IF(AND($C5&gt;4,$C5&lt;=8),2,IF(AND($C5&gt;8,$C5&lt;=16),3,IF(AND($C5&gt;16,$C5&lt;=24),4,IF(AND($C5&gt;=25),5,0)))))=5,'MEMORIA DE PONTOS'!$G29*$C5/25,0))))),"")</f>
        <v/>
      </c>
    </row>
    <row r="6" spans="2:6" ht="19.95" customHeight="1" x14ac:dyDescent="0.3">
      <c r="B6" s="159" t="s">
        <v>256</v>
      </c>
      <c r="C6" s="205"/>
      <c r="D6" s="161" t="str">
        <f>IF($D$3&lt;&gt;"",IF(IF(AND($C6&gt;=1,$C6&lt;=4),1,IF(AND($C6&gt;4,$C6&lt;=8),2,IF(AND($C6&gt;8,$C6&lt;=16),3,IF(AND($C6&gt;16,$C6&lt;=24),4,IF(AND($C6&gt;=25),5,0)))))=1,'MEMORIA DE PONTOS'!$C10,
IF(IF(AND($C6&gt;=1,$C6&lt;=4),1,IF(AND($C6&gt;4,$C6&lt;=8),2,IF(AND($C6&gt;8,$C6&lt;=16),3,IF(AND($C6&gt;16,$C6&lt;=24),4,IF(AND($C6&gt;=25),5,0)))))=2,'MEMORIA DE PONTOS'!$D10,
IF(IF(AND($C6&gt;=1,$C6&lt;=4),1,IF(AND($C6&gt;4,$C6&lt;=8),2,IF(AND($C6&gt;8,$C6&lt;=16),3,IF(AND($C6&gt;16,$C6&lt;=24),4,IF(AND($C6&gt;=25),5,0)))))=3,'MEMORIA DE PONTOS'!$E10,
IF(IF(AND($C6&gt;=1,$C6&lt;=4),1,IF(AND($C6&gt;4,$C6&lt;=8),2,IF(AND($C6&gt;8,$C6&lt;=16),3,IF(AND($C6&gt;16,$C6&lt;=24),4,IF(AND($C6&gt;=25),5,0)))))=4,'MEMORIA DE PONTOS'!$F10,
IF(IF(AND($C6&gt;=1,$C6&lt;=4),1,IF(AND($C6&gt;4,$C6&lt;=8),2,IF(AND($C6&gt;8,$C6&lt;=16),3,IF(AND($C6&gt;16,$C6&lt;=24),4,IF(AND($C6&gt;=25),5,0)))))=5,'MEMORIA DE PONTOS'!$G10*$C6/25,0))))),"")</f>
        <v/>
      </c>
      <c r="E6" s="161" t="str">
        <f>IF($D$3&lt;&gt;"",IF(IF(AND($C6&gt;=1,$C6&lt;=4),1,IF(AND($C6&gt;4,$C6&lt;=8),2,IF(AND($C6&gt;8,$C6&lt;=16),3,IF(AND($C6&gt;16,$C6&lt;=24),4,IF(AND($C6&gt;=25),5,0)))))=1,'MEMORIA DE PONTOS'!$C20,
IF(IF(AND($C6&gt;=1,$C6&lt;=4),1,IF(AND($C6&gt;4,$C6&lt;=8),2,IF(AND($C6&gt;8,$C6&lt;=16),3,IF(AND($C6&gt;16,$C6&lt;=24),4,IF(AND($C6&gt;=25),5,0)))))=2,'MEMORIA DE PONTOS'!$D20,
IF(IF(AND($C6&gt;=1,$C6&lt;=4),1,IF(AND($C6&gt;4,$C6&lt;=8),2,IF(AND($C6&gt;8,$C6&lt;=16),3,IF(AND($C6&gt;16,$C6&lt;=24),4,IF(AND($C6&gt;=25),5,0)))))=3,'MEMORIA DE PONTOS'!$E20,
IF(IF(AND($C6&gt;=1,$C6&lt;=4),1,IF(AND($C6&gt;4,$C6&lt;=8),2,IF(AND($C6&gt;8,$C6&lt;=16),3,IF(AND($C6&gt;16,$C6&lt;=24),4,IF(AND($C6&gt;=25),5,0)))))=4,'MEMORIA DE PONTOS'!$F20,
IF(IF(AND($C6&gt;=1,$C6&lt;=4),1,IF(AND($C6&gt;4,$C6&lt;=8),2,IF(AND($C6&gt;8,$C6&lt;=16),3,IF(AND($C6&gt;16,$C6&lt;=24),4,IF(AND($C6&gt;=25),5,0)))))=5,'MEMORIA DE PONTOS'!$G20*$C6/25,0))))),"")</f>
        <v/>
      </c>
      <c r="F6" s="161" t="str">
        <f>IF($F$3&lt;&gt;"",IF(IF(AND($C6&gt;=1,$C6&lt;=4),1,IF(AND($C6&gt;4,$C6&lt;=8),2,IF(AND($C6&gt;8,$C6&lt;=16),3,IF(AND($C6&gt;16,$C6&lt;=24),4,IF(AND($C6&gt;=25),5,0)))))=1,'MEMORIA DE PONTOS'!$C30,
IF(IF(AND($C6&gt;=1,$C6&lt;=4),1,IF(AND($C6&gt;4,$C6&lt;=8),2,IF(AND($C6&gt;8,$C6&lt;=16),3,IF(AND($C6&gt;16,$C6&lt;=24),4,IF(AND($C6&gt;=25),5,0)))))=2,'MEMORIA DE PONTOS'!$D30,
IF(IF(AND($C6&gt;=1,$C6&lt;=4),1,IF(AND($C6&gt;4,$C6&lt;=8),2,IF(AND($C6&gt;8,$C6&lt;=16),3,IF(AND($C6&gt;16,$C6&lt;=24),4,IF(AND($C6&gt;=25),5,0)))))=3,'MEMORIA DE PONTOS'!$E30,
IF(IF(AND($C6&gt;=1,$C6&lt;=4),1,IF(AND($C6&gt;4,$C6&lt;=8),2,IF(AND($C6&gt;8,$C6&lt;=16),3,IF(AND($C6&gt;16,$C6&lt;=24),4,IF(AND($C6&gt;=25),5,0)))))=4,'MEMORIA DE PONTOS'!$F30,
IF(IF(AND($C6&gt;=1,$C6&lt;=4),1,IF(AND($C6&gt;4,$C6&lt;=8),2,IF(AND($C6&gt;8,$C6&lt;=16),3,IF(AND($C6&gt;16,$C6&lt;=24),4,IF(AND($C6&gt;=25),5,0)))))=5,'MEMORIA DE PONTOS'!$G30*$C6/25,0))))),"")</f>
        <v/>
      </c>
    </row>
    <row r="7" spans="2:6" ht="19.95" customHeight="1" x14ac:dyDescent="0.3">
      <c r="B7" s="159" t="s">
        <v>257</v>
      </c>
      <c r="C7" s="205"/>
      <c r="D7" s="161" t="str">
        <f>IF($D$3&lt;&gt;"",IF(IF(AND($C7&gt;=1,$C7&lt;=4),1,IF(AND($C7&gt;4,$C7&lt;=8),2,IF(AND($C7&gt;8,$C7&lt;=16),3,IF(AND($C7&gt;16,$C7&lt;=24),4,IF(AND($C7&gt;=25),5,0)))))=1,'MEMORIA DE PONTOS'!$C11,
IF(IF(AND($C7&gt;=1,$C7&lt;=4),1,IF(AND($C7&gt;4,$C7&lt;=8),2,IF(AND($C7&gt;8,$C7&lt;=16),3,IF(AND($C7&gt;16,$C7&lt;=24),4,IF(AND($C7&gt;=25),5,0)))))=2,'MEMORIA DE PONTOS'!$D11,
IF(IF(AND($C7&gt;=1,$C7&lt;=4),1,IF(AND($C7&gt;4,$C7&lt;=8),2,IF(AND($C7&gt;8,$C7&lt;=16),3,IF(AND($C7&gt;16,$C7&lt;=24),4,IF(AND($C7&gt;=25),5,0)))))=3,'MEMORIA DE PONTOS'!$E11,
IF(IF(AND($C7&gt;=1,$C7&lt;=4),1,IF(AND($C7&gt;4,$C7&lt;=8),2,IF(AND($C7&gt;8,$C7&lt;=16),3,IF(AND($C7&gt;16,$C7&lt;=24),4,IF(AND($C7&gt;=25),5,0)))))=4,'MEMORIA DE PONTOS'!$F11,
IF(IF(AND($C7&gt;=1,$C7&lt;=4),1,IF(AND($C7&gt;4,$C7&lt;=8),2,IF(AND($C7&gt;8,$C7&lt;=16),3,IF(AND($C7&gt;16,$C7&lt;=24),4,IF(AND($C7&gt;=25),5,0)))))=5,'MEMORIA DE PONTOS'!$G11*$C7/25,0))))),"")</f>
        <v/>
      </c>
      <c r="E7" s="161" t="str">
        <f>IF($D$3&lt;&gt;"",IF(IF(AND($C7&gt;=1,$C7&lt;=4),1,IF(AND($C7&gt;4,$C7&lt;=8),2,IF(AND($C7&gt;8,$C7&lt;=16),3,IF(AND($C7&gt;16,$C7&lt;=24),4,IF(AND($C7&gt;=25),5,0)))))=1,'MEMORIA DE PONTOS'!$C21,
IF(IF(AND($C7&gt;=1,$C7&lt;=4),1,IF(AND($C7&gt;4,$C7&lt;=8),2,IF(AND($C7&gt;8,$C7&lt;=16),3,IF(AND($C7&gt;16,$C7&lt;=24),4,IF(AND($C7&gt;=25),5,0)))))=2,'MEMORIA DE PONTOS'!$D21,
IF(IF(AND($C7&gt;=1,$C7&lt;=4),1,IF(AND($C7&gt;4,$C7&lt;=8),2,IF(AND($C7&gt;8,$C7&lt;=16),3,IF(AND($C7&gt;16,$C7&lt;=24),4,IF(AND($C7&gt;=25),5,0)))))=3,'MEMORIA DE PONTOS'!$E21,
IF(IF(AND($C7&gt;=1,$C7&lt;=4),1,IF(AND($C7&gt;4,$C7&lt;=8),2,IF(AND($C7&gt;8,$C7&lt;=16),3,IF(AND($C7&gt;16,$C7&lt;=24),4,IF(AND($C7&gt;=25),5,0)))))=4,'MEMORIA DE PONTOS'!$F21,
IF(IF(AND($C7&gt;=1,$C7&lt;=4),1,IF(AND($C7&gt;4,$C7&lt;=8),2,IF(AND($C7&gt;8,$C7&lt;=16),3,IF(AND($C7&gt;16,$C7&lt;=24),4,IF(AND($C7&gt;=25),5,0)))))=5,'MEMORIA DE PONTOS'!$G21*$C7/25,0))))),"")</f>
        <v/>
      </c>
      <c r="F7" s="161" t="str">
        <f>IF($F$3&lt;&gt;"",IF(IF(AND($C7&gt;=1,$C7&lt;=4),1,IF(AND($C7&gt;4,$C7&lt;=8),2,IF(AND($C7&gt;8,$C7&lt;=16),3,IF(AND($C7&gt;16,$C7&lt;=24),4,IF(AND($C7&gt;=25),5,0)))))=1,'MEMORIA DE PONTOS'!$C31,
IF(IF(AND($C7&gt;=1,$C7&lt;=4),1,IF(AND($C7&gt;4,$C7&lt;=8),2,IF(AND($C7&gt;8,$C7&lt;=16),3,IF(AND($C7&gt;16,$C7&lt;=24),4,IF(AND($C7&gt;=25),5,0)))))=2,'MEMORIA DE PONTOS'!$D31,
IF(IF(AND($C7&gt;=1,$C7&lt;=4),1,IF(AND($C7&gt;4,$C7&lt;=8),2,IF(AND($C7&gt;8,$C7&lt;=16),3,IF(AND($C7&gt;16,$C7&lt;=24),4,IF(AND($C7&gt;=25),5,0)))))=3,'MEMORIA DE PONTOS'!$E31,
IF(IF(AND($C7&gt;=1,$C7&lt;=4),1,IF(AND($C7&gt;4,$C7&lt;=8),2,IF(AND($C7&gt;8,$C7&lt;=16),3,IF(AND($C7&gt;16,$C7&lt;=24),4,IF(AND($C7&gt;=25),5,0)))))=4,'MEMORIA DE PONTOS'!$F31,
IF(IF(AND($C7&gt;=1,$C7&lt;=4),1,IF(AND($C7&gt;4,$C7&lt;=8),2,IF(AND($C7&gt;8,$C7&lt;=16),3,IF(AND($C7&gt;16,$C7&lt;=24),4,IF(AND($C7&gt;=25),5,0)))))=5,'MEMORIA DE PONTOS'!$G31*$C7/25,0))))),"")</f>
        <v/>
      </c>
    </row>
    <row r="8" spans="2:6" ht="19.95" customHeight="1" x14ac:dyDescent="0.3">
      <c r="B8" s="159" t="s">
        <v>258</v>
      </c>
      <c r="C8" s="205"/>
      <c r="D8" s="161" t="str">
        <f>IF($D$3&lt;&gt;"",IF(IF(AND($C8&gt;=1,$C8&lt;=4),1,IF(AND($C8&gt;4,$C8&lt;=8),2,IF(AND($C8&gt;8,$C8&lt;=16),3,IF(AND($C8&gt;16,$C8&lt;=24),4,IF(AND($C8&gt;=25),5,0)))))=1,'MEMORIA DE PONTOS'!$C12,
IF(IF(AND($C8&gt;=1,$C8&lt;=4),1,IF(AND($C8&gt;4,$C8&lt;=8),2,IF(AND($C8&gt;8,$C8&lt;=16),3,IF(AND($C8&gt;16,$C8&lt;=24),4,IF(AND($C8&gt;=25),5,0)))))=2,'MEMORIA DE PONTOS'!$D12,
IF(IF(AND($C8&gt;=1,$C8&lt;=4),1,IF(AND($C8&gt;4,$C8&lt;=8),2,IF(AND($C8&gt;8,$C8&lt;=16),3,IF(AND($C8&gt;16,$C8&lt;=24),4,IF(AND($C8&gt;=25),5,0)))))=3,'MEMORIA DE PONTOS'!$E12,
IF(IF(AND($C8&gt;=1,$C8&lt;=4),1,IF(AND($C8&gt;4,$C8&lt;=8),2,IF(AND($C8&gt;8,$C8&lt;=16),3,IF(AND($C8&gt;16,$C8&lt;=24),4,IF(AND($C8&gt;=25),5,0)))))=4,'MEMORIA DE PONTOS'!$F12,
IF(IF(AND($C8&gt;=1,$C8&lt;=4),1,IF(AND($C8&gt;4,$C8&lt;=8),2,IF(AND($C8&gt;8,$C8&lt;=16),3,IF(AND($C8&gt;16,$C8&lt;=24),4,IF(AND($C8&gt;=25),5,0)))))=5,'MEMORIA DE PONTOS'!$G12*$C8/25,0))))),"")</f>
        <v/>
      </c>
      <c r="E8" s="161" t="str">
        <f>IF($D$3&lt;&gt;"",IF(IF(AND($C8&gt;=1,$C8&lt;=4),1,IF(AND($C8&gt;4,$C8&lt;=8),2,IF(AND($C8&gt;8,$C8&lt;=16),3,IF(AND($C8&gt;16,$C8&lt;=24),4,IF(AND($C8&gt;=25),5,0)))))=1,'MEMORIA DE PONTOS'!$C22,
IF(IF(AND($C8&gt;=1,$C8&lt;=4),1,IF(AND($C8&gt;4,$C8&lt;=8),2,IF(AND($C8&gt;8,$C8&lt;=16),3,IF(AND($C8&gt;16,$C8&lt;=24),4,IF(AND($C8&gt;=25),5,0)))))=2,'MEMORIA DE PONTOS'!$D22,
IF(IF(AND($C8&gt;=1,$C8&lt;=4),1,IF(AND($C8&gt;4,$C8&lt;=8),2,IF(AND($C8&gt;8,$C8&lt;=16),3,IF(AND($C8&gt;16,$C8&lt;=24),4,IF(AND($C8&gt;=25),5,0)))))=3,'MEMORIA DE PONTOS'!$E22,
IF(IF(AND($C8&gt;=1,$C8&lt;=4),1,IF(AND($C8&gt;4,$C8&lt;=8),2,IF(AND($C8&gt;8,$C8&lt;=16),3,IF(AND($C8&gt;16,$C8&lt;=24),4,IF(AND($C8&gt;=25),5,0)))))=4,'MEMORIA DE PONTOS'!$F22,
IF(IF(AND($C8&gt;=1,$C8&lt;=4),1,IF(AND($C8&gt;4,$C8&lt;=8),2,IF(AND($C8&gt;8,$C8&lt;=16),3,IF(AND($C8&gt;16,$C8&lt;=24),4,IF(AND($C8&gt;=25),5,0)))))=5,'MEMORIA DE PONTOS'!$G22*$C8/25,0))))),"")</f>
        <v/>
      </c>
      <c r="F8" s="161" t="str">
        <f>IF($F$3&lt;&gt;"",IF(IF(AND($C8&gt;=1,$C8&lt;=4),1,IF(AND($C8&gt;4,$C8&lt;=8),2,IF(AND($C8&gt;8,$C8&lt;=16),3,IF(AND($C8&gt;16,$C8&lt;=24),4,IF(AND($C8&gt;=25),5,0)))))=1,'MEMORIA DE PONTOS'!$C32,
IF(IF(AND($C8&gt;=1,$C8&lt;=4),1,IF(AND($C8&gt;4,$C8&lt;=8),2,IF(AND($C8&gt;8,$C8&lt;=16),3,IF(AND($C8&gt;16,$C8&lt;=24),4,IF(AND($C8&gt;=25),5,0)))))=2,'MEMORIA DE PONTOS'!$D32,
IF(IF(AND($C8&gt;=1,$C8&lt;=4),1,IF(AND($C8&gt;4,$C8&lt;=8),2,IF(AND($C8&gt;8,$C8&lt;=16),3,IF(AND($C8&gt;16,$C8&lt;=24),4,IF(AND($C8&gt;=25),5,0)))))=3,'MEMORIA DE PONTOS'!$E32,
IF(IF(AND($C8&gt;=1,$C8&lt;=4),1,IF(AND($C8&gt;4,$C8&lt;=8),2,IF(AND($C8&gt;8,$C8&lt;=16),3,IF(AND($C8&gt;16,$C8&lt;=24),4,IF(AND($C8&gt;=25),5,0)))))=4,'MEMORIA DE PONTOS'!$F32,
IF(IF(AND($C8&gt;=1,$C8&lt;=4),1,IF(AND($C8&gt;4,$C8&lt;=8),2,IF(AND($C8&gt;8,$C8&lt;=16),3,IF(AND($C8&gt;16,$C8&lt;=24),4,IF(AND($C8&gt;=25),5,0)))))=5,'MEMORIA DE PONTOS'!$G32*$C8/25,0))))),"")</f>
        <v/>
      </c>
    </row>
    <row r="9" spans="2:6" ht="19.95" hidden="1" customHeight="1" x14ac:dyDescent="0.3">
      <c r="B9" s="159" t="s">
        <v>259</v>
      </c>
      <c r="C9" s="160"/>
      <c r="D9" s="161" t="str">
        <f>IF($D$3&lt;&gt;"",IF(IF(AND($C9&gt;=1,$C9&lt;=4),1,IF(AND($C9&gt;4,$C9&lt;=8),2,IF(AND($C9&gt;8,$C9&lt;=16),3,IF(AND($C9&gt;16,$C9&lt;=24),4,IF(AND($C9&gt;=25),5,0)))))=1,'MEMORIA DE PONTOS'!$C13,
IF(IF(AND($C9&gt;=1,$C9&lt;=4),1,IF(AND($C9&gt;4,$C9&lt;=8),2,IF(AND($C9&gt;8,$C9&lt;=16),3,IF(AND($C9&gt;16,$C9&lt;=24),4,IF(AND($C9&gt;=25),5,0)))))=2,'MEMORIA DE PONTOS'!$D13,
IF(IF(AND($C9&gt;=1,$C9&lt;=4),1,IF(AND($C9&gt;4,$C9&lt;=8),2,IF(AND($C9&gt;8,$C9&lt;=16),3,IF(AND($C9&gt;16,$C9&lt;=24),4,IF(AND($C9&gt;=25),5,0)))))=3,'MEMORIA DE PONTOS'!$E13,
IF(IF(AND($C9&gt;=1,$C9&lt;=4),1,IF(AND($C9&gt;4,$C9&lt;=8),2,IF(AND($C9&gt;8,$C9&lt;=16),3,IF(AND($C9&gt;16,$C9&lt;=24),4,IF(AND($C9&gt;=25),5,0)))))=4,'MEMORIA DE PONTOS'!$F13,
IF(IF(AND($C9&gt;=1,$C9&lt;=4),1,IF(AND($C9&gt;4,$C9&lt;=8),2,IF(AND($C9&gt;8,$C9&lt;=16),3,IF(AND($C9&gt;16,$C9&lt;=24),4,IF(AND($C9&gt;=25),5,0)))))=5,'MEMORIA DE PONTOS'!$G13*$C9/25,0))))),"")</f>
        <v/>
      </c>
      <c r="E9" s="161" t="str">
        <f>IF($D$3&lt;&gt;"",IF(IF(AND($C9&gt;=1,$C9&lt;=4),1,IF(AND($C9&gt;4,$C9&lt;=8),2,IF(AND($C9&gt;8,$C9&lt;=16),3,IF(AND($C9&gt;16,$C9&lt;=24),4,IF(AND($C9&gt;=25),5,0)))))=1,'MEMORIA DE PONTOS'!$C23,
IF(IF(AND($C9&gt;=1,$C9&lt;=4),1,IF(AND($C9&gt;4,$C9&lt;=8),2,IF(AND($C9&gt;8,$C9&lt;=16),3,IF(AND($C9&gt;16,$C9&lt;=24),4,IF(AND($C9&gt;=25),5,0)))))=2,'MEMORIA DE PONTOS'!$D23,
IF(IF(AND($C9&gt;=1,$C9&lt;=4),1,IF(AND($C9&gt;4,$C9&lt;=8),2,IF(AND($C9&gt;8,$C9&lt;=16),3,IF(AND($C9&gt;16,$C9&lt;=24),4,IF(AND($C9&gt;=25),5,0)))))=3,'MEMORIA DE PONTOS'!$E23,
IF(IF(AND($C9&gt;=1,$C9&lt;=4),1,IF(AND($C9&gt;4,$C9&lt;=8),2,IF(AND($C9&gt;8,$C9&lt;=16),3,IF(AND($C9&gt;16,$C9&lt;=24),4,IF(AND($C9&gt;=25),5,0)))))=4,'MEMORIA DE PONTOS'!$F23,
IF(IF(AND($C9&gt;=1,$C9&lt;=4),1,IF(AND($C9&gt;4,$C9&lt;=8),2,IF(AND($C9&gt;8,$C9&lt;=16),3,IF(AND($C9&gt;16,$C9&lt;=24),4,IF(AND($C9&gt;=25),5,0)))))=5,'MEMORIA DE PONTOS'!$G23*$C9/25,0))))),"")</f>
        <v/>
      </c>
      <c r="F9" s="161" t="str">
        <f>IF($F$3&lt;&gt;"",IF(IF(AND($C9&gt;=1,$C9&lt;=4),1,IF(AND($C9&gt;4,$C9&lt;=8),2,IF(AND($C9&gt;8,$C9&lt;=16),3,IF(AND($C9&gt;16,$C9&lt;=24),4,IF(AND($C9&gt;=25),5,0)))))=1,'MEMORIA DE PONTOS'!$C33,
IF(IF(AND($C9&gt;=1,$C9&lt;=4),1,IF(AND($C9&gt;4,$C9&lt;=8),2,IF(AND($C9&gt;8,$C9&lt;=16),3,IF(AND($C9&gt;16,$C9&lt;=24),4,IF(AND($C9&gt;=25),5,0)))))=2,'MEMORIA DE PONTOS'!$D33,
IF(IF(AND($C9&gt;=1,$C9&lt;=4),1,IF(AND($C9&gt;4,$C9&lt;=8),2,IF(AND($C9&gt;8,$C9&lt;=16),3,IF(AND($C9&gt;16,$C9&lt;=24),4,IF(AND($C9&gt;=25),5,0)))))=3,'MEMORIA DE PONTOS'!$E33,
IF(IF(AND($C9&gt;=1,$C9&lt;=4),1,IF(AND($C9&gt;4,$C9&lt;=8),2,IF(AND($C9&gt;8,$C9&lt;=16),3,IF(AND($C9&gt;16,$C9&lt;=24),4,IF(AND($C9&gt;=25),5,0)))))=4,'MEMORIA DE PONTOS'!$F33,
IF(IF(AND($C9&gt;=1,$C9&lt;=4),1,IF(AND($C9&gt;4,$C9&lt;=8),2,IF(AND($C9&gt;8,$C9&lt;=16),3,IF(AND($C9&gt;16,$C9&lt;=24),4,IF(AND($C9&gt;=25),5,0)))))=5,'MEMORIA DE PONTOS'!$G33*$C9/25,0))))),"")</f>
        <v/>
      </c>
    </row>
    <row r="10" spans="2:6" ht="19.95" customHeight="1" x14ac:dyDescent="0.3">
      <c r="B10" s="159" t="s">
        <v>260</v>
      </c>
      <c r="C10" s="158"/>
      <c r="D10" s="158"/>
      <c r="E10" s="158"/>
      <c r="F10" s="158"/>
    </row>
    <row r="11" spans="2:6" ht="19.95" customHeight="1" x14ac:dyDescent="0.3">
      <c r="B11" s="159" t="s">
        <v>261</v>
      </c>
      <c r="C11" s="158" t="s">
        <v>263</v>
      </c>
      <c r="D11" s="709">
        <f>SUM(D4:F9)</f>
        <v>0</v>
      </c>
      <c r="E11" s="710"/>
      <c r="F11" s="711"/>
    </row>
  </sheetData>
  <mergeCells count="1">
    <mergeCell ref="D11:F11"/>
  </mergeCells>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9AA78-2AB6-4B85-8B1E-CAB6695601E6}">
  <sheetPr codeName="Planilha11">
    <tabColor rgb="FFEADB2B"/>
  </sheetPr>
  <dimension ref="A1:P79"/>
  <sheetViews>
    <sheetView zoomScale="90" zoomScaleNormal="90" workbookViewId="0">
      <pane xSplit="2" ySplit="15" topLeftCell="C55" activePane="bottomRight" state="frozen"/>
      <selection activeCell="E68" sqref="E68"/>
      <selection pane="topRight" activeCell="E68" sqref="E68"/>
      <selection pane="bottomLeft" activeCell="E68" sqref="E68"/>
      <selection pane="bottomRight" activeCell="C66" sqref="C66"/>
    </sheetView>
  </sheetViews>
  <sheetFormatPr defaultColWidth="8.88671875" defaultRowHeight="13.2" outlineLevelRow="1" x14ac:dyDescent="0.25"/>
  <cols>
    <col min="1" max="1" width="5" style="26" customWidth="1"/>
    <col min="2" max="2" width="35.6640625" style="27" customWidth="1"/>
    <col min="3" max="3" width="10.6640625" style="28" customWidth="1"/>
    <col min="4" max="4" width="10.6640625" style="68" customWidth="1"/>
    <col min="5" max="13" width="10.6640625" style="28" customWidth="1"/>
    <col min="14" max="15" width="20.6640625" style="30" customWidth="1"/>
    <col min="16" max="16" width="20.6640625" style="27" customWidth="1"/>
    <col min="17" max="16384" width="8.88671875" style="27"/>
  </cols>
  <sheetData>
    <row r="1" spans="1:16" ht="13.8" thickBot="1" x14ac:dyDescent="0.3">
      <c r="A1" s="45"/>
      <c r="B1" s="39"/>
      <c r="C1" s="46" t="s">
        <v>107</v>
      </c>
      <c r="D1" s="80"/>
      <c r="E1" s="47"/>
      <c r="F1" s="47"/>
      <c r="G1" s="47"/>
      <c r="H1" s="47"/>
      <c r="I1" s="47"/>
      <c r="J1" s="47"/>
      <c r="K1" s="47"/>
      <c r="L1" s="47"/>
      <c r="M1" s="47"/>
      <c r="N1" s="29" t="s">
        <v>108</v>
      </c>
      <c r="O1" s="29" t="s">
        <v>109</v>
      </c>
      <c r="P1" s="165" t="s">
        <v>265</v>
      </c>
    </row>
    <row r="2" spans="1:16" ht="14.4" customHeight="1" thickBot="1" x14ac:dyDescent="0.3">
      <c r="A2" s="45"/>
      <c r="B2" s="39"/>
      <c r="C2" s="662" t="s">
        <v>143</v>
      </c>
      <c r="D2" s="662"/>
      <c r="E2" s="662"/>
      <c r="F2" s="662"/>
      <c r="G2" s="662"/>
      <c r="H2" s="662"/>
      <c r="I2" s="662"/>
      <c r="J2" s="662"/>
      <c r="K2" s="662"/>
      <c r="L2" s="662"/>
      <c r="M2" s="663"/>
      <c r="N2" s="48"/>
      <c r="O2" s="49"/>
      <c r="P2" s="166" t="s">
        <v>266</v>
      </c>
    </row>
    <row r="3" spans="1:16" ht="14.4" customHeight="1" x14ac:dyDescent="0.25">
      <c r="A3" s="45"/>
      <c r="B3" s="39"/>
      <c r="C3" s="662"/>
      <c r="D3" s="662"/>
      <c r="E3" s="662"/>
      <c r="F3" s="662"/>
      <c r="G3" s="662"/>
      <c r="H3" s="662"/>
      <c r="I3" s="662"/>
      <c r="J3" s="662"/>
      <c r="K3" s="662"/>
      <c r="L3" s="662"/>
      <c r="M3" s="663"/>
      <c r="N3" s="50"/>
      <c r="O3" s="51"/>
      <c r="P3" s="167">
        <f>O4+O59</f>
        <v>32826.279548387101</v>
      </c>
    </row>
    <row r="4" spans="1:16" ht="14.4" customHeight="1" thickBot="1" x14ac:dyDescent="0.3">
      <c r="A4" s="45"/>
      <c r="B4" s="39"/>
      <c r="C4" s="662"/>
      <c r="D4" s="662"/>
      <c r="E4" s="662"/>
      <c r="F4" s="662"/>
      <c r="G4" s="662"/>
      <c r="H4" s="662"/>
      <c r="I4" s="662"/>
      <c r="J4" s="662"/>
      <c r="K4" s="662"/>
      <c r="L4" s="662"/>
      <c r="M4" s="663"/>
      <c r="N4" s="52">
        <f>SUBTOTAL(9,N18:N56)</f>
        <v>15050.828320000001</v>
      </c>
      <c r="O4" s="53">
        <f>SUBTOTAL(9,O18:O56)</f>
        <v>27687.569870967745</v>
      </c>
      <c r="P4" s="168"/>
    </row>
    <row r="5" spans="1:16" ht="14.4" customHeight="1" thickBot="1" x14ac:dyDescent="0.3">
      <c r="A5" s="45"/>
      <c r="B5" s="39"/>
      <c r="C5" s="662"/>
      <c r="D5" s="662"/>
      <c r="E5" s="662"/>
      <c r="F5" s="662"/>
      <c r="G5" s="662"/>
      <c r="H5" s="662"/>
      <c r="I5" s="662"/>
      <c r="J5" s="662"/>
      <c r="K5" s="662"/>
      <c r="L5" s="662"/>
      <c r="M5" s="663"/>
      <c r="N5" s="54"/>
      <c r="O5" s="55"/>
      <c r="P5" s="166" t="s">
        <v>267</v>
      </c>
    </row>
    <row r="6" spans="1:16" ht="15" customHeight="1" thickBot="1" x14ac:dyDescent="0.3">
      <c r="A6" s="45"/>
      <c r="B6" s="39"/>
      <c r="C6" s="662"/>
      <c r="D6" s="662"/>
      <c r="E6" s="662"/>
      <c r="F6" s="662"/>
      <c r="G6" s="662"/>
      <c r="H6" s="662"/>
      <c r="I6" s="662"/>
      <c r="J6" s="662"/>
      <c r="K6" s="662"/>
      <c r="L6" s="662"/>
      <c r="M6" s="663"/>
      <c r="N6" s="56"/>
      <c r="O6" s="57"/>
      <c r="P6" s="167">
        <f>O4+N59</f>
        <v>30873.569870967745</v>
      </c>
    </row>
    <row r="7" spans="1:16" s="32" customFormat="1" ht="15.6" customHeight="1" thickBot="1" x14ac:dyDescent="0.3">
      <c r="A7" s="58"/>
      <c r="B7" s="59"/>
      <c r="C7" s="664" t="s">
        <v>144</v>
      </c>
      <c r="D7" s="664"/>
      <c r="E7" s="664"/>
      <c r="F7" s="664"/>
      <c r="G7" s="664"/>
      <c r="H7" s="664"/>
      <c r="I7" s="664"/>
      <c r="J7" s="664"/>
      <c r="K7" s="664"/>
      <c r="L7" s="664"/>
      <c r="M7" s="665"/>
      <c r="N7" s="60" t="s">
        <v>110</v>
      </c>
      <c r="O7" s="61">
        <v>0.55000000000000004</v>
      </c>
      <c r="P7" s="168"/>
    </row>
    <row r="8" spans="1:16" outlineLevel="1" x14ac:dyDescent="0.25">
      <c r="A8" s="26" t="s">
        <v>30</v>
      </c>
      <c r="C8" s="29"/>
      <c r="E8" s="29" t="s">
        <v>27</v>
      </c>
      <c r="F8" s="29" t="s">
        <v>42</v>
      </c>
      <c r="G8" s="29" t="s">
        <v>84</v>
      </c>
      <c r="H8" s="29" t="s">
        <v>78</v>
      </c>
      <c r="I8" s="29" t="s">
        <v>79</v>
      </c>
      <c r="J8" s="29" t="s">
        <v>80</v>
      </c>
      <c r="K8" s="29" t="s">
        <v>81</v>
      </c>
      <c r="L8" s="29" t="s">
        <v>82</v>
      </c>
      <c r="M8" s="29" t="s">
        <v>83</v>
      </c>
      <c r="N8" s="27"/>
      <c r="O8" s="27"/>
    </row>
    <row r="9" spans="1:16" s="35" customFormat="1" ht="15" customHeight="1" outlineLevel="1" x14ac:dyDescent="0.25">
      <c r="A9" s="26"/>
      <c r="B9" s="35" t="s">
        <v>111</v>
      </c>
      <c r="C9" s="62"/>
      <c r="D9" s="81"/>
      <c r="E9" s="63">
        <f>E11/(1-$C$12-$C$13)</f>
        <v>228.65625000000003</v>
      </c>
      <c r="F9" s="63">
        <f t="shared" ref="F9:M9" si="0">F11/(1-$C$12-$C$13)</f>
        <v>295.37500000000006</v>
      </c>
      <c r="G9" s="63">
        <f t="shared" si="0"/>
        <v>85.468750000000014</v>
      </c>
      <c r="H9" s="63">
        <f t="shared" si="0"/>
        <v>176.12500000000003</v>
      </c>
      <c r="I9" s="63">
        <f t="shared" si="0"/>
        <v>239.37500000000003</v>
      </c>
      <c r="J9" s="63">
        <f t="shared" si="0"/>
        <v>315.65625000000006</v>
      </c>
      <c r="K9" s="63">
        <f t="shared" si="0"/>
        <v>396.40625000000006</v>
      </c>
      <c r="L9" s="63">
        <f t="shared" si="0"/>
        <v>485.65625000000006</v>
      </c>
      <c r="M9" s="63">
        <f t="shared" si="0"/>
        <v>596.21875000000011</v>
      </c>
    </row>
    <row r="10" spans="1:16" s="35" customFormat="1" ht="15" customHeight="1" outlineLevel="1" thickBot="1" x14ac:dyDescent="0.3">
      <c r="A10" s="26"/>
      <c r="B10" s="35" t="s">
        <v>1060</v>
      </c>
      <c r="C10" s="62"/>
      <c r="D10" s="81"/>
      <c r="E10" s="63">
        <f>E11/(1-$C$12-$C$14)</f>
        <v>118.01612903225806</v>
      </c>
      <c r="F10" s="63">
        <f t="shared" ref="F10:M10" si="1">F11/(1-$C$12-$C$14)</f>
        <v>152.45161290322579</v>
      </c>
      <c r="G10" s="63">
        <f t="shared" si="1"/>
        <v>44.112903225806456</v>
      </c>
      <c r="H10" s="63">
        <f t="shared" si="1"/>
        <v>90.903225806451616</v>
      </c>
      <c r="I10" s="63">
        <f t="shared" si="1"/>
        <v>123.54838709677419</v>
      </c>
      <c r="J10" s="63">
        <f t="shared" si="1"/>
        <v>162.91935483870969</v>
      </c>
      <c r="K10" s="63">
        <f t="shared" si="1"/>
        <v>204.59677419354838</v>
      </c>
      <c r="L10" s="63">
        <f t="shared" si="1"/>
        <v>250.66129032258064</v>
      </c>
      <c r="M10" s="63">
        <f t="shared" si="1"/>
        <v>307.72580645161287</v>
      </c>
    </row>
    <row r="11" spans="1:16" outlineLevel="1" x14ac:dyDescent="0.25">
      <c r="B11" s="27" t="s">
        <v>112</v>
      </c>
      <c r="E11" s="64">
        <f>'OT Automacao'!E10</f>
        <v>73.17</v>
      </c>
      <c r="F11" s="64">
        <f>'OT Automacao'!F10</f>
        <v>94.52</v>
      </c>
      <c r="G11" s="64">
        <f>'OT Automacao'!G10</f>
        <v>27.35</v>
      </c>
      <c r="H11" s="64">
        <f>'OT Automacao'!H10</f>
        <v>56.36</v>
      </c>
      <c r="I11" s="64">
        <f>'OT Automacao'!I10</f>
        <v>76.599999999999994</v>
      </c>
      <c r="J11" s="64">
        <f>'OT Automacao'!J10</f>
        <v>101.01</v>
      </c>
      <c r="K11" s="64">
        <f>'OT Automacao'!K10</f>
        <v>126.85</v>
      </c>
      <c r="L11" s="64">
        <f>'OT Automacao'!L10</f>
        <v>155.41</v>
      </c>
      <c r="M11" s="64">
        <f>'OT Automacao'!M10</f>
        <v>190.79</v>
      </c>
      <c r="N11" s="27"/>
      <c r="O11" s="484" t="s">
        <v>994</v>
      </c>
      <c r="P11" s="485"/>
    </row>
    <row r="12" spans="1:16" outlineLevel="1" x14ac:dyDescent="0.25">
      <c r="B12" s="27" t="s">
        <v>302</v>
      </c>
      <c r="C12" s="65">
        <f>'DRE Generica'!H13/100</f>
        <v>0.13</v>
      </c>
      <c r="D12" s="65"/>
      <c r="E12" s="170">
        <f>$C$12</f>
        <v>0.13</v>
      </c>
      <c r="F12" s="170">
        <f t="shared" ref="F12:M12" si="2">$C$12</f>
        <v>0.13</v>
      </c>
      <c r="G12" s="170">
        <f t="shared" si="2"/>
        <v>0.13</v>
      </c>
      <c r="H12" s="170">
        <f t="shared" si="2"/>
        <v>0.13</v>
      </c>
      <c r="I12" s="170">
        <f t="shared" si="2"/>
        <v>0.13</v>
      </c>
      <c r="J12" s="170">
        <f t="shared" si="2"/>
        <v>0.13</v>
      </c>
      <c r="K12" s="170">
        <f t="shared" si="2"/>
        <v>0.13</v>
      </c>
      <c r="L12" s="170">
        <f t="shared" si="2"/>
        <v>0.13</v>
      </c>
      <c r="M12" s="170">
        <f t="shared" si="2"/>
        <v>0.13</v>
      </c>
      <c r="N12" s="27"/>
      <c r="O12" s="488" t="s">
        <v>995</v>
      </c>
      <c r="P12" s="486"/>
    </row>
    <row r="13" spans="1:16" outlineLevel="1" x14ac:dyDescent="0.25">
      <c r="B13" s="27" t="s">
        <v>301</v>
      </c>
      <c r="C13" s="65">
        <f>O7</f>
        <v>0.55000000000000004</v>
      </c>
      <c r="D13" s="65"/>
      <c r="E13" s="170">
        <f>$C$13</f>
        <v>0.55000000000000004</v>
      </c>
      <c r="F13" s="170">
        <f t="shared" ref="F13:M13" si="3">$C$13</f>
        <v>0.55000000000000004</v>
      </c>
      <c r="G13" s="170">
        <f t="shared" si="3"/>
        <v>0.55000000000000004</v>
      </c>
      <c r="H13" s="170">
        <f t="shared" si="3"/>
        <v>0.55000000000000004</v>
      </c>
      <c r="I13" s="170">
        <f t="shared" si="3"/>
        <v>0.55000000000000004</v>
      </c>
      <c r="J13" s="170">
        <f t="shared" si="3"/>
        <v>0.55000000000000004</v>
      </c>
      <c r="K13" s="170">
        <f t="shared" si="3"/>
        <v>0.55000000000000004</v>
      </c>
      <c r="L13" s="170">
        <f t="shared" si="3"/>
        <v>0.55000000000000004</v>
      </c>
      <c r="M13" s="170">
        <f t="shared" si="3"/>
        <v>0.55000000000000004</v>
      </c>
      <c r="N13" s="27"/>
      <c r="O13" s="488" t="s">
        <v>996</v>
      </c>
      <c r="P13" s="487"/>
    </row>
    <row r="14" spans="1:16" ht="14.4" customHeight="1" outlineLevel="1" thickBot="1" x14ac:dyDescent="0.3">
      <c r="B14" s="27" t="s">
        <v>934</v>
      </c>
      <c r="C14" s="65">
        <v>0.25</v>
      </c>
      <c r="E14" s="64">
        <f t="shared" ref="E14" si="4">E11*$C$14</f>
        <v>18.2925</v>
      </c>
      <c r="F14" s="64">
        <f>F11*$C$14</f>
        <v>23.63</v>
      </c>
      <c r="G14" s="64">
        <f t="shared" ref="G14:M14" si="5">G11*$C$14</f>
        <v>6.8375000000000004</v>
      </c>
      <c r="H14" s="64">
        <f t="shared" si="5"/>
        <v>14.09</v>
      </c>
      <c r="I14" s="64">
        <f t="shared" si="5"/>
        <v>19.149999999999999</v>
      </c>
      <c r="J14" s="64">
        <f t="shared" si="5"/>
        <v>25.252500000000001</v>
      </c>
      <c r="K14" s="64">
        <f t="shared" si="5"/>
        <v>31.712499999999999</v>
      </c>
      <c r="L14" s="64">
        <f t="shared" si="5"/>
        <v>38.852499999999999</v>
      </c>
      <c r="M14" s="64">
        <f t="shared" si="5"/>
        <v>47.697499999999998</v>
      </c>
      <c r="N14" s="27"/>
      <c r="O14" s="489" t="s">
        <v>997</v>
      </c>
      <c r="P14" s="491"/>
    </row>
    <row r="15" spans="1:16" s="32" customFormat="1" ht="13.8" outlineLevel="1" thickBot="1" x14ac:dyDescent="0.3">
      <c r="A15" s="31"/>
      <c r="C15" s="33"/>
      <c r="D15" s="82"/>
      <c r="E15" s="33"/>
      <c r="F15" s="33"/>
      <c r="G15" s="33"/>
      <c r="H15" s="33"/>
      <c r="I15" s="33"/>
      <c r="J15" s="33"/>
      <c r="K15" s="33"/>
      <c r="L15" s="33"/>
      <c r="M15" s="33"/>
    </row>
    <row r="16" spans="1:16" s="35" customFormat="1" x14ac:dyDescent="0.25">
      <c r="A16" s="26"/>
      <c r="C16" s="29" t="s">
        <v>91</v>
      </c>
      <c r="D16" s="69" t="s">
        <v>89</v>
      </c>
      <c r="E16" s="29" t="s">
        <v>27</v>
      </c>
      <c r="F16" s="29" t="s">
        <v>42</v>
      </c>
      <c r="G16" s="29" t="str">
        <f t="shared" ref="G16:M16" si="6">G8</f>
        <v>Estagiário</v>
      </c>
      <c r="H16" s="29" t="str">
        <f t="shared" si="6"/>
        <v>Analista C</v>
      </c>
      <c r="I16" s="29" t="str">
        <f t="shared" si="6"/>
        <v>Analista B</v>
      </c>
      <c r="J16" s="29" t="str">
        <f t="shared" si="6"/>
        <v>Analista A</v>
      </c>
      <c r="K16" s="29" t="str">
        <f t="shared" si="6"/>
        <v>Consultor C</v>
      </c>
      <c r="L16" s="29" t="str">
        <f t="shared" si="6"/>
        <v>Consultor B</v>
      </c>
      <c r="M16" s="29" t="str">
        <f t="shared" si="6"/>
        <v>Consultor A</v>
      </c>
      <c r="N16" s="36" t="s">
        <v>108</v>
      </c>
      <c r="O16" s="36" t="s">
        <v>109</v>
      </c>
    </row>
    <row r="17" spans="1:15" s="35" customFormat="1" x14ac:dyDescent="0.25">
      <c r="A17" s="26"/>
      <c r="B17" s="27"/>
      <c r="C17" s="27"/>
      <c r="D17" s="83"/>
      <c r="E17" s="27"/>
      <c r="F17" s="27"/>
      <c r="G17" s="27"/>
      <c r="H17" s="27"/>
      <c r="I17" s="27"/>
      <c r="J17" s="27"/>
      <c r="K17" s="27"/>
      <c r="L17" s="27"/>
      <c r="M17" s="27"/>
      <c r="N17" s="27"/>
      <c r="O17" s="27"/>
    </row>
    <row r="18" spans="1:15" s="30" customFormat="1" x14ac:dyDescent="0.25">
      <c r="A18" s="26" t="s">
        <v>130</v>
      </c>
      <c r="B18" s="27"/>
      <c r="C18" s="29" t="s">
        <v>91</v>
      </c>
      <c r="D18" s="87">
        <f>SUBTOTAL(9,D19:D33)</f>
        <v>0</v>
      </c>
      <c r="E18" s="28"/>
      <c r="F18" s="28"/>
      <c r="G18" s="28"/>
      <c r="H18" s="28"/>
      <c r="I18" s="28"/>
      <c r="J18" s="28"/>
      <c r="K18" s="28"/>
      <c r="L18" s="28"/>
      <c r="M18" s="28"/>
      <c r="N18" s="85">
        <f>SUBTOTAL(9,N19:N33)</f>
        <v>0</v>
      </c>
      <c r="O18" s="85">
        <f>SUBTOTAL(9,O19:O33)</f>
        <v>0</v>
      </c>
    </row>
    <row r="19" spans="1:15" s="30" customFormat="1" x14ac:dyDescent="0.25">
      <c r="A19" s="26">
        <v>1</v>
      </c>
      <c r="B19" s="66" t="s">
        <v>87</v>
      </c>
      <c r="C19" s="67"/>
      <c r="D19" s="68">
        <f>C19*SUM(E19:M19)*8</f>
        <v>0</v>
      </c>
      <c r="E19" s="67"/>
      <c r="F19" s="67"/>
      <c r="G19" s="67"/>
      <c r="H19" s="67"/>
      <c r="I19" s="67"/>
      <c r="J19" s="67"/>
      <c r="K19" s="67"/>
      <c r="L19" s="67"/>
      <c r="M19" s="67"/>
      <c r="N19" s="30">
        <f t="shared" ref="N19:N33" si="7">SUMPRODUCT(E19:M19,$E$11:$M$11)*C19*8</f>
        <v>0</v>
      </c>
      <c r="O19" s="30">
        <f t="shared" ref="O19:O33" si="8">SUMPRODUCT(E19:M19,$E$9:$M$9)*C19*8</f>
        <v>0</v>
      </c>
    </row>
    <row r="20" spans="1:15" s="30" customFormat="1" x14ac:dyDescent="0.25">
      <c r="A20" s="26">
        <v>2</v>
      </c>
      <c r="B20" s="66" t="s">
        <v>88</v>
      </c>
      <c r="C20" s="67"/>
      <c r="D20" s="68">
        <f t="shared" ref="D20:D24" si="9">C20*SUM(E20:M20)*8</f>
        <v>0</v>
      </c>
      <c r="E20" s="67"/>
      <c r="F20" s="67"/>
      <c r="G20" s="67"/>
      <c r="H20" s="67"/>
      <c r="I20" s="67"/>
      <c r="J20" s="67"/>
      <c r="K20" s="67"/>
      <c r="L20" s="67"/>
      <c r="M20" s="67"/>
      <c r="N20" s="30">
        <f t="shared" si="7"/>
        <v>0</v>
      </c>
      <c r="O20" s="30">
        <f t="shared" si="8"/>
        <v>0</v>
      </c>
    </row>
    <row r="21" spans="1:15" s="30" customFormat="1" x14ac:dyDescent="0.25">
      <c r="A21" s="26">
        <v>3</v>
      </c>
      <c r="B21" s="66" t="s">
        <v>113</v>
      </c>
      <c r="C21" s="67"/>
      <c r="D21" s="68">
        <f t="shared" si="9"/>
        <v>0</v>
      </c>
      <c r="E21" s="67"/>
      <c r="F21" s="67"/>
      <c r="G21" s="67"/>
      <c r="H21" s="67"/>
      <c r="I21" s="67"/>
      <c r="J21" s="67"/>
      <c r="K21" s="67"/>
      <c r="L21" s="67"/>
      <c r="M21" s="67"/>
      <c r="N21" s="30">
        <f t="shared" si="7"/>
        <v>0</v>
      </c>
      <c r="O21" s="30">
        <f t="shared" si="8"/>
        <v>0</v>
      </c>
    </row>
    <row r="22" spans="1:15" s="30" customFormat="1" x14ac:dyDescent="0.25">
      <c r="A22" s="26">
        <v>4</v>
      </c>
      <c r="B22" s="66" t="s">
        <v>114</v>
      </c>
      <c r="C22" s="67"/>
      <c r="D22" s="68">
        <f t="shared" si="9"/>
        <v>0</v>
      </c>
      <c r="E22" s="67"/>
      <c r="F22" s="67"/>
      <c r="G22" s="67"/>
      <c r="H22" s="67"/>
      <c r="I22" s="67"/>
      <c r="J22" s="67"/>
      <c r="K22" s="67"/>
      <c r="L22" s="67"/>
      <c r="M22" s="67"/>
      <c r="N22" s="30">
        <f t="shared" si="7"/>
        <v>0</v>
      </c>
      <c r="O22" s="30">
        <f t="shared" si="8"/>
        <v>0</v>
      </c>
    </row>
    <row r="23" spans="1:15" s="30" customFormat="1" x14ac:dyDescent="0.25">
      <c r="A23" s="26">
        <v>5</v>
      </c>
      <c r="B23" s="66" t="s">
        <v>115</v>
      </c>
      <c r="C23" s="67"/>
      <c r="D23" s="68">
        <f t="shared" si="9"/>
        <v>0</v>
      </c>
      <c r="E23" s="67"/>
      <c r="F23" s="67"/>
      <c r="G23" s="67"/>
      <c r="H23" s="67"/>
      <c r="I23" s="67"/>
      <c r="J23" s="67"/>
      <c r="K23" s="67"/>
      <c r="L23" s="67"/>
      <c r="M23" s="67"/>
      <c r="N23" s="30">
        <f t="shared" si="7"/>
        <v>0</v>
      </c>
      <c r="O23" s="30">
        <f t="shared" si="8"/>
        <v>0</v>
      </c>
    </row>
    <row r="24" spans="1:15" x14ac:dyDescent="0.25">
      <c r="A24" s="26">
        <v>6</v>
      </c>
      <c r="B24" s="66" t="s">
        <v>116</v>
      </c>
      <c r="C24" s="67"/>
      <c r="D24" s="68">
        <f t="shared" si="9"/>
        <v>0</v>
      </c>
      <c r="E24" s="67"/>
      <c r="F24" s="67"/>
      <c r="G24" s="67"/>
      <c r="H24" s="67"/>
      <c r="I24" s="67"/>
      <c r="J24" s="67"/>
      <c r="K24" s="67"/>
      <c r="L24" s="67"/>
      <c r="M24" s="67"/>
      <c r="N24" s="30">
        <f t="shared" si="7"/>
        <v>0</v>
      </c>
      <c r="O24" s="30">
        <f t="shared" si="8"/>
        <v>0</v>
      </c>
    </row>
    <row r="25" spans="1:15" x14ac:dyDescent="0.25">
      <c r="A25" s="26">
        <v>7</v>
      </c>
      <c r="B25" s="66" t="s">
        <v>117</v>
      </c>
      <c r="C25" s="67"/>
      <c r="D25" s="68">
        <f t="shared" ref="D25:D31" si="10">C25*SUM(E25:M25)*8</f>
        <v>0</v>
      </c>
      <c r="E25" s="67"/>
      <c r="F25" s="67"/>
      <c r="G25" s="67"/>
      <c r="H25" s="67"/>
      <c r="I25" s="67"/>
      <c r="J25" s="67"/>
      <c r="K25" s="67"/>
      <c r="L25" s="67"/>
      <c r="M25" s="67"/>
      <c r="N25" s="30">
        <f t="shared" si="7"/>
        <v>0</v>
      </c>
      <c r="O25" s="30">
        <f t="shared" si="8"/>
        <v>0</v>
      </c>
    </row>
    <row r="26" spans="1:15" x14ac:dyDescent="0.25">
      <c r="A26" s="26">
        <v>8</v>
      </c>
      <c r="B26" s="66" t="s">
        <v>118</v>
      </c>
      <c r="C26" s="67"/>
      <c r="D26" s="68">
        <f t="shared" si="10"/>
        <v>0</v>
      </c>
      <c r="E26" s="67"/>
      <c r="F26" s="67"/>
      <c r="G26" s="67"/>
      <c r="H26" s="67"/>
      <c r="I26" s="67"/>
      <c r="J26" s="67"/>
      <c r="K26" s="67"/>
      <c r="L26" s="67"/>
      <c r="M26" s="67"/>
      <c r="N26" s="30">
        <f t="shared" si="7"/>
        <v>0</v>
      </c>
      <c r="O26" s="30">
        <f t="shared" si="8"/>
        <v>0</v>
      </c>
    </row>
    <row r="27" spans="1:15" x14ac:dyDescent="0.25">
      <c r="A27" s="26">
        <v>9</v>
      </c>
      <c r="B27" s="66" t="s">
        <v>119</v>
      </c>
      <c r="C27" s="67"/>
      <c r="D27" s="68">
        <f t="shared" si="10"/>
        <v>0</v>
      </c>
      <c r="E27" s="67"/>
      <c r="F27" s="67"/>
      <c r="G27" s="67"/>
      <c r="H27" s="67"/>
      <c r="I27" s="67"/>
      <c r="J27" s="67"/>
      <c r="K27" s="67"/>
      <c r="L27" s="67"/>
      <c r="M27" s="67"/>
      <c r="N27" s="30">
        <f t="shared" si="7"/>
        <v>0</v>
      </c>
      <c r="O27" s="30">
        <f t="shared" si="8"/>
        <v>0</v>
      </c>
    </row>
    <row r="28" spans="1:15" x14ac:dyDescent="0.25">
      <c r="A28" s="26">
        <v>10</v>
      </c>
      <c r="B28" s="66" t="s">
        <v>146</v>
      </c>
      <c r="C28" s="67"/>
      <c r="D28" s="68">
        <f t="shared" si="10"/>
        <v>0</v>
      </c>
      <c r="E28" s="67"/>
      <c r="F28" s="67"/>
      <c r="G28" s="67"/>
      <c r="H28" s="67"/>
      <c r="I28" s="67"/>
      <c r="J28" s="67"/>
      <c r="K28" s="67"/>
      <c r="L28" s="67"/>
      <c r="M28" s="67"/>
      <c r="N28" s="30">
        <f t="shared" si="7"/>
        <v>0</v>
      </c>
      <c r="O28" s="30">
        <f t="shared" si="8"/>
        <v>0</v>
      </c>
    </row>
    <row r="29" spans="1:15" x14ac:dyDescent="0.25">
      <c r="A29" s="26">
        <v>11</v>
      </c>
      <c r="B29" s="66" t="s">
        <v>147</v>
      </c>
      <c r="C29" s="67"/>
      <c r="D29" s="68">
        <f t="shared" si="10"/>
        <v>0</v>
      </c>
      <c r="E29" s="67"/>
      <c r="F29" s="67"/>
      <c r="G29" s="67"/>
      <c r="H29" s="67"/>
      <c r="I29" s="67"/>
      <c r="J29" s="67"/>
      <c r="K29" s="67"/>
      <c r="L29" s="67"/>
      <c r="M29" s="67"/>
      <c r="N29" s="30">
        <f t="shared" si="7"/>
        <v>0</v>
      </c>
      <c r="O29" s="30">
        <f t="shared" si="8"/>
        <v>0</v>
      </c>
    </row>
    <row r="30" spans="1:15" x14ac:dyDescent="0.25">
      <c r="A30" s="26">
        <v>12</v>
      </c>
      <c r="B30" s="66" t="s">
        <v>148</v>
      </c>
      <c r="C30" s="67"/>
      <c r="D30" s="68">
        <f t="shared" si="10"/>
        <v>0</v>
      </c>
      <c r="E30" s="67"/>
      <c r="F30" s="67"/>
      <c r="G30" s="67"/>
      <c r="H30" s="67"/>
      <c r="I30" s="67"/>
      <c r="J30" s="67"/>
      <c r="K30" s="67"/>
      <c r="L30" s="67"/>
      <c r="M30" s="67"/>
      <c r="N30" s="30">
        <f t="shared" si="7"/>
        <v>0</v>
      </c>
      <c r="O30" s="30">
        <f t="shared" si="8"/>
        <v>0</v>
      </c>
    </row>
    <row r="31" spans="1:15" x14ac:dyDescent="0.25">
      <c r="A31" s="26">
        <v>13</v>
      </c>
      <c r="B31" s="66" t="s">
        <v>149</v>
      </c>
      <c r="C31" s="67"/>
      <c r="D31" s="68">
        <f t="shared" si="10"/>
        <v>0</v>
      </c>
      <c r="E31" s="67"/>
      <c r="F31" s="67"/>
      <c r="G31" s="67"/>
      <c r="H31" s="67"/>
      <c r="I31" s="67"/>
      <c r="J31" s="67"/>
      <c r="K31" s="67"/>
      <c r="L31" s="67"/>
      <c r="M31" s="67"/>
      <c r="N31" s="30">
        <f t="shared" si="7"/>
        <v>0</v>
      </c>
      <c r="O31" s="30">
        <f t="shared" si="8"/>
        <v>0</v>
      </c>
    </row>
    <row r="32" spans="1:15" x14ac:dyDescent="0.25">
      <c r="A32" s="26">
        <v>14</v>
      </c>
      <c r="B32" s="66" t="s">
        <v>150</v>
      </c>
      <c r="C32" s="67"/>
      <c r="D32" s="68">
        <f t="shared" ref="D32:D33" si="11">C32*SUM(E32:M32)*8</f>
        <v>0</v>
      </c>
      <c r="E32" s="67"/>
      <c r="F32" s="67"/>
      <c r="G32" s="67"/>
      <c r="H32" s="67"/>
      <c r="I32" s="67"/>
      <c r="J32" s="67"/>
      <c r="K32" s="67"/>
      <c r="L32" s="67"/>
      <c r="M32" s="67"/>
      <c r="N32" s="30">
        <f t="shared" si="7"/>
        <v>0</v>
      </c>
      <c r="O32" s="30">
        <f t="shared" si="8"/>
        <v>0</v>
      </c>
    </row>
    <row r="33" spans="1:15" x14ac:dyDescent="0.25">
      <c r="A33" s="26">
        <v>15</v>
      </c>
      <c r="B33" s="66" t="s">
        <v>151</v>
      </c>
      <c r="C33" s="67"/>
      <c r="D33" s="68">
        <f t="shared" si="11"/>
        <v>0</v>
      </c>
      <c r="E33" s="67"/>
      <c r="F33" s="67"/>
      <c r="G33" s="67"/>
      <c r="H33" s="67"/>
      <c r="I33" s="67"/>
      <c r="J33" s="67"/>
      <c r="K33" s="67"/>
      <c r="L33" s="67"/>
      <c r="M33" s="67"/>
      <c r="N33" s="30">
        <f t="shared" si="7"/>
        <v>0</v>
      </c>
      <c r="O33" s="30">
        <f t="shared" si="8"/>
        <v>0</v>
      </c>
    </row>
    <row r="34" spans="1:15" s="35" customFormat="1" x14ac:dyDescent="0.25">
      <c r="A34" s="26"/>
      <c r="B34" s="27"/>
      <c r="C34" s="27"/>
      <c r="D34" s="83"/>
      <c r="E34" s="27"/>
      <c r="F34" s="27"/>
      <c r="G34" s="27"/>
      <c r="H34" s="27"/>
      <c r="I34" s="27"/>
      <c r="J34" s="27"/>
      <c r="K34" s="27"/>
      <c r="L34" s="27"/>
      <c r="M34" s="27"/>
      <c r="N34" s="27"/>
      <c r="O34" s="27"/>
    </row>
    <row r="35" spans="1:15" x14ac:dyDescent="0.25">
      <c r="A35" s="26" t="s">
        <v>131</v>
      </c>
      <c r="C35" s="29" t="s">
        <v>91</v>
      </c>
      <c r="D35" s="87">
        <f>SUBTOTAL(9,D36:D50)</f>
        <v>117.39200000000001</v>
      </c>
      <c r="N35" s="85">
        <f>SUBTOTAL(9,N36:N50)</f>
        <v>15050.828320000001</v>
      </c>
      <c r="O35" s="85">
        <f>SUBTOTAL(9,O36:O50)</f>
        <v>27687.569870967745</v>
      </c>
    </row>
    <row r="36" spans="1:15" x14ac:dyDescent="0.25">
      <c r="A36" s="26">
        <v>1</v>
      </c>
      <c r="B36" s="66" t="s">
        <v>322</v>
      </c>
      <c r="C36" s="67">
        <v>1</v>
      </c>
      <c r="D36" s="68">
        <f>C36*SUM(E36:M36)*8.8</f>
        <v>8.8000000000000007</v>
      </c>
      <c r="E36" s="67"/>
      <c r="F36" s="67"/>
      <c r="G36" s="67"/>
      <c r="H36" s="67"/>
      <c r="I36" s="67"/>
      <c r="J36" s="67">
        <v>1</v>
      </c>
      <c r="K36" s="67"/>
      <c r="L36" s="67"/>
      <c r="M36" s="67"/>
      <c r="N36" s="30">
        <f>SUMPRODUCT(E36:M36,$E$11:$M$11)*C36*8.8</f>
        <v>888.88800000000015</v>
      </c>
      <c r="O36" s="30">
        <f>SUMPRODUCT(E36:M36,$E$9:$M$9)*C36*8.8</f>
        <v>2777.7750000000005</v>
      </c>
    </row>
    <row r="37" spans="1:15" x14ac:dyDescent="0.25">
      <c r="A37" s="26">
        <v>2</v>
      </c>
      <c r="B37" s="66" t="s">
        <v>324</v>
      </c>
      <c r="C37" s="67">
        <v>1</v>
      </c>
      <c r="D37" s="68">
        <f t="shared" ref="D37:D50" si="12">C37*SUM(E37:M37)*8.8</f>
        <v>8.8000000000000007</v>
      </c>
      <c r="E37" s="67"/>
      <c r="F37" s="67"/>
      <c r="G37" s="67"/>
      <c r="H37" s="67"/>
      <c r="I37" s="67"/>
      <c r="J37" s="67"/>
      <c r="K37" s="67"/>
      <c r="L37" s="67">
        <v>1</v>
      </c>
      <c r="M37" s="67"/>
      <c r="N37" s="30">
        <f t="shared" ref="N37:N49" si="13">SUMPRODUCT(E37:M37,$E$11:$M$11)*C37*8.8</f>
        <v>1367.6080000000002</v>
      </c>
      <c r="O37" s="30">
        <f t="shared" ref="O37:O49" si="14">SUMPRODUCT(E37:M37,$E$9:$M$9)*C37*8.8</f>
        <v>4273.7750000000005</v>
      </c>
    </row>
    <row r="38" spans="1:15" x14ac:dyDescent="0.25">
      <c r="A38" s="26">
        <v>3</v>
      </c>
      <c r="B38" s="66" t="s">
        <v>325</v>
      </c>
      <c r="C38" s="67">
        <v>21</v>
      </c>
      <c r="D38" s="68">
        <f t="shared" si="12"/>
        <v>49.896000000000001</v>
      </c>
      <c r="E38" s="67"/>
      <c r="F38" s="67"/>
      <c r="G38" s="67"/>
      <c r="H38" s="67"/>
      <c r="I38" s="67"/>
      <c r="J38" s="67">
        <v>0.27</v>
      </c>
      <c r="K38" s="67"/>
      <c r="L38" s="67"/>
      <c r="M38" s="67"/>
      <c r="N38" s="30">
        <f t="shared" si="13"/>
        <v>5039.9949600000009</v>
      </c>
      <c r="O38" s="30">
        <f>SUMPRODUCT(E38:M38,$E$10:$M$10)*C38*8.8</f>
        <v>8129.024129032261</v>
      </c>
    </row>
    <row r="39" spans="1:15" x14ac:dyDescent="0.25">
      <c r="A39" s="26">
        <v>4</v>
      </c>
      <c r="B39" s="66" t="s">
        <v>327</v>
      </c>
      <c r="C39" s="67">
        <v>21</v>
      </c>
      <c r="D39" s="68">
        <f t="shared" si="12"/>
        <v>49.896000000000001</v>
      </c>
      <c r="E39" s="67"/>
      <c r="F39" s="67"/>
      <c r="G39" s="67"/>
      <c r="H39" s="67"/>
      <c r="I39" s="67"/>
      <c r="J39" s="67"/>
      <c r="K39" s="67"/>
      <c r="L39" s="67">
        <v>0.27</v>
      </c>
      <c r="M39" s="67"/>
      <c r="N39" s="30">
        <f t="shared" si="13"/>
        <v>7754.3373600000004</v>
      </c>
      <c r="O39" s="30">
        <f>SUMPRODUCT(E39:M39,$E$10:$M$10)*C39*8.8</f>
        <v>12506.995741935485</v>
      </c>
    </row>
    <row r="40" spans="1:15" x14ac:dyDescent="0.25">
      <c r="A40" s="26">
        <v>5</v>
      </c>
      <c r="B40" s="66" t="s">
        <v>328</v>
      </c>
      <c r="C40" s="67"/>
      <c r="D40" s="68">
        <f t="shared" si="12"/>
        <v>0</v>
      </c>
      <c r="E40" s="67"/>
      <c r="F40" s="67"/>
      <c r="G40" s="67"/>
      <c r="H40" s="67"/>
      <c r="I40" s="67"/>
      <c r="J40" s="67"/>
      <c r="K40" s="67"/>
      <c r="L40" s="67"/>
      <c r="M40" s="67"/>
      <c r="N40" s="30">
        <f t="shared" si="13"/>
        <v>0</v>
      </c>
      <c r="O40" s="30">
        <f t="shared" si="14"/>
        <v>0</v>
      </c>
    </row>
    <row r="41" spans="1:15" x14ac:dyDescent="0.25">
      <c r="A41" s="26">
        <v>6</v>
      </c>
      <c r="B41" s="66" t="s">
        <v>329</v>
      </c>
      <c r="C41" s="67"/>
      <c r="D41" s="68">
        <f t="shared" si="12"/>
        <v>0</v>
      </c>
      <c r="E41" s="67"/>
      <c r="F41" s="67"/>
      <c r="G41" s="67"/>
      <c r="H41" s="67"/>
      <c r="I41" s="67"/>
      <c r="J41" s="67"/>
      <c r="K41" s="67"/>
      <c r="L41" s="67"/>
      <c r="M41" s="67"/>
      <c r="N41" s="30">
        <f t="shared" si="13"/>
        <v>0</v>
      </c>
      <c r="O41" s="30">
        <f t="shared" si="14"/>
        <v>0</v>
      </c>
    </row>
    <row r="42" spans="1:15" x14ac:dyDescent="0.25">
      <c r="A42" s="26">
        <v>7</v>
      </c>
      <c r="B42" s="66" t="s">
        <v>182</v>
      </c>
      <c r="C42" s="67"/>
      <c r="D42" s="68">
        <f t="shared" si="12"/>
        <v>0</v>
      </c>
      <c r="E42" s="67"/>
      <c r="F42" s="67"/>
      <c r="G42" s="67"/>
      <c r="H42" s="67"/>
      <c r="I42" s="67"/>
      <c r="J42" s="67"/>
      <c r="K42" s="67"/>
      <c r="L42" s="67"/>
      <c r="M42" s="67"/>
      <c r="N42" s="30">
        <f t="shared" si="13"/>
        <v>0</v>
      </c>
      <c r="O42" s="30">
        <f t="shared" si="14"/>
        <v>0</v>
      </c>
    </row>
    <row r="43" spans="1:15" x14ac:dyDescent="0.25">
      <c r="A43" s="26">
        <v>8</v>
      </c>
      <c r="B43" s="66" t="s">
        <v>118</v>
      </c>
      <c r="C43" s="67"/>
      <c r="D43" s="68">
        <f t="shared" si="12"/>
        <v>0</v>
      </c>
      <c r="E43" s="67"/>
      <c r="F43" s="67"/>
      <c r="G43" s="67"/>
      <c r="H43" s="67"/>
      <c r="I43" s="67"/>
      <c r="J43" s="67"/>
      <c r="K43" s="67"/>
      <c r="L43" s="67"/>
      <c r="M43" s="67"/>
      <c r="N43" s="30">
        <f t="shared" si="13"/>
        <v>0</v>
      </c>
      <c r="O43" s="30">
        <f t="shared" si="14"/>
        <v>0</v>
      </c>
    </row>
    <row r="44" spans="1:15" x14ac:dyDescent="0.25">
      <c r="A44" s="26">
        <v>9</v>
      </c>
      <c r="B44" s="66" t="s">
        <v>119</v>
      </c>
      <c r="C44" s="67"/>
      <c r="D44" s="68">
        <f t="shared" si="12"/>
        <v>0</v>
      </c>
      <c r="E44" s="67"/>
      <c r="F44" s="67"/>
      <c r="G44" s="67"/>
      <c r="H44" s="67"/>
      <c r="I44" s="67"/>
      <c r="J44" s="67"/>
      <c r="K44" s="67"/>
      <c r="L44" s="67"/>
      <c r="M44" s="67"/>
      <c r="N44" s="30">
        <f t="shared" si="13"/>
        <v>0</v>
      </c>
      <c r="O44" s="30">
        <f t="shared" si="14"/>
        <v>0</v>
      </c>
    </row>
    <row r="45" spans="1:15" x14ac:dyDescent="0.25">
      <c r="A45" s="26">
        <v>10</v>
      </c>
      <c r="B45" s="66" t="s">
        <v>146</v>
      </c>
      <c r="C45" s="67"/>
      <c r="D45" s="68">
        <f t="shared" si="12"/>
        <v>0</v>
      </c>
      <c r="E45" s="67"/>
      <c r="F45" s="67"/>
      <c r="G45" s="67"/>
      <c r="H45" s="67"/>
      <c r="I45" s="67"/>
      <c r="J45" s="67"/>
      <c r="K45" s="67"/>
      <c r="L45" s="67"/>
      <c r="M45" s="67"/>
      <c r="N45" s="30">
        <f t="shared" si="13"/>
        <v>0</v>
      </c>
      <c r="O45" s="30">
        <f t="shared" si="14"/>
        <v>0</v>
      </c>
    </row>
    <row r="46" spans="1:15" x14ac:dyDescent="0.25">
      <c r="A46" s="26">
        <v>11</v>
      </c>
      <c r="B46" s="66" t="s">
        <v>147</v>
      </c>
      <c r="C46" s="67"/>
      <c r="D46" s="68">
        <f t="shared" si="12"/>
        <v>0</v>
      </c>
      <c r="E46" s="67"/>
      <c r="F46" s="67"/>
      <c r="G46" s="67"/>
      <c r="H46" s="67"/>
      <c r="I46" s="67"/>
      <c r="J46" s="67"/>
      <c r="K46" s="67"/>
      <c r="L46" s="67"/>
      <c r="M46" s="67"/>
      <c r="N46" s="30">
        <f t="shared" si="13"/>
        <v>0</v>
      </c>
      <c r="O46" s="30">
        <f t="shared" si="14"/>
        <v>0</v>
      </c>
    </row>
    <row r="47" spans="1:15" x14ac:dyDescent="0.25">
      <c r="A47" s="26">
        <v>12</v>
      </c>
      <c r="B47" s="66" t="s">
        <v>148</v>
      </c>
      <c r="C47" s="67"/>
      <c r="D47" s="68">
        <f t="shared" si="12"/>
        <v>0</v>
      </c>
      <c r="E47" s="67"/>
      <c r="F47" s="67"/>
      <c r="G47" s="67"/>
      <c r="H47" s="67"/>
      <c r="I47" s="67"/>
      <c r="J47" s="67"/>
      <c r="K47" s="67"/>
      <c r="L47" s="67"/>
      <c r="M47" s="67"/>
      <c r="N47" s="30">
        <f t="shared" si="13"/>
        <v>0</v>
      </c>
      <c r="O47" s="30">
        <f t="shared" si="14"/>
        <v>0</v>
      </c>
    </row>
    <row r="48" spans="1:15" x14ac:dyDescent="0.25">
      <c r="A48" s="26">
        <v>13</v>
      </c>
      <c r="B48" s="66" t="s">
        <v>149</v>
      </c>
      <c r="C48" s="67"/>
      <c r="D48" s="68">
        <f t="shared" si="12"/>
        <v>0</v>
      </c>
      <c r="E48" s="67"/>
      <c r="F48" s="67"/>
      <c r="G48" s="67"/>
      <c r="H48" s="67"/>
      <c r="I48" s="67"/>
      <c r="J48" s="67"/>
      <c r="K48" s="67"/>
      <c r="L48" s="67"/>
      <c r="M48" s="67"/>
      <c r="N48" s="30">
        <f t="shared" si="13"/>
        <v>0</v>
      </c>
      <c r="O48" s="30">
        <f t="shared" si="14"/>
        <v>0</v>
      </c>
    </row>
    <row r="49" spans="1:15" x14ac:dyDescent="0.25">
      <c r="A49" s="26">
        <v>14</v>
      </c>
      <c r="B49" s="66" t="s">
        <v>150</v>
      </c>
      <c r="C49" s="67"/>
      <c r="D49" s="68">
        <f t="shared" si="12"/>
        <v>0</v>
      </c>
      <c r="E49" s="67"/>
      <c r="F49" s="67"/>
      <c r="G49" s="67"/>
      <c r="H49" s="67"/>
      <c r="I49" s="67"/>
      <c r="J49" s="67"/>
      <c r="K49" s="67"/>
      <c r="L49" s="67"/>
      <c r="M49" s="67"/>
      <c r="N49" s="30">
        <f t="shared" si="13"/>
        <v>0</v>
      </c>
      <c r="O49" s="30">
        <f t="shared" si="14"/>
        <v>0</v>
      </c>
    </row>
    <row r="50" spans="1:15" x14ac:dyDescent="0.25">
      <c r="A50" s="26">
        <v>15</v>
      </c>
      <c r="B50" s="66" t="s">
        <v>151</v>
      </c>
      <c r="C50" s="67"/>
      <c r="D50" s="68">
        <f t="shared" si="12"/>
        <v>0</v>
      </c>
      <c r="E50" s="67"/>
      <c r="F50" s="67"/>
      <c r="G50" s="67"/>
      <c r="H50" s="67"/>
      <c r="I50" s="67"/>
      <c r="J50" s="67"/>
      <c r="K50" s="67"/>
      <c r="L50" s="67"/>
      <c r="M50" s="67"/>
      <c r="N50" s="30">
        <f>SUMPRODUCT(E50:M50,$E$11:$M$11)*C50*8.8</f>
        <v>0</v>
      </c>
      <c r="O50" s="30">
        <f>SUMPRODUCT(E50:M50,$E$9:$M$9)*C50*8.8</f>
        <v>0</v>
      </c>
    </row>
    <row r="51" spans="1:15" x14ac:dyDescent="0.25">
      <c r="C51" s="68"/>
      <c r="E51" s="68"/>
      <c r="F51" s="68"/>
    </row>
    <row r="52" spans="1:15" x14ac:dyDescent="0.25">
      <c r="A52" s="494" t="s">
        <v>998</v>
      </c>
      <c r="B52" s="443"/>
      <c r="C52" s="495"/>
      <c r="D52" s="495"/>
      <c r="E52" s="495"/>
      <c r="F52" s="495"/>
      <c r="G52" s="496"/>
      <c r="H52" s="496"/>
      <c r="I52" s="496"/>
      <c r="J52" s="496"/>
      <c r="K52" s="496"/>
      <c r="L52" s="496"/>
      <c r="M52" s="496"/>
      <c r="N52" s="85">
        <f>SUBTOTAL(9,N53:N55)</f>
        <v>0</v>
      </c>
      <c r="O52" s="85">
        <f>SUBTOTAL(9,O53:O55)</f>
        <v>0</v>
      </c>
    </row>
    <row r="53" spans="1:15" x14ac:dyDescent="0.25">
      <c r="A53" s="26">
        <v>1</v>
      </c>
      <c r="B53" s="66" t="s">
        <v>325</v>
      </c>
      <c r="C53" s="90"/>
      <c r="E53" s="89"/>
      <c r="F53" s="89"/>
      <c r="G53" s="67"/>
      <c r="H53" s="67"/>
      <c r="I53" s="67"/>
      <c r="J53" s="67"/>
      <c r="K53" s="67"/>
      <c r="L53" s="67"/>
      <c r="M53" s="67"/>
      <c r="N53" s="30">
        <f t="shared" ref="N53:N55" si="15">SUMPRODUCT($E53:$M53,$E$11:$M$11)*$C53*8.8</f>
        <v>0</v>
      </c>
      <c r="O53" s="30">
        <f t="shared" ref="O53:O55" si="16">SUMPRODUCT(E53:M53,$E$9:$M$9)*$C53*8.8</f>
        <v>0</v>
      </c>
    </row>
    <row r="54" spans="1:15" x14ac:dyDescent="0.25">
      <c r="A54" s="26">
        <v>2</v>
      </c>
      <c r="B54" s="66" t="s">
        <v>327</v>
      </c>
      <c r="C54" s="90"/>
      <c r="E54" s="89"/>
      <c r="F54" s="89"/>
      <c r="G54" s="67"/>
      <c r="H54" s="67"/>
      <c r="I54" s="67"/>
      <c r="J54" s="67"/>
      <c r="K54" s="67"/>
      <c r="L54" s="67"/>
      <c r="M54" s="67"/>
      <c r="N54" s="30">
        <f t="shared" si="15"/>
        <v>0</v>
      </c>
      <c r="O54" s="30">
        <f t="shared" si="16"/>
        <v>0</v>
      </c>
    </row>
    <row r="55" spans="1:15" x14ac:dyDescent="0.25">
      <c r="A55" s="26">
        <v>3</v>
      </c>
      <c r="B55" s="27" t="str">
        <f t="shared" ref="B55" si="17">B47</f>
        <v>Atividade 12</v>
      </c>
      <c r="C55" s="90"/>
      <c r="E55" s="89"/>
      <c r="F55" s="89"/>
      <c r="G55" s="67"/>
      <c r="H55" s="67"/>
      <c r="I55" s="67"/>
      <c r="J55" s="67"/>
      <c r="K55" s="67"/>
      <c r="L55" s="67"/>
      <c r="M55" s="67"/>
      <c r="N55" s="30">
        <f t="shared" si="15"/>
        <v>0</v>
      </c>
      <c r="O55" s="30">
        <f t="shared" si="16"/>
        <v>0</v>
      </c>
    </row>
    <row r="56" spans="1:15" s="32" customFormat="1" ht="13.8" thickBot="1" x14ac:dyDescent="0.3">
      <c r="A56" s="31"/>
      <c r="C56" s="33"/>
      <c r="D56" s="82"/>
      <c r="E56" s="33"/>
      <c r="F56" s="33"/>
      <c r="G56" s="33"/>
      <c r="H56" s="33"/>
      <c r="I56" s="33"/>
      <c r="J56" s="33"/>
      <c r="K56" s="33"/>
      <c r="L56" s="33"/>
      <c r="M56" s="33"/>
      <c r="N56" s="34"/>
      <c r="O56" s="34"/>
    </row>
    <row r="57" spans="1:15" ht="13.8" thickBot="1" x14ac:dyDescent="0.3">
      <c r="C57" s="69" t="s">
        <v>91</v>
      </c>
      <c r="D57" s="69" t="s">
        <v>152</v>
      </c>
      <c r="E57" s="69" t="s">
        <v>127</v>
      </c>
      <c r="F57" s="69" t="s">
        <v>120</v>
      </c>
      <c r="G57" s="69" t="s">
        <v>102</v>
      </c>
      <c r="H57" s="29" t="s">
        <v>121</v>
      </c>
      <c r="I57" s="35" t="s">
        <v>122</v>
      </c>
      <c r="J57" s="29" t="s">
        <v>123</v>
      </c>
      <c r="K57" s="29" t="s">
        <v>124</v>
      </c>
      <c r="L57" s="29" t="s">
        <v>106</v>
      </c>
      <c r="M57" s="29" t="s">
        <v>125</v>
      </c>
      <c r="N57" s="36" t="s">
        <v>108</v>
      </c>
      <c r="O57" s="36" t="s">
        <v>109</v>
      </c>
    </row>
    <row r="58" spans="1:15" x14ac:dyDescent="0.25">
      <c r="B58" s="92" t="s">
        <v>39</v>
      </c>
      <c r="C58" s="68"/>
      <c r="E58" s="68"/>
      <c r="F58" s="68">
        <f>'Comece aqui! ; )'!$C$39</f>
        <v>1200</v>
      </c>
      <c r="G58" s="68">
        <f>'Comece aqui! ; )'!$C$40</f>
        <v>240</v>
      </c>
      <c r="H58" s="68">
        <f>'Comece aqui! ; )'!$C$41</f>
        <v>130</v>
      </c>
      <c r="I58" s="68">
        <v>3000</v>
      </c>
      <c r="J58" s="68">
        <f>'Comece aqui! ; )'!$C$43</f>
        <v>40</v>
      </c>
      <c r="K58" s="68">
        <f>'Comece aqui! ; )'!$C$44</f>
        <v>80</v>
      </c>
      <c r="L58" s="68">
        <f>'Comece aqui! ; )'!$C$45</f>
        <v>120</v>
      </c>
      <c r="M58" s="68">
        <f>'Comece aqui! ; )'!$C$46</f>
        <v>7</v>
      </c>
      <c r="N58" s="48"/>
      <c r="O58" s="49"/>
    </row>
    <row r="59" spans="1:15" s="35" customFormat="1" x14ac:dyDescent="0.25">
      <c r="A59" s="26"/>
      <c r="B59" s="93" t="s">
        <v>40</v>
      </c>
      <c r="C59" s="69"/>
      <c r="D59" s="69"/>
      <c r="E59" s="69"/>
      <c r="F59" s="69">
        <f>F58/(1-$C$12-$C$14)</f>
        <v>1935.483870967742</v>
      </c>
      <c r="G59" s="69">
        <f t="shared" ref="G59:M59" si="18">G58/(1-$C$12-$C$14)</f>
        <v>387.09677419354841</v>
      </c>
      <c r="H59" s="69">
        <f t="shared" si="18"/>
        <v>209.67741935483872</v>
      </c>
      <c r="I59" s="69">
        <f t="shared" si="18"/>
        <v>4838.7096774193551</v>
      </c>
      <c r="J59" s="69">
        <f t="shared" si="18"/>
        <v>64.516129032258064</v>
      </c>
      <c r="K59" s="69">
        <f t="shared" si="18"/>
        <v>129.03225806451613</v>
      </c>
      <c r="L59" s="69">
        <f t="shared" si="18"/>
        <v>193.54838709677421</v>
      </c>
      <c r="M59" s="69">
        <f t="shared" si="18"/>
        <v>11.290322580645162</v>
      </c>
      <c r="N59" s="52">
        <f>SUBTOTAL(9,N64:N78)</f>
        <v>3186</v>
      </c>
      <c r="O59" s="53">
        <f>SUBTOTAL(9,O64:O78)</f>
        <v>5138.7096774193551</v>
      </c>
    </row>
    <row r="60" spans="1:15" ht="15" customHeight="1" thickBot="1" x14ac:dyDescent="0.3">
      <c r="C60" s="658" t="s">
        <v>156</v>
      </c>
      <c r="D60" s="658" t="s">
        <v>155</v>
      </c>
      <c r="E60" s="658" t="s">
        <v>157</v>
      </c>
      <c r="F60" s="658"/>
      <c r="G60" s="68"/>
      <c r="I60" s="658" t="s">
        <v>153</v>
      </c>
      <c r="J60" s="658" t="s">
        <v>158</v>
      </c>
      <c r="M60" s="658" t="s">
        <v>154</v>
      </c>
      <c r="N60" s="56"/>
      <c r="O60" s="57"/>
    </row>
    <row r="61" spans="1:15" ht="13.2" customHeight="1" x14ac:dyDescent="0.25">
      <c r="C61" s="658"/>
      <c r="D61" s="658"/>
      <c r="E61" s="658"/>
      <c r="F61" s="658"/>
      <c r="G61" s="68"/>
      <c r="I61" s="658"/>
      <c r="J61" s="658"/>
      <c r="M61" s="658"/>
      <c r="N61" s="28"/>
      <c r="O61" s="28"/>
    </row>
    <row r="62" spans="1:15" x14ac:dyDescent="0.25">
      <c r="C62" s="658"/>
      <c r="D62" s="658"/>
      <c r="E62" s="658"/>
      <c r="F62" s="658"/>
      <c r="G62" s="68"/>
      <c r="I62" s="658"/>
      <c r="J62" s="658"/>
      <c r="M62" s="658"/>
      <c r="N62" s="28"/>
      <c r="O62" s="28"/>
    </row>
    <row r="63" spans="1:15" s="30" customFormat="1" x14ac:dyDescent="0.25">
      <c r="A63" s="26" t="s">
        <v>127</v>
      </c>
      <c r="B63" s="27"/>
      <c r="C63" s="659"/>
      <c r="D63" s="659"/>
      <c r="E63" s="659"/>
      <c r="F63" s="659"/>
      <c r="G63" s="68"/>
      <c r="H63" s="28"/>
      <c r="I63" s="659"/>
      <c r="J63" s="659"/>
      <c r="K63" s="28"/>
      <c r="L63" s="28"/>
      <c r="M63" s="659"/>
      <c r="N63" s="85">
        <f>SUBTOTAL(9,N64:N78)</f>
        <v>3186</v>
      </c>
      <c r="O63" s="85">
        <f>SUBTOTAL(9,O64:O78)</f>
        <v>5138.7096774193551</v>
      </c>
    </row>
    <row r="64" spans="1:15" s="30" customFormat="1" x14ac:dyDescent="0.25">
      <c r="A64" s="26">
        <v>1</v>
      </c>
      <c r="B64" s="66" t="s">
        <v>328</v>
      </c>
      <c r="C64" s="90">
        <v>1</v>
      </c>
      <c r="D64" s="90">
        <v>1</v>
      </c>
      <c r="E64" s="90"/>
      <c r="F64" s="91">
        <f>D64*E64*2</f>
        <v>0</v>
      </c>
      <c r="G64" s="91">
        <f>$C64*$D64</f>
        <v>1</v>
      </c>
      <c r="H64" s="91">
        <f>C64</f>
        <v>1</v>
      </c>
      <c r="I64" s="90"/>
      <c r="J64" s="91">
        <f>$C64*$D64</f>
        <v>1</v>
      </c>
      <c r="K64" s="91">
        <f>$C64*$D64</f>
        <v>1</v>
      </c>
      <c r="L64" s="91">
        <f>F64</f>
        <v>0</v>
      </c>
      <c r="M64" s="91">
        <f>C64*(80/10)</f>
        <v>8</v>
      </c>
      <c r="N64" s="30">
        <f>SUMPRODUCT(F64:M64,$F$58:$M$58)</f>
        <v>546</v>
      </c>
      <c r="O64" s="30">
        <f>SUMPRODUCT(F64:M64,$F$59:$M$59)</f>
        <v>880.64516129032256</v>
      </c>
    </row>
    <row r="65" spans="1:16" s="30" customFormat="1" x14ac:dyDescent="0.25">
      <c r="A65" s="26">
        <v>2</v>
      </c>
      <c r="B65" s="66" t="s">
        <v>1062</v>
      </c>
      <c r="C65" s="90">
        <v>0</v>
      </c>
      <c r="D65" s="90">
        <v>1</v>
      </c>
      <c r="E65" s="90">
        <v>1</v>
      </c>
      <c r="F65" s="91">
        <f t="shared" ref="F65:F78" si="19">D65*E65*2</f>
        <v>2</v>
      </c>
      <c r="G65" s="91">
        <f t="shared" ref="G65:G78" si="20">$C65*$D65</f>
        <v>0</v>
      </c>
      <c r="H65" s="91">
        <f t="shared" ref="H65:H78" si="21">C65</f>
        <v>0</v>
      </c>
      <c r="I65" s="90"/>
      <c r="J65" s="91">
        <f t="shared" ref="J65:K78" si="22">$C65*$D65</f>
        <v>0</v>
      </c>
      <c r="K65" s="91">
        <f t="shared" si="22"/>
        <v>0</v>
      </c>
      <c r="L65" s="91">
        <f t="shared" ref="L65:L78" si="23">F65</f>
        <v>2</v>
      </c>
      <c r="M65" s="91">
        <f t="shared" ref="M65:M78" si="24">C65*(80/10)</f>
        <v>0</v>
      </c>
      <c r="N65" s="30">
        <f t="shared" ref="N65:N78" si="25">SUMPRODUCT(F65:M65,$F$58:$M$58)</f>
        <v>2640</v>
      </c>
      <c r="O65" s="30">
        <f t="shared" ref="O65:O78" si="26">SUMPRODUCT(F65:M65,$F$59:$M$59)</f>
        <v>4258.0645161290322</v>
      </c>
    </row>
    <row r="66" spans="1:16" s="30" customFormat="1" x14ac:dyDescent="0.25">
      <c r="A66" s="26">
        <v>3</v>
      </c>
      <c r="B66" s="66" t="s">
        <v>113</v>
      </c>
      <c r="C66" s="90"/>
      <c r="D66" s="90"/>
      <c r="E66" s="90"/>
      <c r="F66" s="91">
        <f t="shared" si="19"/>
        <v>0</v>
      </c>
      <c r="G66" s="91">
        <f t="shared" si="20"/>
        <v>0</v>
      </c>
      <c r="H66" s="91">
        <f t="shared" si="21"/>
        <v>0</v>
      </c>
      <c r="I66" s="90"/>
      <c r="J66" s="91">
        <f t="shared" si="22"/>
        <v>0</v>
      </c>
      <c r="K66" s="91">
        <f t="shared" si="22"/>
        <v>0</v>
      </c>
      <c r="L66" s="91">
        <f t="shared" si="23"/>
        <v>0</v>
      </c>
      <c r="M66" s="91">
        <f t="shared" si="24"/>
        <v>0</v>
      </c>
      <c r="N66" s="30">
        <f t="shared" si="25"/>
        <v>0</v>
      </c>
      <c r="O66" s="30">
        <f t="shared" si="26"/>
        <v>0</v>
      </c>
    </row>
    <row r="67" spans="1:16" s="30" customFormat="1" x14ac:dyDescent="0.25">
      <c r="A67" s="26">
        <v>4</v>
      </c>
      <c r="B67" s="66" t="s">
        <v>114</v>
      </c>
      <c r="C67" s="90"/>
      <c r="D67" s="90"/>
      <c r="E67" s="90"/>
      <c r="F67" s="91">
        <f t="shared" si="19"/>
        <v>0</v>
      </c>
      <c r="G67" s="91">
        <f t="shared" si="20"/>
        <v>0</v>
      </c>
      <c r="H67" s="91">
        <f t="shared" si="21"/>
        <v>0</v>
      </c>
      <c r="I67" s="90"/>
      <c r="J67" s="91">
        <f t="shared" si="22"/>
        <v>0</v>
      </c>
      <c r="K67" s="91">
        <f t="shared" si="22"/>
        <v>0</v>
      </c>
      <c r="L67" s="91">
        <f t="shared" si="23"/>
        <v>0</v>
      </c>
      <c r="M67" s="91">
        <f t="shared" si="24"/>
        <v>0</v>
      </c>
      <c r="N67" s="30">
        <f t="shared" si="25"/>
        <v>0</v>
      </c>
      <c r="O67" s="30">
        <f t="shared" si="26"/>
        <v>0</v>
      </c>
    </row>
    <row r="68" spans="1:16" s="30" customFormat="1" x14ac:dyDescent="0.25">
      <c r="A68" s="26">
        <v>5</v>
      </c>
      <c r="B68" s="66" t="s">
        <v>115</v>
      </c>
      <c r="C68" s="90"/>
      <c r="D68" s="90"/>
      <c r="E68" s="90"/>
      <c r="F68" s="91">
        <f t="shared" si="19"/>
        <v>0</v>
      </c>
      <c r="G68" s="91">
        <f t="shared" si="20"/>
        <v>0</v>
      </c>
      <c r="H68" s="91">
        <f t="shared" si="21"/>
        <v>0</v>
      </c>
      <c r="I68" s="90"/>
      <c r="J68" s="91">
        <f t="shared" si="22"/>
        <v>0</v>
      </c>
      <c r="K68" s="91">
        <f t="shared" si="22"/>
        <v>0</v>
      </c>
      <c r="L68" s="91">
        <f t="shared" si="23"/>
        <v>0</v>
      </c>
      <c r="M68" s="91">
        <f t="shared" si="24"/>
        <v>0</v>
      </c>
      <c r="N68" s="30">
        <f t="shared" si="25"/>
        <v>0</v>
      </c>
      <c r="O68" s="30">
        <f t="shared" si="26"/>
        <v>0</v>
      </c>
    </row>
    <row r="69" spans="1:16" x14ac:dyDescent="0.25">
      <c r="A69" s="26">
        <v>6</v>
      </c>
      <c r="B69" s="66" t="s">
        <v>116</v>
      </c>
      <c r="C69" s="90"/>
      <c r="D69" s="90"/>
      <c r="E69" s="90"/>
      <c r="F69" s="91">
        <f t="shared" si="19"/>
        <v>0</v>
      </c>
      <c r="G69" s="91">
        <f t="shared" si="20"/>
        <v>0</v>
      </c>
      <c r="H69" s="91">
        <f t="shared" si="21"/>
        <v>0</v>
      </c>
      <c r="I69" s="90"/>
      <c r="J69" s="91">
        <f t="shared" si="22"/>
        <v>0</v>
      </c>
      <c r="K69" s="91">
        <f t="shared" si="22"/>
        <v>0</v>
      </c>
      <c r="L69" s="91">
        <f t="shared" si="23"/>
        <v>0</v>
      </c>
      <c r="M69" s="91">
        <f t="shared" si="24"/>
        <v>0</v>
      </c>
      <c r="N69" s="30">
        <f t="shared" si="25"/>
        <v>0</v>
      </c>
      <c r="O69" s="30">
        <f t="shared" si="26"/>
        <v>0</v>
      </c>
    </row>
    <row r="70" spans="1:16" x14ac:dyDescent="0.25">
      <c r="A70" s="26">
        <v>7</v>
      </c>
      <c r="B70" s="66" t="s">
        <v>117</v>
      </c>
      <c r="C70" s="90"/>
      <c r="D70" s="90"/>
      <c r="E70" s="90"/>
      <c r="F70" s="91">
        <f t="shared" si="19"/>
        <v>0</v>
      </c>
      <c r="G70" s="91">
        <f t="shared" si="20"/>
        <v>0</v>
      </c>
      <c r="H70" s="91">
        <f t="shared" si="21"/>
        <v>0</v>
      </c>
      <c r="I70" s="90"/>
      <c r="J70" s="91">
        <f t="shared" si="22"/>
        <v>0</v>
      </c>
      <c r="K70" s="91">
        <f t="shared" si="22"/>
        <v>0</v>
      </c>
      <c r="L70" s="91">
        <f t="shared" si="23"/>
        <v>0</v>
      </c>
      <c r="M70" s="91">
        <f t="shared" si="24"/>
        <v>0</v>
      </c>
      <c r="N70" s="30">
        <f t="shared" si="25"/>
        <v>0</v>
      </c>
      <c r="O70" s="30">
        <f t="shared" si="26"/>
        <v>0</v>
      </c>
    </row>
    <row r="71" spans="1:16" x14ac:dyDescent="0.25">
      <c r="A71" s="26">
        <v>8</v>
      </c>
      <c r="B71" s="66" t="s">
        <v>118</v>
      </c>
      <c r="C71" s="90"/>
      <c r="D71" s="90"/>
      <c r="E71" s="90"/>
      <c r="F71" s="91">
        <f t="shared" si="19"/>
        <v>0</v>
      </c>
      <c r="G71" s="91">
        <f t="shared" si="20"/>
        <v>0</v>
      </c>
      <c r="H71" s="91">
        <f t="shared" si="21"/>
        <v>0</v>
      </c>
      <c r="I71" s="90"/>
      <c r="J71" s="91">
        <f t="shared" si="22"/>
        <v>0</v>
      </c>
      <c r="K71" s="91">
        <f t="shared" si="22"/>
        <v>0</v>
      </c>
      <c r="L71" s="91">
        <f t="shared" si="23"/>
        <v>0</v>
      </c>
      <c r="M71" s="91">
        <f t="shared" si="24"/>
        <v>0</v>
      </c>
      <c r="N71" s="30">
        <f t="shared" si="25"/>
        <v>0</v>
      </c>
      <c r="O71" s="30">
        <f t="shared" si="26"/>
        <v>0</v>
      </c>
    </row>
    <row r="72" spans="1:16" x14ac:dyDescent="0.25">
      <c r="A72" s="26">
        <v>9</v>
      </c>
      <c r="B72" s="66" t="s">
        <v>119</v>
      </c>
      <c r="C72" s="90"/>
      <c r="D72" s="90"/>
      <c r="E72" s="90"/>
      <c r="F72" s="91">
        <f t="shared" si="19"/>
        <v>0</v>
      </c>
      <c r="G72" s="91">
        <f t="shared" si="20"/>
        <v>0</v>
      </c>
      <c r="H72" s="91">
        <f t="shared" si="21"/>
        <v>0</v>
      </c>
      <c r="I72" s="90"/>
      <c r="J72" s="91">
        <f t="shared" si="22"/>
        <v>0</v>
      </c>
      <c r="K72" s="91">
        <f t="shared" si="22"/>
        <v>0</v>
      </c>
      <c r="L72" s="91">
        <f t="shared" si="23"/>
        <v>0</v>
      </c>
      <c r="M72" s="91">
        <f t="shared" si="24"/>
        <v>0</v>
      </c>
      <c r="N72" s="30">
        <f t="shared" si="25"/>
        <v>0</v>
      </c>
      <c r="O72" s="30">
        <f t="shared" si="26"/>
        <v>0</v>
      </c>
    </row>
    <row r="73" spans="1:16" x14ac:dyDescent="0.25">
      <c r="A73" s="26">
        <v>10</v>
      </c>
      <c r="B73" s="66" t="s">
        <v>146</v>
      </c>
      <c r="C73" s="90"/>
      <c r="D73" s="90"/>
      <c r="E73" s="90"/>
      <c r="F73" s="91">
        <f t="shared" si="19"/>
        <v>0</v>
      </c>
      <c r="G73" s="91">
        <f t="shared" si="20"/>
        <v>0</v>
      </c>
      <c r="H73" s="91">
        <f t="shared" si="21"/>
        <v>0</v>
      </c>
      <c r="I73" s="90"/>
      <c r="J73" s="91">
        <f t="shared" si="22"/>
        <v>0</v>
      </c>
      <c r="K73" s="91">
        <f t="shared" si="22"/>
        <v>0</v>
      </c>
      <c r="L73" s="91">
        <f t="shared" si="23"/>
        <v>0</v>
      </c>
      <c r="M73" s="91">
        <f t="shared" si="24"/>
        <v>0</v>
      </c>
      <c r="N73" s="30">
        <f t="shared" si="25"/>
        <v>0</v>
      </c>
      <c r="O73" s="30">
        <f t="shared" si="26"/>
        <v>0</v>
      </c>
    </row>
    <row r="74" spans="1:16" x14ac:dyDescent="0.25">
      <c r="A74" s="26">
        <v>11</v>
      </c>
      <c r="B74" s="66" t="s">
        <v>147</v>
      </c>
      <c r="C74" s="90"/>
      <c r="D74" s="90"/>
      <c r="E74" s="90"/>
      <c r="F74" s="91">
        <f t="shared" si="19"/>
        <v>0</v>
      </c>
      <c r="G74" s="91">
        <f t="shared" si="20"/>
        <v>0</v>
      </c>
      <c r="H74" s="91">
        <f t="shared" si="21"/>
        <v>0</v>
      </c>
      <c r="I74" s="90"/>
      <c r="J74" s="91">
        <f t="shared" si="22"/>
        <v>0</v>
      </c>
      <c r="K74" s="91">
        <f t="shared" si="22"/>
        <v>0</v>
      </c>
      <c r="L74" s="91">
        <f t="shared" si="23"/>
        <v>0</v>
      </c>
      <c r="M74" s="91">
        <f t="shared" si="24"/>
        <v>0</v>
      </c>
      <c r="N74" s="30">
        <f t="shared" si="25"/>
        <v>0</v>
      </c>
      <c r="O74" s="30">
        <f t="shared" si="26"/>
        <v>0</v>
      </c>
    </row>
    <row r="75" spans="1:16" x14ac:dyDescent="0.25">
      <c r="A75" s="26">
        <v>12</v>
      </c>
      <c r="B75" s="66" t="s">
        <v>148</v>
      </c>
      <c r="C75" s="90"/>
      <c r="D75" s="90"/>
      <c r="E75" s="90"/>
      <c r="F75" s="91">
        <f t="shared" si="19"/>
        <v>0</v>
      </c>
      <c r="G75" s="91">
        <f t="shared" si="20"/>
        <v>0</v>
      </c>
      <c r="H75" s="91">
        <f t="shared" si="21"/>
        <v>0</v>
      </c>
      <c r="I75" s="90"/>
      <c r="J75" s="91">
        <f t="shared" si="22"/>
        <v>0</v>
      </c>
      <c r="K75" s="91">
        <f t="shared" si="22"/>
        <v>0</v>
      </c>
      <c r="L75" s="91">
        <f t="shared" si="23"/>
        <v>0</v>
      </c>
      <c r="M75" s="91">
        <f t="shared" si="24"/>
        <v>0</v>
      </c>
      <c r="N75" s="30">
        <f t="shared" si="25"/>
        <v>0</v>
      </c>
      <c r="O75" s="30">
        <f t="shared" si="26"/>
        <v>0</v>
      </c>
    </row>
    <row r="76" spans="1:16" x14ac:dyDescent="0.25">
      <c r="A76" s="26">
        <v>13</v>
      </c>
      <c r="B76" s="66" t="s">
        <v>149</v>
      </c>
      <c r="C76" s="90"/>
      <c r="D76" s="90"/>
      <c r="E76" s="90"/>
      <c r="F76" s="91">
        <f t="shared" si="19"/>
        <v>0</v>
      </c>
      <c r="G76" s="91">
        <f t="shared" si="20"/>
        <v>0</v>
      </c>
      <c r="H76" s="91">
        <f t="shared" si="21"/>
        <v>0</v>
      </c>
      <c r="I76" s="90"/>
      <c r="J76" s="91">
        <f t="shared" si="22"/>
        <v>0</v>
      </c>
      <c r="K76" s="91">
        <f t="shared" si="22"/>
        <v>0</v>
      </c>
      <c r="L76" s="91">
        <f t="shared" si="23"/>
        <v>0</v>
      </c>
      <c r="M76" s="91">
        <f t="shared" si="24"/>
        <v>0</v>
      </c>
      <c r="N76" s="30">
        <f t="shared" si="25"/>
        <v>0</v>
      </c>
      <c r="O76" s="30">
        <f t="shared" si="26"/>
        <v>0</v>
      </c>
    </row>
    <row r="77" spans="1:16" x14ac:dyDescent="0.25">
      <c r="A77" s="26">
        <v>14</v>
      </c>
      <c r="B77" s="66" t="s">
        <v>150</v>
      </c>
      <c r="C77" s="90"/>
      <c r="D77" s="90"/>
      <c r="E77" s="90"/>
      <c r="F77" s="91">
        <f t="shared" si="19"/>
        <v>0</v>
      </c>
      <c r="G77" s="91">
        <f t="shared" si="20"/>
        <v>0</v>
      </c>
      <c r="H77" s="91">
        <f t="shared" si="21"/>
        <v>0</v>
      </c>
      <c r="I77" s="90"/>
      <c r="J77" s="91">
        <f t="shared" si="22"/>
        <v>0</v>
      </c>
      <c r="K77" s="91">
        <f t="shared" si="22"/>
        <v>0</v>
      </c>
      <c r="L77" s="91">
        <f t="shared" si="23"/>
        <v>0</v>
      </c>
      <c r="M77" s="91">
        <f t="shared" si="24"/>
        <v>0</v>
      </c>
      <c r="N77" s="30">
        <f t="shared" si="25"/>
        <v>0</v>
      </c>
      <c r="O77" s="30">
        <f t="shared" si="26"/>
        <v>0</v>
      </c>
    </row>
    <row r="78" spans="1:16" x14ac:dyDescent="0.25">
      <c r="A78" s="26">
        <v>15</v>
      </c>
      <c r="B78" s="66" t="s">
        <v>151</v>
      </c>
      <c r="C78" s="90"/>
      <c r="D78" s="90"/>
      <c r="E78" s="90"/>
      <c r="F78" s="91">
        <f t="shared" si="19"/>
        <v>0</v>
      </c>
      <c r="G78" s="91">
        <f t="shared" si="20"/>
        <v>0</v>
      </c>
      <c r="H78" s="91">
        <f t="shared" si="21"/>
        <v>0</v>
      </c>
      <c r="I78" s="90"/>
      <c r="J78" s="91">
        <f t="shared" si="22"/>
        <v>0</v>
      </c>
      <c r="K78" s="91">
        <f t="shared" si="22"/>
        <v>0</v>
      </c>
      <c r="L78" s="91">
        <f t="shared" si="23"/>
        <v>0</v>
      </c>
      <c r="M78" s="91">
        <f t="shared" si="24"/>
        <v>0</v>
      </c>
      <c r="N78" s="30">
        <f t="shared" si="25"/>
        <v>0</v>
      </c>
      <c r="O78" s="30">
        <f t="shared" si="26"/>
        <v>0</v>
      </c>
    </row>
    <row r="79" spans="1:16" x14ac:dyDescent="0.25">
      <c r="E79" s="68"/>
      <c r="F79" s="68"/>
      <c r="G79" s="68"/>
      <c r="H79" s="68"/>
      <c r="I79" s="68"/>
      <c r="J79" s="68"/>
      <c r="K79" s="68"/>
      <c r="L79" s="68"/>
      <c r="M79" s="68"/>
      <c r="N79" s="68"/>
      <c r="P79" s="30"/>
    </row>
  </sheetData>
  <mergeCells count="9">
    <mergeCell ref="C2:M6"/>
    <mergeCell ref="C7:M7"/>
    <mergeCell ref="C60:C63"/>
    <mergeCell ref="D60:D63"/>
    <mergeCell ref="E60:E63"/>
    <mergeCell ref="F60:F63"/>
    <mergeCell ref="I60:I63"/>
    <mergeCell ref="J60:J63"/>
    <mergeCell ref="M60:M63"/>
  </mergeCells>
  <phoneticPr fontId="10" type="noConversion"/>
  <conditionalFormatting sqref="C64:E78">
    <cfRule type="cellIs" dxfId="0" priority="1" operator="lessThanOrEqual">
      <formula>0</formula>
    </cfRule>
  </conditionalFormatting>
  <hyperlinks>
    <hyperlink ref="C7:M7" r:id="rId1" display="REPORTAR UMA MELHORIA!" xr:uid="{FFE48C1A-BA00-4E6E-87F7-99ACC5D92185}"/>
  </hyperlinks>
  <pageMargins left="0.511811024" right="0.511811024" top="0.78740157499999996" bottom="0.78740157499999996" header="0.31496062000000002" footer="0.31496062000000002"/>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805D2-B164-42FC-8253-3D9316E95A24}">
  <sheetPr>
    <tabColor rgb="FFEADB2B"/>
  </sheetPr>
  <dimension ref="B1:D27"/>
  <sheetViews>
    <sheetView workbookViewId="0">
      <selection activeCell="F7" sqref="F7"/>
    </sheetView>
  </sheetViews>
  <sheetFormatPr defaultRowHeight="14.4" x14ac:dyDescent="0.3"/>
  <cols>
    <col min="1" max="1" width="4.88671875" style="503" customWidth="1"/>
    <col min="2" max="3" width="45.44140625" style="503" customWidth="1"/>
    <col min="4" max="16384" width="8.88671875" style="503"/>
  </cols>
  <sheetData>
    <row r="1" spans="2:4" ht="15" thickBot="1" x14ac:dyDescent="0.35"/>
    <row r="2" spans="2:4" x14ac:dyDescent="0.3">
      <c r="B2" s="504" t="s">
        <v>1015</v>
      </c>
      <c r="C2" s="505">
        <v>570</v>
      </c>
    </row>
    <row r="3" spans="2:4" x14ac:dyDescent="0.3">
      <c r="B3" s="506" t="s">
        <v>1016</v>
      </c>
      <c r="C3" s="507">
        <v>728.6</v>
      </c>
    </row>
    <row r="4" spans="2:4" x14ac:dyDescent="0.3">
      <c r="B4" s="506" t="s">
        <v>1017</v>
      </c>
      <c r="C4" s="507">
        <v>361.73</v>
      </c>
    </row>
    <row r="5" spans="2:4" ht="15" thickBot="1" x14ac:dyDescent="0.35">
      <c r="B5" s="508" t="s">
        <v>1018</v>
      </c>
      <c r="C5" s="523">
        <f>SUM(C2:C4)</f>
        <v>1660.33</v>
      </c>
    </row>
    <row r="6" spans="2:4" ht="15" thickBot="1" x14ac:dyDescent="0.35">
      <c r="B6" s="509" t="s">
        <v>1019</v>
      </c>
      <c r="C6" s="525">
        <v>13500</v>
      </c>
      <c r="D6" s="503" t="s">
        <v>1035</v>
      </c>
    </row>
    <row r="7" spans="2:4" x14ac:dyDescent="0.3">
      <c r="B7" s="506" t="s">
        <v>1020</v>
      </c>
      <c r="C7" s="524">
        <f>C24</f>
        <v>0.67217555555555564</v>
      </c>
    </row>
    <row r="8" spans="2:4" x14ac:dyDescent="0.3">
      <c r="B8" s="526" t="s">
        <v>1021</v>
      </c>
      <c r="C8" s="527">
        <f>C6*(1+C7)+C5</f>
        <v>24234.699999999997</v>
      </c>
    </row>
    <row r="9" spans="2:4" ht="18.600000000000001" thickBot="1" x14ac:dyDescent="0.35">
      <c r="B9" s="501" t="s">
        <v>1022</v>
      </c>
      <c r="C9" s="502">
        <f>C8/168</f>
        <v>144.25416666666666</v>
      </c>
    </row>
    <row r="10" spans="2:4" ht="15" thickBot="1" x14ac:dyDescent="0.35">
      <c r="B10" s="510"/>
      <c r="C10" s="511"/>
    </row>
    <row r="11" spans="2:4" x14ac:dyDescent="0.3">
      <c r="B11" s="512" t="s">
        <v>1023</v>
      </c>
      <c r="C11" s="513">
        <f>SUBTOTAL(9,C12:C14)</f>
        <v>0.19441111111111109</v>
      </c>
    </row>
    <row r="12" spans="2:4" x14ac:dyDescent="0.3">
      <c r="B12" s="514" t="s">
        <v>1024</v>
      </c>
      <c r="C12" s="515">
        <f>1/12</f>
        <v>8.3333333333333329E-2</v>
      </c>
    </row>
    <row r="13" spans="2:4" x14ac:dyDescent="0.3">
      <c r="B13" s="514" t="s">
        <v>1025</v>
      </c>
      <c r="C13" s="515">
        <f>1/12/3</f>
        <v>2.7777777777777776E-2</v>
      </c>
    </row>
    <row r="14" spans="2:4" x14ac:dyDescent="0.3">
      <c r="B14" s="514" t="s">
        <v>1026</v>
      </c>
      <c r="C14" s="515">
        <v>8.3299999999999999E-2</v>
      </c>
    </row>
    <row r="15" spans="2:4" x14ac:dyDescent="0.3">
      <c r="B15" s="516" t="s">
        <v>1027</v>
      </c>
      <c r="C15" s="517">
        <f>SUBTOTAL(9,C16:C21)</f>
        <v>0.4</v>
      </c>
    </row>
    <row r="16" spans="2:4" x14ac:dyDescent="0.3">
      <c r="B16" s="514" t="s">
        <v>1028</v>
      </c>
      <c r="C16" s="515">
        <v>0.08</v>
      </c>
    </row>
    <row r="17" spans="2:3" x14ac:dyDescent="0.3">
      <c r="B17" s="514" t="s">
        <v>1029</v>
      </c>
      <c r="C17" s="515">
        <f>C16*0.4</f>
        <v>3.2000000000000001E-2</v>
      </c>
    </row>
    <row r="18" spans="2:3" x14ac:dyDescent="0.3">
      <c r="B18" s="514" t="s">
        <v>1030</v>
      </c>
      <c r="C18" s="515">
        <v>0.2</v>
      </c>
    </row>
    <row r="19" spans="2:3" x14ac:dyDescent="0.3">
      <c r="B19" s="514" t="s">
        <v>1031</v>
      </c>
      <c r="C19" s="515">
        <v>0.03</v>
      </c>
    </row>
    <row r="20" spans="2:3" x14ac:dyDescent="0.3">
      <c r="B20" s="514" t="s">
        <v>1032</v>
      </c>
      <c r="C20" s="518">
        <v>3.3000000000000002E-2</v>
      </c>
    </row>
    <row r="21" spans="2:3" x14ac:dyDescent="0.3">
      <c r="B21" s="514" t="s">
        <v>1033</v>
      </c>
      <c r="C21" s="518">
        <v>2.5000000000000001E-2</v>
      </c>
    </row>
    <row r="22" spans="2:3" x14ac:dyDescent="0.3">
      <c r="B22" s="519"/>
      <c r="C22" s="520"/>
    </row>
    <row r="23" spans="2:3" x14ac:dyDescent="0.3">
      <c r="B23" s="514" t="s">
        <v>1034</v>
      </c>
      <c r="C23" s="518">
        <f>C11*C15</f>
        <v>7.7764444444444442E-2</v>
      </c>
    </row>
    <row r="24" spans="2:3" ht="15" thickBot="1" x14ac:dyDescent="0.35">
      <c r="B24" s="521" t="s">
        <v>90</v>
      </c>
      <c r="C24" s="522">
        <f>SUBTOTAL(9,C11:C23)</f>
        <v>0.67217555555555564</v>
      </c>
    </row>
    <row r="25" spans="2:3" x14ac:dyDescent="0.3">
      <c r="C25" s="511"/>
    </row>
    <row r="26" spans="2:3" x14ac:dyDescent="0.3">
      <c r="C26" s="511"/>
    </row>
    <row r="27" spans="2:3" x14ac:dyDescent="0.3">
      <c r="C27" s="511"/>
    </row>
  </sheetData>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018B-4E58-4CF9-AE83-B6A0D463D71F}">
  <sheetPr>
    <tabColor theme="3" tint="0.89999084444715716"/>
  </sheetPr>
  <dimension ref="A1:AI164"/>
  <sheetViews>
    <sheetView topLeftCell="A40" zoomScale="80" zoomScaleNormal="80" workbookViewId="0">
      <selection activeCell="L63" sqref="L63"/>
    </sheetView>
  </sheetViews>
  <sheetFormatPr defaultColWidth="9.109375" defaultRowHeight="10.199999999999999" x14ac:dyDescent="0.2"/>
  <cols>
    <col min="1" max="1" width="13.6640625" style="271" bestFit="1" customWidth="1"/>
    <col min="2" max="2" width="15.5546875" style="271" bestFit="1" customWidth="1"/>
    <col min="3" max="3" width="23" style="271" customWidth="1"/>
    <col min="4" max="4" width="12.109375" style="271" bestFit="1" customWidth="1"/>
    <col min="5" max="5" width="14.109375" style="271" bestFit="1" customWidth="1"/>
    <col min="6" max="6" width="12.5546875" style="271" bestFit="1" customWidth="1"/>
    <col min="7" max="7" width="13.44140625" style="271" customWidth="1"/>
    <col min="8" max="8" width="20.88671875" style="271" bestFit="1" customWidth="1"/>
    <col min="9" max="9" width="30.88671875" style="271" bestFit="1" customWidth="1"/>
    <col min="10" max="10" width="18.44140625" style="271" customWidth="1"/>
    <col min="11" max="11" width="21.44140625" style="271" bestFit="1" customWidth="1"/>
    <col min="12" max="12" width="18.88671875" style="271" bestFit="1" customWidth="1"/>
    <col min="13" max="13" width="15.109375" style="381" customWidth="1"/>
    <col min="14" max="14" width="23.33203125" style="271" customWidth="1"/>
    <col min="15" max="15" width="22" style="271" customWidth="1"/>
    <col min="16" max="16" width="23.44140625" style="271" customWidth="1"/>
    <col min="17" max="17" width="25.33203125" style="271" customWidth="1"/>
    <col min="18" max="26" width="14.44140625" style="271" customWidth="1"/>
    <col min="27" max="28" width="9.109375" style="271"/>
    <col min="29" max="29" width="50" style="271" bestFit="1" customWidth="1"/>
    <col min="30" max="16384" width="9.109375" style="271"/>
  </cols>
  <sheetData>
    <row r="1" spans="1:33" ht="90.9" customHeight="1" x14ac:dyDescent="0.2">
      <c r="A1" s="411" t="s">
        <v>371</v>
      </c>
      <c r="B1" s="412" t="s">
        <v>858</v>
      </c>
      <c r="C1" s="411" t="s">
        <v>857</v>
      </c>
      <c r="D1" s="411" t="s">
        <v>856</v>
      </c>
      <c r="E1" s="411" t="s">
        <v>855</v>
      </c>
      <c r="F1" s="411" t="s">
        <v>854</v>
      </c>
      <c r="G1" s="411"/>
      <c r="H1" s="411" t="s">
        <v>853</v>
      </c>
      <c r="I1" s="411" t="s">
        <v>852</v>
      </c>
      <c r="J1" s="411" t="s">
        <v>851</v>
      </c>
      <c r="K1" s="411" t="s">
        <v>850</v>
      </c>
      <c r="L1" s="411" t="s">
        <v>849</v>
      </c>
      <c r="M1" s="410"/>
      <c r="O1" s="409" t="s">
        <v>848</v>
      </c>
      <c r="P1" s="409" t="s">
        <v>847</v>
      </c>
      <c r="Q1" s="409" t="s">
        <v>846</v>
      </c>
      <c r="R1" s="408" t="s">
        <v>845</v>
      </c>
      <c r="S1" s="408" t="s">
        <v>844</v>
      </c>
      <c r="T1" s="409" t="s">
        <v>843</v>
      </c>
      <c r="U1" s="409" t="s">
        <v>842</v>
      </c>
      <c r="V1" s="409" t="s">
        <v>841</v>
      </c>
      <c r="W1" s="409" t="s">
        <v>840</v>
      </c>
      <c r="X1" s="408" t="s">
        <v>839</v>
      </c>
      <c r="Y1" s="407" t="s">
        <v>838</v>
      </c>
      <c r="Z1" s="406" t="s">
        <v>837</v>
      </c>
      <c r="AC1" s="271" t="s">
        <v>836</v>
      </c>
    </row>
    <row r="2" spans="1:33" x14ac:dyDescent="0.2">
      <c r="A2" s="272" t="s">
        <v>835</v>
      </c>
      <c r="B2" s="396">
        <v>68534270000116</v>
      </c>
      <c r="C2" s="352">
        <v>0.1</v>
      </c>
      <c r="D2" s="352">
        <v>0</v>
      </c>
      <c r="E2" s="397">
        <v>0</v>
      </c>
      <c r="F2" s="271" t="s">
        <v>760</v>
      </c>
      <c r="G2" s="352">
        <v>7.0000000000000007E-2</v>
      </c>
      <c r="H2" s="271" t="s">
        <v>834</v>
      </c>
      <c r="I2" s="352" t="s">
        <v>833</v>
      </c>
      <c r="J2" s="272" t="s">
        <v>832</v>
      </c>
      <c r="K2" s="272" t="s">
        <v>831</v>
      </c>
      <c r="L2" s="271" t="s">
        <v>830</v>
      </c>
      <c r="M2" s="398">
        <v>0.05</v>
      </c>
      <c r="N2" s="402" t="s">
        <v>829</v>
      </c>
      <c r="O2" s="271">
        <v>101.97943633689394</v>
      </c>
      <c r="P2" s="271">
        <v>83.056207984315932</v>
      </c>
      <c r="Q2" s="271">
        <v>60.279100439475314</v>
      </c>
      <c r="R2" s="405">
        <v>50.67050184686704</v>
      </c>
      <c r="S2" s="405">
        <v>41.81765124998266</v>
      </c>
      <c r="T2" s="271">
        <v>209.54398702119664</v>
      </c>
      <c r="U2" s="271">
        <v>172.07531948447541</v>
      </c>
      <c r="V2" s="271">
        <v>141.60986396902112</v>
      </c>
      <c r="W2" s="271">
        <v>119.93248131938952</v>
      </c>
      <c r="X2" s="405">
        <v>112.35381913985219</v>
      </c>
      <c r="Y2" s="271">
        <v>23.813478285714282</v>
      </c>
      <c r="Z2" s="271">
        <v>18.164589396825395</v>
      </c>
    </row>
    <row r="3" spans="1:33" x14ac:dyDescent="0.2">
      <c r="A3" s="272" t="s">
        <v>828</v>
      </c>
      <c r="B3" s="396">
        <v>42445403000194</v>
      </c>
      <c r="C3" s="352">
        <v>0.11</v>
      </c>
      <c r="D3" s="397">
        <v>5.0000000000000001E-3</v>
      </c>
      <c r="E3" s="397">
        <v>0.05</v>
      </c>
      <c r="F3" s="271" t="s">
        <v>827</v>
      </c>
      <c r="G3" s="352">
        <v>7.0000000000000007E-2</v>
      </c>
      <c r="H3" s="271" t="s">
        <v>786</v>
      </c>
      <c r="I3" s="352" t="s">
        <v>826</v>
      </c>
      <c r="J3" s="272" t="s">
        <v>825</v>
      </c>
      <c r="K3" s="272" t="s">
        <v>824</v>
      </c>
      <c r="L3" s="271" t="s">
        <v>823</v>
      </c>
      <c r="M3" s="399">
        <v>0.56000000000000005</v>
      </c>
      <c r="N3" s="402" t="s">
        <v>822</v>
      </c>
      <c r="O3" s="271">
        <f t="shared" ref="O3:Z3" si="0">O2*$M$3</f>
        <v>57.10848434866061</v>
      </c>
      <c r="P3" s="271">
        <f t="shared" si="0"/>
        <v>46.511476471216923</v>
      </c>
      <c r="Q3" s="271">
        <f t="shared" si="0"/>
        <v>33.756296246106182</v>
      </c>
      <c r="R3" s="271">
        <f t="shared" si="0"/>
        <v>28.375481034245546</v>
      </c>
      <c r="S3" s="271">
        <f t="shared" si="0"/>
        <v>23.417884699990292</v>
      </c>
      <c r="T3" s="271">
        <f t="shared" si="0"/>
        <v>117.34463273187013</v>
      </c>
      <c r="U3" s="271">
        <f t="shared" si="0"/>
        <v>96.362178911306245</v>
      </c>
      <c r="V3" s="271">
        <f t="shared" si="0"/>
        <v>79.301523822651831</v>
      </c>
      <c r="W3" s="271">
        <f t="shared" si="0"/>
        <v>67.162189538858144</v>
      </c>
      <c r="X3" s="271">
        <f t="shared" si="0"/>
        <v>62.91813871831723</v>
      </c>
      <c r="Y3" s="271">
        <f t="shared" si="0"/>
        <v>13.33554784</v>
      </c>
      <c r="Z3" s="271">
        <f t="shared" si="0"/>
        <v>10.172170062222222</v>
      </c>
      <c r="AC3" s="271" t="s">
        <v>502</v>
      </c>
      <c r="AE3" s="271" t="s">
        <v>821</v>
      </c>
      <c r="AG3" s="271" t="s">
        <v>820</v>
      </c>
    </row>
    <row r="4" spans="1:33" x14ac:dyDescent="0.2">
      <c r="A4" s="272" t="s">
        <v>819</v>
      </c>
      <c r="B4" s="396">
        <v>2359572000430</v>
      </c>
      <c r="C4" s="352">
        <v>0.12</v>
      </c>
      <c r="D4" s="397">
        <v>0.01</v>
      </c>
      <c r="E4" s="397">
        <v>0.1</v>
      </c>
      <c r="F4" s="271" t="s">
        <v>818</v>
      </c>
      <c r="G4" s="352">
        <v>7.0000000000000007E-2</v>
      </c>
      <c r="K4" s="272" t="s">
        <v>817</v>
      </c>
      <c r="L4" s="271" t="s">
        <v>816</v>
      </c>
      <c r="M4" s="398">
        <v>1.09E-2</v>
      </c>
      <c r="N4" s="402" t="s">
        <v>815</v>
      </c>
      <c r="O4" s="271">
        <f t="shared" ref="O4:Z4" si="1">SUM(O2:O3)/(1-$M$5-$M$9)</f>
        <v>274.28951842336988</v>
      </c>
      <c r="P4" s="271">
        <f t="shared" si="1"/>
        <v>223.39255940609115</v>
      </c>
      <c r="Q4" s="271">
        <f t="shared" si="1"/>
        <v>162.12999428548537</v>
      </c>
      <c r="R4" s="271">
        <f t="shared" si="1"/>
        <v>136.28617738122861</v>
      </c>
      <c r="S4" s="271">
        <f t="shared" si="1"/>
        <v>112.47506198271201</v>
      </c>
      <c r="T4" s="271">
        <f t="shared" si="1"/>
        <v>563.60106853977038</v>
      </c>
      <c r="U4" s="271">
        <f t="shared" si="1"/>
        <v>462.82327309617528</v>
      </c>
      <c r="V4" s="271">
        <f t="shared" si="1"/>
        <v>380.88170308909133</v>
      </c>
      <c r="W4" s="271">
        <f t="shared" si="1"/>
        <v>322.5770187211167</v>
      </c>
      <c r="X4" s="271">
        <f t="shared" si="1"/>
        <v>302.19303078994733</v>
      </c>
      <c r="Y4" s="271">
        <f t="shared" si="1"/>
        <v>64.050045044334979</v>
      </c>
      <c r="Z4" s="271">
        <f t="shared" si="1"/>
        <v>48.856481825944172</v>
      </c>
      <c r="AC4" s="271">
        <v>875177091</v>
      </c>
      <c r="AE4" s="271">
        <v>0.45</v>
      </c>
    </row>
    <row r="5" spans="1:33" x14ac:dyDescent="0.2">
      <c r="A5" s="272" t="s">
        <v>814</v>
      </c>
      <c r="B5" s="396">
        <v>42184226001969</v>
      </c>
      <c r="C5" s="352">
        <v>0.13</v>
      </c>
      <c r="D5" s="397">
        <v>1.4999999999999999E-2</v>
      </c>
      <c r="E5" s="397"/>
      <c r="F5" s="271" t="s">
        <v>813</v>
      </c>
      <c r="G5" s="352">
        <v>7.0000000000000007E-2</v>
      </c>
      <c r="K5" s="272" t="s">
        <v>812</v>
      </c>
      <c r="L5" s="271" t="s">
        <v>811</v>
      </c>
      <c r="M5" s="399">
        <v>0.17</v>
      </c>
      <c r="N5" s="402" t="s">
        <v>810</v>
      </c>
      <c r="O5" s="403">
        <v>3</v>
      </c>
      <c r="P5" s="403">
        <v>7</v>
      </c>
      <c r="Q5" s="403">
        <v>16</v>
      </c>
      <c r="R5" s="404">
        <v>18</v>
      </c>
      <c r="S5" s="404">
        <v>0</v>
      </c>
      <c r="T5" s="403">
        <v>2</v>
      </c>
      <c r="U5" s="403">
        <v>1</v>
      </c>
      <c r="V5" s="403">
        <v>1</v>
      </c>
      <c r="W5" s="403">
        <v>3</v>
      </c>
      <c r="X5" s="404">
        <v>0</v>
      </c>
      <c r="Y5" s="403">
        <v>11</v>
      </c>
      <c r="Z5" s="403">
        <v>2</v>
      </c>
      <c r="AC5" s="271">
        <v>875177091</v>
      </c>
      <c r="AE5" s="271">
        <v>0.45</v>
      </c>
    </row>
    <row r="6" spans="1:33" x14ac:dyDescent="0.2">
      <c r="A6" s="272" t="s">
        <v>809</v>
      </c>
      <c r="B6" s="396">
        <v>64858525013638</v>
      </c>
      <c r="C6" s="352">
        <v>0.14000000000000001</v>
      </c>
      <c r="D6" s="397">
        <v>0.02</v>
      </c>
      <c r="E6" s="397"/>
      <c r="F6" s="271" t="s">
        <v>763</v>
      </c>
      <c r="G6" s="352">
        <v>7.0000000000000007E-2</v>
      </c>
      <c r="K6" s="272" t="s">
        <v>808</v>
      </c>
      <c r="L6" s="271" t="s">
        <v>807</v>
      </c>
      <c r="M6" s="398">
        <v>5.9299999999999999E-2</v>
      </c>
      <c r="N6" s="402" t="s">
        <v>806</v>
      </c>
      <c r="O6" s="352">
        <f>X4/O4-1</f>
        <v>0.10173014458214902</v>
      </c>
      <c r="P6" s="352">
        <f>O4/P4-1</f>
        <v>0.22783641117050979</v>
      </c>
      <c r="Q6" s="352">
        <f>P4/Q4-1</f>
        <v>0.37786077394619566</v>
      </c>
      <c r="R6" s="401">
        <f>Q4/R4-1</f>
        <v>0.18962903942902987</v>
      </c>
      <c r="S6" s="401">
        <f>R4/S4-1</f>
        <v>0.2117012871900128</v>
      </c>
      <c r="U6" s="352">
        <f>T4/U4-1</f>
        <v>0.21774573860431889</v>
      </c>
      <c r="V6" s="352">
        <f>U4/V4-1</f>
        <v>0.21513653541902267</v>
      </c>
      <c r="W6" s="352">
        <f>V4/W4-1</f>
        <v>0.18074655348706603</v>
      </c>
      <c r="X6" s="401">
        <f>W4/X4-1</f>
        <v>6.7453534179410468E-2</v>
      </c>
      <c r="AC6" s="271">
        <v>875177091</v>
      </c>
      <c r="AE6" s="271">
        <v>0.45</v>
      </c>
    </row>
    <row r="7" spans="1:33" x14ac:dyDescent="0.2">
      <c r="A7" s="272" t="s">
        <v>805</v>
      </c>
      <c r="B7" s="396">
        <v>64858525003756</v>
      </c>
      <c r="C7" s="352">
        <v>0.15</v>
      </c>
      <c r="D7" s="397">
        <v>2.5000000000000001E-2</v>
      </c>
      <c r="E7" s="397"/>
      <c r="F7" s="271" t="s">
        <v>768</v>
      </c>
      <c r="G7" s="352">
        <v>0.12</v>
      </c>
      <c r="K7" s="272" t="s">
        <v>804</v>
      </c>
      <c r="L7" s="271" t="s">
        <v>803</v>
      </c>
      <c r="M7" s="400"/>
      <c r="AC7" s="271">
        <v>875177091</v>
      </c>
      <c r="AE7" s="271">
        <v>0.45</v>
      </c>
    </row>
    <row r="8" spans="1:33" x14ac:dyDescent="0.2">
      <c r="A8" s="272" t="s">
        <v>802</v>
      </c>
      <c r="B8" s="396">
        <v>64858525006771</v>
      </c>
      <c r="C8" s="352">
        <v>0.16</v>
      </c>
      <c r="D8" s="397">
        <v>0.03</v>
      </c>
      <c r="E8" s="397"/>
      <c r="F8" s="271" t="s">
        <v>765</v>
      </c>
      <c r="G8" s="352">
        <v>0.12</v>
      </c>
      <c r="K8" s="272" t="s">
        <v>801</v>
      </c>
      <c r="L8" s="352" t="s">
        <v>800</v>
      </c>
      <c r="M8" s="399">
        <v>8.3000000000000001E-3</v>
      </c>
      <c r="AC8" s="271">
        <v>875177091</v>
      </c>
      <c r="AE8" s="271">
        <v>0.45</v>
      </c>
    </row>
    <row r="9" spans="1:33" x14ac:dyDescent="0.2">
      <c r="A9" s="272" t="s">
        <v>799</v>
      </c>
      <c r="B9" s="396">
        <v>64858525010299</v>
      </c>
      <c r="C9" s="352">
        <v>0.17</v>
      </c>
      <c r="D9" s="397">
        <v>0.04</v>
      </c>
      <c r="F9" s="271" t="s">
        <v>798</v>
      </c>
      <c r="G9" s="352">
        <v>0.12</v>
      </c>
      <c r="K9" s="272" t="s">
        <v>797</v>
      </c>
      <c r="L9" s="352" t="s">
        <v>796</v>
      </c>
      <c r="M9" s="398">
        <v>0.25</v>
      </c>
      <c r="AC9" s="271">
        <v>73181500</v>
      </c>
      <c r="AE9" s="271">
        <v>0.5</v>
      </c>
    </row>
    <row r="10" spans="1:33" x14ac:dyDescent="0.2">
      <c r="A10" s="272" t="s">
        <v>795</v>
      </c>
      <c r="B10" s="396">
        <v>26108898000533</v>
      </c>
      <c r="C10" s="352">
        <v>0.18</v>
      </c>
      <c r="D10" s="397">
        <v>0.05</v>
      </c>
      <c r="F10" s="271" t="s">
        <v>794</v>
      </c>
      <c r="G10" s="352">
        <v>0.12</v>
      </c>
      <c r="K10" s="272" t="s">
        <v>793</v>
      </c>
      <c r="AC10" s="271">
        <v>85176239</v>
      </c>
      <c r="AE10" s="271">
        <v>0.45</v>
      </c>
    </row>
    <row r="11" spans="1:33" x14ac:dyDescent="0.2">
      <c r="A11" s="272" t="s">
        <v>792</v>
      </c>
      <c r="B11" s="396">
        <v>46567202000200</v>
      </c>
      <c r="C11" s="352">
        <v>0.19</v>
      </c>
      <c r="F11" s="271" t="s">
        <v>445</v>
      </c>
      <c r="G11" s="352">
        <v>0.18</v>
      </c>
      <c r="K11" s="272" t="s">
        <v>791</v>
      </c>
      <c r="AC11" s="271">
        <v>85381000</v>
      </c>
      <c r="AE11" s="271">
        <v>0.4</v>
      </c>
      <c r="AG11" s="271" t="s">
        <v>782</v>
      </c>
    </row>
    <row r="12" spans="1:33" x14ac:dyDescent="0.2">
      <c r="A12" s="272" t="s">
        <v>790</v>
      </c>
      <c r="B12" s="396">
        <v>8902291000115</v>
      </c>
      <c r="C12" s="352">
        <v>0.2</v>
      </c>
      <c r="K12" s="272" t="s">
        <v>789</v>
      </c>
      <c r="L12" s="352"/>
      <c r="AC12" s="271">
        <v>85044090</v>
      </c>
      <c r="AE12" s="271">
        <v>0.5</v>
      </c>
    </row>
    <row r="13" spans="1:33" x14ac:dyDescent="0.2">
      <c r="A13" s="272" t="s">
        <v>788</v>
      </c>
      <c r="B13" s="396">
        <v>20060125000114</v>
      </c>
      <c r="C13" s="352">
        <v>0.21</v>
      </c>
      <c r="K13" s="272"/>
      <c r="L13" s="352"/>
      <c r="AC13" s="271">
        <v>85389090</v>
      </c>
      <c r="AE13" s="271">
        <v>0.4</v>
      </c>
      <c r="AG13" s="271" t="s">
        <v>782</v>
      </c>
    </row>
    <row r="14" spans="1:33" x14ac:dyDescent="0.2">
      <c r="A14" s="272" t="s">
        <v>787</v>
      </c>
      <c r="B14" s="396">
        <v>29316596000204</v>
      </c>
      <c r="C14" s="352">
        <v>0.22</v>
      </c>
      <c r="K14" s="272"/>
      <c r="L14" s="352" t="s">
        <v>786</v>
      </c>
      <c r="AC14" s="271">
        <v>85389090</v>
      </c>
      <c r="AE14" s="271">
        <v>0.4</v>
      </c>
      <c r="AG14" s="271" t="s">
        <v>782</v>
      </c>
    </row>
    <row r="15" spans="1:33" x14ac:dyDescent="0.2">
      <c r="A15" s="272" t="s">
        <v>785</v>
      </c>
      <c r="B15" s="396">
        <v>1519178600220</v>
      </c>
      <c r="C15" s="352">
        <v>0.23</v>
      </c>
      <c r="K15" s="272"/>
      <c r="L15" s="352" t="s">
        <v>784</v>
      </c>
      <c r="AC15" s="271">
        <v>85389090</v>
      </c>
      <c r="AE15" s="271">
        <v>0.4</v>
      </c>
      <c r="AG15" s="271" t="s">
        <v>782</v>
      </c>
    </row>
    <row r="16" spans="1:33" x14ac:dyDescent="0.2">
      <c r="A16" s="272" t="s">
        <v>783</v>
      </c>
      <c r="B16" s="396">
        <v>26248526000189</v>
      </c>
      <c r="C16" s="352">
        <v>0.24</v>
      </c>
      <c r="K16" s="272"/>
      <c r="L16" s="352"/>
      <c r="AC16" s="271">
        <v>85389090</v>
      </c>
      <c r="AE16" s="271">
        <v>0.4</v>
      </c>
      <c r="AG16" s="271" t="s">
        <v>782</v>
      </c>
    </row>
    <row r="17" spans="1:35" x14ac:dyDescent="0.2">
      <c r="A17" s="272" t="s">
        <v>781</v>
      </c>
      <c r="B17" s="396">
        <v>33931486001960</v>
      </c>
      <c r="C17" s="352">
        <v>0.25</v>
      </c>
      <c r="L17" s="352"/>
      <c r="AC17" s="271">
        <v>85176259</v>
      </c>
      <c r="AE17" s="271">
        <v>0.45</v>
      </c>
    </row>
    <row r="18" spans="1:35" x14ac:dyDescent="0.2">
      <c r="A18" s="272" t="s">
        <v>780</v>
      </c>
      <c r="B18" s="396" t="s">
        <v>779</v>
      </c>
      <c r="C18" s="352">
        <v>0.26</v>
      </c>
      <c r="L18" s="352"/>
      <c r="AC18" s="271">
        <v>85176259</v>
      </c>
      <c r="AE18" s="271">
        <v>0.45</v>
      </c>
    </row>
    <row r="19" spans="1:35" x14ac:dyDescent="0.2">
      <c r="A19" s="272" t="s">
        <v>778</v>
      </c>
      <c r="B19" s="396">
        <v>33931486002001</v>
      </c>
      <c r="C19" s="352">
        <v>0.27</v>
      </c>
      <c r="L19" s="352"/>
      <c r="AC19" s="271">
        <v>85369090</v>
      </c>
      <c r="AE19" s="271">
        <v>0.4</v>
      </c>
    </row>
    <row r="20" spans="1:35" x14ac:dyDescent="0.2">
      <c r="A20" s="272" t="s">
        <v>777</v>
      </c>
      <c r="B20" s="396">
        <v>592603000120</v>
      </c>
      <c r="C20" s="352">
        <v>0.28000000000000003</v>
      </c>
      <c r="I20" s="272"/>
      <c r="L20" s="352"/>
      <c r="AC20" s="271">
        <v>85369090</v>
      </c>
      <c r="AE20" s="271">
        <v>0.4</v>
      </c>
    </row>
    <row r="21" spans="1:35" x14ac:dyDescent="0.2">
      <c r="A21" s="272" t="s">
        <v>776</v>
      </c>
      <c r="B21" s="396">
        <v>82743287000104</v>
      </c>
      <c r="C21" s="352">
        <v>0.28999999999999998</v>
      </c>
      <c r="L21" s="352"/>
      <c r="AC21" s="271">
        <v>85177010</v>
      </c>
      <c r="AE21" s="271">
        <v>0.45</v>
      </c>
    </row>
    <row r="22" spans="1:35" x14ac:dyDescent="0.2">
      <c r="A22" s="272" t="s">
        <v>775</v>
      </c>
      <c r="B22" s="396">
        <v>33592510000154</v>
      </c>
      <c r="C22" s="352">
        <v>0.3</v>
      </c>
      <c r="L22" s="352"/>
      <c r="AC22" s="271">
        <v>85177010</v>
      </c>
      <c r="AE22" s="271">
        <v>0.45</v>
      </c>
    </row>
    <row r="23" spans="1:35" x14ac:dyDescent="0.2">
      <c r="A23" s="272" t="s">
        <v>774</v>
      </c>
      <c r="B23" s="396">
        <v>546997000260</v>
      </c>
      <c r="C23" s="352">
        <v>0.31</v>
      </c>
      <c r="E23" s="271" t="s">
        <v>773</v>
      </c>
      <c r="L23" s="352"/>
    </row>
    <row r="24" spans="1:35" x14ac:dyDescent="0.2">
      <c r="A24" s="272" t="s">
        <v>772</v>
      </c>
      <c r="B24" s="396">
        <v>42184226001101</v>
      </c>
      <c r="C24" s="352">
        <v>0.32</v>
      </c>
      <c r="E24" s="271" t="s">
        <v>454</v>
      </c>
      <c r="L24" s="352"/>
      <c r="AC24" s="271" t="s">
        <v>771</v>
      </c>
      <c r="AD24" s="271" t="s">
        <v>770</v>
      </c>
    </row>
    <row r="25" spans="1:35" x14ac:dyDescent="0.2">
      <c r="A25" s="272" t="s">
        <v>769</v>
      </c>
      <c r="B25" s="396">
        <v>7171562000147</v>
      </c>
      <c r="C25" s="352">
        <v>0.33</v>
      </c>
      <c r="L25" s="352"/>
      <c r="AC25" s="271" t="s">
        <v>768</v>
      </c>
      <c r="AD25" s="271" t="s">
        <v>767</v>
      </c>
    </row>
    <row r="26" spans="1:35" x14ac:dyDescent="0.2">
      <c r="A26" s="272" t="s">
        <v>766</v>
      </c>
      <c r="B26" s="396">
        <v>7171562000490</v>
      </c>
      <c r="C26" s="352">
        <v>0.34</v>
      </c>
      <c r="AC26" s="271" t="s">
        <v>765</v>
      </c>
      <c r="AD26" s="271" t="s">
        <v>757</v>
      </c>
    </row>
    <row r="27" spans="1:35" x14ac:dyDescent="0.2">
      <c r="A27" s="272" t="s">
        <v>764</v>
      </c>
      <c r="B27" s="396">
        <v>25176116000107</v>
      </c>
      <c r="C27" s="352">
        <v>0.35</v>
      </c>
      <c r="AC27" s="271" t="s">
        <v>763</v>
      </c>
      <c r="AD27" s="271" t="s">
        <v>762</v>
      </c>
    </row>
    <row r="28" spans="1:35" x14ac:dyDescent="0.2">
      <c r="A28" s="272" t="s">
        <v>761</v>
      </c>
      <c r="B28" s="396">
        <v>33931478000275</v>
      </c>
      <c r="AC28" s="271" t="s">
        <v>760</v>
      </c>
      <c r="AD28" s="271" t="s">
        <v>759</v>
      </c>
    </row>
    <row r="29" spans="1:35" x14ac:dyDescent="0.2">
      <c r="AC29" s="271" t="s">
        <v>758</v>
      </c>
      <c r="AD29" s="271" t="s">
        <v>757</v>
      </c>
    </row>
    <row r="31" spans="1:35" x14ac:dyDescent="0.2">
      <c r="AC31" s="271" t="s">
        <v>756</v>
      </c>
      <c r="AI31" s="271" t="s">
        <v>755</v>
      </c>
    </row>
    <row r="32" spans="1:35" x14ac:dyDescent="0.2">
      <c r="AC32" s="271" t="s">
        <v>754</v>
      </c>
      <c r="AD32" s="271" t="s">
        <v>753</v>
      </c>
      <c r="AF32" s="271" t="s">
        <v>752</v>
      </c>
      <c r="AH32" s="271">
        <v>7.0000000000000007E-2</v>
      </c>
    </row>
    <row r="33" spans="1:34" x14ac:dyDescent="0.2">
      <c r="AF33" s="271" t="s">
        <v>751</v>
      </c>
      <c r="AH33" s="271">
        <v>0.04</v>
      </c>
    </row>
    <row r="34" spans="1:34" ht="20.399999999999999" x14ac:dyDescent="0.2">
      <c r="C34" s="395" t="s">
        <v>750</v>
      </c>
      <c r="D34" s="353" t="s">
        <v>749</v>
      </c>
      <c r="E34" s="395" t="s">
        <v>748</v>
      </c>
      <c r="F34" s="353" t="s">
        <v>747</v>
      </c>
      <c r="G34" s="353" t="s">
        <v>489</v>
      </c>
      <c r="AF34" s="271" t="s">
        <v>746</v>
      </c>
      <c r="AH34" s="271">
        <v>0.12</v>
      </c>
    </row>
    <row r="35" spans="1:34" x14ac:dyDescent="0.2">
      <c r="C35" s="353" t="s">
        <v>745</v>
      </c>
      <c r="D35" s="393">
        <f>'Fornec. TAGNA'!P12*'Fornec. TAGNA'!B12 + 'Fornec. TAGNA'!T12 + 'Fornec. TAGNA'!Y12 +'Fornec. TAGNA'!Z12</f>
        <v>1150</v>
      </c>
      <c r="E35" s="353">
        <f>IF('Fornec. TAGNA'!V12="sim",'Fornec. TAGNA'!AA12,'Fornec. TAGNA'!AA12-'Fornec. TAGNA'!X12)</f>
        <v>1110</v>
      </c>
      <c r="F35" s="392">
        <v>0</v>
      </c>
      <c r="G35" s="392">
        <v>0</v>
      </c>
      <c r="J35" s="273"/>
      <c r="AD35" s="271" t="s">
        <v>744</v>
      </c>
      <c r="AH35" s="271">
        <v>0.18</v>
      </c>
    </row>
    <row r="36" spans="1:34" x14ac:dyDescent="0.2">
      <c r="C36" s="353" t="s">
        <v>509</v>
      </c>
      <c r="D36" s="393">
        <f>'Fornec. TAGNA'!P12*'Fornec. TAGNA'!B12+'Fornec. TAGNA'!Y12</f>
        <v>1150</v>
      </c>
      <c r="E36" s="353">
        <f>IF('Fornec. TAGNA'!V12="Sim",'Fornec. TAGNA'!AA12-'Fornec. TAGNA'!X12,'Fornec. TAGNA'!AA12-'Fornec. TAGNA'!X12-'Fornec. TAGNA'!Y12)</f>
        <v>960</v>
      </c>
      <c r="F36" s="394">
        <v>0.1125</v>
      </c>
      <c r="G36" s="392">
        <v>0</v>
      </c>
      <c r="J36" s="273"/>
    </row>
    <row r="37" spans="1:34" x14ac:dyDescent="0.2">
      <c r="C37" s="353" t="s">
        <v>743</v>
      </c>
      <c r="D37" s="393">
        <f>'Fornec. TAGNA'!P12*'Fornec. TAGNA'!B12</f>
        <v>1000</v>
      </c>
      <c r="E37" s="353">
        <f>'Fornec. TAGNA'!AA12</f>
        <v>1150</v>
      </c>
      <c r="F37" s="392">
        <v>0</v>
      </c>
      <c r="G37" s="392">
        <v>0</v>
      </c>
      <c r="J37" s="273"/>
      <c r="K37" s="273"/>
      <c r="L37" s="352"/>
      <c r="AC37" s="271" t="s">
        <v>742</v>
      </c>
      <c r="AD37" s="271" t="s">
        <v>741</v>
      </c>
    </row>
    <row r="38" spans="1:34" x14ac:dyDescent="0.2">
      <c r="L38" s="352"/>
      <c r="V38" s="391"/>
    </row>
    <row r="39" spans="1:34" x14ac:dyDescent="0.2">
      <c r="L39" s="352"/>
      <c r="V39" s="391"/>
      <c r="AC39" s="271" t="s">
        <v>740</v>
      </c>
      <c r="AD39" s="271" t="s">
        <v>739</v>
      </c>
    </row>
    <row r="40" spans="1:34" ht="14.4" x14ac:dyDescent="0.3">
      <c r="A40" s="203" t="s">
        <v>361</v>
      </c>
      <c r="B40" s="203" t="s">
        <v>334</v>
      </c>
      <c r="C40" s="204" t="s">
        <v>336</v>
      </c>
      <c r="D40" s="204" t="s">
        <v>347</v>
      </c>
      <c r="E40" s="204" t="s">
        <v>346</v>
      </c>
      <c r="F40" s="204" t="s">
        <v>345</v>
      </c>
      <c r="G40" s="204" t="s">
        <v>349</v>
      </c>
      <c r="H40" s="204" t="s">
        <v>360</v>
      </c>
      <c r="I40" s="204" t="s">
        <v>364</v>
      </c>
      <c r="J40" s="204" t="s">
        <v>369</v>
      </c>
      <c r="K40" s="204" t="s">
        <v>368</v>
      </c>
      <c r="L40" s="204" t="s">
        <v>374</v>
      </c>
      <c r="M40" s="204" t="s">
        <v>377</v>
      </c>
      <c r="N40" s="204" t="s">
        <v>381</v>
      </c>
      <c r="O40" s="204" t="s">
        <v>389</v>
      </c>
      <c r="P40" s="204" t="s">
        <v>140</v>
      </c>
      <c r="Q40" s="204" t="s">
        <v>866</v>
      </c>
      <c r="R40" s="200"/>
      <c r="V40" s="391"/>
      <c r="AD40" s="271" t="s">
        <v>738</v>
      </c>
    </row>
    <row r="41" spans="1:34" ht="14.4" x14ac:dyDescent="0.3">
      <c r="A41" s="202" t="s">
        <v>362</v>
      </c>
      <c r="B41" s="202" t="s">
        <v>332</v>
      </c>
      <c r="C41" s="199" t="s">
        <v>880</v>
      </c>
      <c r="D41" s="444" t="s">
        <v>875</v>
      </c>
      <c r="E41" s="199" t="s">
        <v>880</v>
      </c>
      <c r="F41" s="199" t="s">
        <v>337</v>
      </c>
      <c r="G41" s="201" t="s">
        <v>350</v>
      </c>
      <c r="H41" s="198" t="s">
        <v>907</v>
      </c>
      <c r="I41" s="448" t="s">
        <v>365</v>
      </c>
      <c r="J41" s="198" t="s">
        <v>47</v>
      </c>
      <c r="K41" s="198" t="s">
        <v>370</v>
      </c>
      <c r="L41" s="198" t="s">
        <v>372</v>
      </c>
      <c r="M41" s="198" t="s">
        <v>378</v>
      </c>
      <c r="N41" s="198" t="s">
        <v>382</v>
      </c>
      <c r="O41" s="198" t="s">
        <v>390</v>
      </c>
      <c r="P41" s="198" t="s">
        <v>393</v>
      </c>
      <c r="Q41" s="198" t="s">
        <v>75</v>
      </c>
      <c r="R41"/>
    </row>
    <row r="42" spans="1:34" ht="14.4" x14ac:dyDescent="0.3">
      <c r="A42" s="201" t="s">
        <v>363</v>
      </c>
      <c r="B42" s="201" t="s">
        <v>333</v>
      </c>
      <c r="C42" s="198" t="s">
        <v>881</v>
      </c>
      <c r="D42" s="445" t="s">
        <v>876</v>
      </c>
      <c r="E42" s="198" t="s">
        <v>881</v>
      </c>
      <c r="F42" s="198" t="s">
        <v>338</v>
      </c>
      <c r="G42" s="201" t="s">
        <v>351</v>
      </c>
      <c r="H42" s="198" t="s">
        <v>908</v>
      </c>
      <c r="I42" s="448" t="s">
        <v>366</v>
      </c>
      <c r="J42" s="198" t="s">
        <v>48</v>
      </c>
      <c r="K42" s="198" t="s">
        <v>371</v>
      </c>
      <c r="L42" s="198" t="s">
        <v>373</v>
      </c>
      <c r="M42" s="198" t="s">
        <v>379</v>
      </c>
      <c r="N42" s="198" t="s">
        <v>383</v>
      </c>
      <c r="O42" s="198" t="s">
        <v>391</v>
      </c>
      <c r="P42" s="198" t="s">
        <v>68</v>
      </c>
      <c r="Q42" s="198" t="s">
        <v>395</v>
      </c>
      <c r="R42"/>
      <c r="AC42" s="271" t="s">
        <v>737</v>
      </c>
      <c r="AD42" s="271" t="s">
        <v>736</v>
      </c>
    </row>
    <row r="43" spans="1:34" ht="14.4" x14ac:dyDescent="0.3">
      <c r="A43"/>
      <c r="B43"/>
      <c r="C43" s="198" t="s">
        <v>776</v>
      </c>
      <c r="D43" s="445" t="s">
        <v>877</v>
      </c>
      <c r="E43" s="198" t="s">
        <v>776</v>
      </c>
      <c r="F43" s="198" t="s">
        <v>339</v>
      </c>
      <c r="G43" s="201" t="s">
        <v>352</v>
      </c>
      <c r="H43" s="198" t="s">
        <v>909</v>
      </c>
      <c r="I43" s="448" t="s">
        <v>385</v>
      </c>
      <c r="J43" s="198"/>
      <c r="K43" s="198"/>
      <c r="L43" s="198"/>
      <c r="M43" s="198"/>
      <c r="N43" s="198" t="s">
        <v>384</v>
      </c>
      <c r="O43" s="198"/>
      <c r="P43" s="198" t="s">
        <v>394</v>
      </c>
      <c r="Q43" s="198" t="s">
        <v>396</v>
      </c>
      <c r="R43"/>
    </row>
    <row r="44" spans="1:34" ht="14.4" x14ac:dyDescent="0.3">
      <c r="A44"/>
      <c r="B44"/>
      <c r="C44" s="198" t="s">
        <v>335</v>
      </c>
      <c r="D44" s="445" t="s">
        <v>878</v>
      </c>
      <c r="E44" s="198" t="s">
        <v>930</v>
      </c>
      <c r="F44" s="198" t="s">
        <v>340</v>
      </c>
      <c r="G44" s="201" t="s">
        <v>353</v>
      </c>
      <c r="H44" s="198" t="s">
        <v>910</v>
      </c>
      <c r="I44" s="448" t="s">
        <v>386</v>
      </c>
      <c r="J44" s="198"/>
      <c r="K44" s="198"/>
      <c r="L44" s="198"/>
      <c r="M44" s="198"/>
      <c r="N44" s="198"/>
      <c r="O44" s="198"/>
      <c r="P44" s="198" t="s">
        <v>75</v>
      </c>
      <c r="Q44" s="198" t="s">
        <v>867</v>
      </c>
      <c r="R44"/>
      <c r="AC44" s="271" t="s">
        <v>735</v>
      </c>
    </row>
    <row r="45" spans="1:34" ht="14.4" x14ac:dyDescent="0.3">
      <c r="A45"/>
      <c r="B45"/>
      <c r="C45" s="198" t="s">
        <v>930</v>
      </c>
      <c r="D45" s="445" t="s">
        <v>879</v>
      </c>
      <c r="E45" s="198" t="s">
        <v>931</v>
      </c>
      <c r="F45" s="198" t="s">
        <v>341</v>
      </c>
      <c r="G45" s="201" t="s">
        <v>354</v>
      </c>
      <c r="H45" s="198" t="s">
        <v>911</v>
      </c>
      <c r="I45" s="448" t="s">
        <v>387</v>
      </c>
      <c r="J45" s="198"/>
      <c r="K45" s="198"/>
      <c r="L45" s="198"/>
      <c r="M45" s="198"/>
      <c r="N45" s="198"/>
      <c r="O45" s="198"/>
      <c r="P45" s="198" t="s">
        <v>395</v>
      </c>
      <c r="Q45" s="198" t="s">
        <v>868</v>
      </c>
      <c r="R45"/>
    </row>
    <row r="46" spans="1:34" ht="14.4" x14ac:dyDescent="0.3">
      <c r="A46"/>
      <c r="B46"/>
      <c r="C46" s="198" t="s">
        <v>882</v>
      </c>
      <c r="D46" s="445" t="s">
        <v>992</v>
      </c>
      <c r="E46" s="198" t="s">
        <v>932</v>
      </c>
      <c r="F46" s="198" t="s">
        <v>342</v>
      </c>
      <c r="G46" s="201" t="s">
        <v>355</v>
      </c>
      <c r="H46" s="198" t="s">
        <v>912</v>
      </c>
      <c r="I46" s="448" t="s">
        <v>388</v>
      </c>
      <c r="J46" s="198"/>
      <c r="K46" s="198"/>
      <c r="L46" s="198"/>
      <c r="M46" s="198"/>
      <c r="N46" s="198"/>
      <c r="O46" s="198"/>
      <c r="P46" s="198" t="s">
        <v>396</v>
      </c>
      <c r="Q46" s="198" t="s">
        <v>869</v>
      </c>
      <c r="R46"/>
      <c r="AC46" s="271" t="s">
        <v>734</v>
      </c>
    </row>
    <row r="47" spans="1:34" ht="14.4" x14ac:dyDescent="0.3">
      <c r="A47"/>
      <c r="B47"/>
      <c r="C47" s="198" t="s">
        <v>883</v>
      </c>
      <c r="D47" s="445"/>
      <c r="E47" s="198"/>
      <c r="F47" s="198" t="s">
        <v>343</v>
      </c>
      <c r="G47" s="201" t="s">
        <v>356</v>
      </c>
      <c r="H47" s="198" t="s">
        <v>913</v>
      </c>
      <c r="I47" s="448"/>
      <c r="J47" s="198"/>
      <c r="K47" s="198"/>
      <c r="L47" s="198"/>
      <c r="M47" s="198"/>
      <c r="N47" s="198"/>
      <c r="O47" s="198"/>
      <c r="P47" s="198"/>
      <c r="Q47" s="198"/>
      <c r="R47"/>
    </row>
    <row r="48" spans="1:34" ht="14.4" x14ac:dyDescent="0.3">
      <c r="A48"/>
      <c r="B48"/>
      <c r="C48" s="198" t="s">
        <v>884</v>
      </c>
      <c r="D48" s="445"/>
      <c r="E48" s="198"/>
      <c r="F48" s="198" t="s">
        <v>344</v>
      </c>
      <c r="G48" s="201" t="s">
        <v>357</v>
      </c>
      <c r="H48" s="198" t="s">
        <v>914</v>
      </c>
      <c r="I48" s="448"/>
      <c r="J48" s="198"/>
      <c r="K48" s="198"/>
      <c r="L48" s="198"/>
      <c r="M48" s="198"/>
      <c r="N48" s="198"/>
      <c r="O48" s="198"/>
      <c r="P48" s="198"/>
      <c r="Q48" s="198"/>
      <c r="R48"/>
    </row>
    <row r="49" spans="1:18" ht="14.4" x14ac:dyDescent="0.3">
      <c r="A49"/>
      <c r="B49"/>
      <c r="C49" s="198" t="s">
        <v>885</v>
      </c>
      <c r="D49" s="446" t="s">
        <v>887</v>
      </c>
      <c r="E49" s="198"/>
      <c r="F49" s="198" t="s">
        <v>348</v>
      </c>
      <c r="G49" s="201" t="s">
        <v>358</v>
      </c>
      <c r="H49" s="198" t="s">
        <v>915</v>
      </c>
      <c r="I49" s="448"/>
      <c r="J49" s="198"/>
      <c r="K49" s="198"/>
      <c r="L49" s="198"/>
      <c r="M49" s="198"/>
      <c r="N49" s="198"/>
      <c r="O49" s="198"/>
      <c r="P49" s="198"/>
      <c r="Q49" s="198"/>
      <c r="R49"/>
    </row>
    <row r="50" spans="1:18" ht="14.4" x14ac:dyDescent="0.3">
      <c r="A50"/>
      <c r="B50"/>
      <c r="C50" s="198" t="s">
        <v>886</v>
      </c>
      <c r="D50" s="446" t="s">
        <v>888</v>
      </c>
      <c r="E50" s="198"/>
      <c r="F50" s="198" t="s">
        <v>992</v>
      </c>
      <c r="G50" s="201" t="s">
        <v>359</v>
      </c>
      <c r="H50" s="198" t="s">
        <v>916</v>
      </c>
      <c r="I50" s="448"/>
      <c r="J50" s="198"/>
      <c r="K50" s="198"/>
      <c r="L50" s="198"/>
      <c r="M50" s="198"/>
      <c r="N50" s="198"/>
      <c r="O50" s="198"/>
      <c r="P50" s="198"/>
      <c r="Q50"/>
      <c r="R50"/>
    </row>
    <row r="51" spans="1:18" ht="14.4" x14ac:dyDescent="0.3">
      <c r="A51"/>
      <c r="B51"/>
      <c r="C51"/>
      <c r="D51" s="446" t="s">
        <v>889</v>
      </c>
      <c r="E51"/>
      <c r="F51" s="198"/>
      <c r="G51" s="447" t="s">
        <v>367</v>
      </c>
      <c r="H51" s="198" t="s">
        <v>917</v>
      </c>
      <c r="I51"/>
      <c r="J51"/>
      <c r="K51"/>
      <c r="L51"/>
      <c r="M51"/>
      <c r="N51"/>
      <c r="O51"/>
      <c r="P51"/>
      <c r="Q51"/>
      <c r="R51"/>
    </row>
    <row r="52" spans="1:18" ht="14.4" x14ac:dyDescent="0.3">
      <c r="A52"/>
      <c r="B52"/>
      <c r="C52"/>
      <c r="D52" s="446" t="s">
        <v>890</v>
      </c>
      <c r="E52"/>
      <c r="F52" s="198"/>
      <c r="G52"/>
      <c r="H52" s="198" t="s">
        <v>918</v>
      </c>
      <c r="I52"/>
      <c r="J52"/>
      <c r="K52"/>
      <c r="L52"/>
      <c r="M52"/>
      <c r="N52"/>
      <c r="O52"/>
      <c r="P52"/>
      <c r="Q52"/>
      <c r="R52"/>
    </row>
    <row r="53" spans="1:18" ht="14.4" x14ac:dyDescent="0.3">
      <c r="A53"/>
      <c r="B53"/>
      <c r="C53"/>
      <c r="D53" s="446"/>
      <c r="E53"/>
      <c r="F53" s="198"/>
      <c r="G53"/>
      <c r="H53" s="198" t="s">
        <v>919</v>
      </c>
      <c r="I53"/>
      <c r="J53"/>
      <c r="K53"/>
      <c r="L53"/>
      <c r="M53"/>
      <c r="N53"/>
      <c r="O53"/>
      <c r="P53"/>
      <c r="Q53"/>
      <c r="R53"/>
    </row>
    <row r="54" spans="1:18" ht="14.4" x14ac:dyDescent="0.3">
      <c r="A54"/>
      <c r="B54"/>
      <c r="C54"/>
      <c r="D54" s="446"/>
      <c r="E54"/>
      <c r="F54" s="198"/>
      <c r="G54"/>
      <c r="H54" s="198" t="s">
        <v>920</v>
      </c>
      <c r="I54"/>
      <c r="J54"/>
      <c r="K54"/>
      <c r="L54"/>
      <c r="M54"/>
      <c r="N54"/>
      <c r="O54"/>
      <c r="P54"/>
      <c r="Q54"/>
      <c r="R54"/>
    </row>
    <row r="55" spans="1:18" ht="14.4" x14ac:dyDescent="0.3">
      <c r="A55"/>
      <c r="B55"/>
      <c r="C55"/>
      <c r="D55" s="446"/>
      <c r="E55"/>
      <c r="F55" s="198"/>
      <c r="G55"/>
      <c r="H55" s="198" t="s">
        <v>921</v>
      </c>
      <c r="I55"/>
      <c r="J55"/>
      <c r="K55"/>
      <c r="L55"/>
      <c r="M55"/>
      <c r="N55"/>
      <c r="O55"/>
      <c r="P55"/>
      <c r="Q55"/>
      <c r="R55"/>
    </row>
    <row r="56" spans="1:18" ht="14.4" x14ac:dyDescent="0.3">
      <c r="A56"/>
      <c r="B56"/>
      <c r="C56"/>
      <c r="D56" s="446"/>
      <c r="E56"/>
      <c r="F56" s="198"/>
      <c r="G56"/>
      <c r="H56" s="198" t="s">
        <v>922</v>
      </c>
      <c r="I56"/>
      <c r="J56"/>
      <c r="K56"/>
      <c r="L56"/>
      <c r="M56"/>
      <c r="N56"/>
      <c r="O56"/>
      <c r="P56"/>
      <c r="Q56"/>
      <c r="R56"/>
    </row>
    <row r="57" spans="1:18" ht="14.4" x14ac:dyDescent="0.3">
      <c r="A57"/>
      <c r="B57"/>
      <c r="C57"/>
      <c r="D57" s="446"/>
      <c r="E57"/>
      <c r="F57" s="198"/>
      <c r="G57"/>
      <c r="H57" s="198" t="s">
        <v>923</v>
      </c>
      <c r="I57"/>
      <c r="J57"/>
      <c r="K57"/>
      <c r="L57"/>
      <c r="M57"/>
      <c r="N57"/>
      <c r="O57"/>
      <c r="P57"/>
      <c r="Q57"/>
      <c r="R57"/>
    </row>
    <row r="58" spans="1:18" ht="14.4" x14ac:dyDescent="0.3">
      <c r="A58"/>
      <c r="B58"/>
      <c r="C58"/>
      <c r="D58" s="445" t="s">
        <v>891</v>
      </c>
      <c r="E58"/>
      <c r="F58" s="198"/>
      <c r="G58"/>
      <c r="H58" s="198" t="s">
        <v>924</v>
      </c>
      <c r="I58"/>
      <c r="J58"/>
      <c r="K58"/>
      <c r="L58"/>
      <c r="M58"/>
      <c r="N58"/>
      <c r="O58"/>
      <c r="P58"/>
      <c r="Q58"/>
      <c r="R58"/>
    </row>
    <row r="59" spans="1:18" ht="14.4" x14ac:dyDescent="0.3">
      <c r="A59"/>
      <c r="B59"/>
      <c r="C59"/>
      <c r="D59" s="445" t="s">
        <v>892</v>
      </c>
      <c r="E59"/>
      <c r="F59" s="198"/>
      <c r="G59"/>
      <c r="H59" s="198" t="s">
        <v>925</v>
      </c>
      <c r="I59"/>
      <c r="J59"/>
      <c r="K59"/>
      <c r="L59"/>
      <c r="M59"/>
      <c r="N59"/>
      <c r="O59"/>
      <c r="P59"/>
      <c r="Q59"/>
      <c r="R59"/>
    </row>
    <row r="60" spans="1:18" ht="14.4" x14ac:dyDescent="0.3">
      <c r="A60"/>
      <c r="B60"/>
      <c r="C60"/>
      <c r="D60" s="445" t="s">
        <v>893</v>
      </c>
      <c r="E60"/>
      <c r="F60" s="198"/>
      <c r="G60"/>
      <c r="H60" s="198" t="s">
        <v>926</v>
      </c>
      <c r="I60"/>
      <c r="J60"/>
      <c r="K60"/>
      <c r="L60"/>
      <c r="M60"/>
      <c r="N60"/>
      <c r="O60"/>
      <c r="P60"/>
      <c r="Q60"/>
      <c r="R60"/>
    </row>
    <row r="61" spans="1:18" ht="14.4" x14ac:dyDescent="0.3">
      <c r="A61"/>
      <c r="B61"/>
      <c r="C61"/>
      <c r="D61" s="445" t="s">
        <v>895</v>
      </c>
      <c r="E61"/>
      <c r="F61" s="198"/>
      <c r="G61"/>
      <c r="H61" s="198" t="s">
        <v>927</v>
      </c>
      <c r="I61"/>
      <c r="J61"/>
      <c r="K61"/>
      <c r="L61"/>
      <c r="M61"/>
      <c r="N61"/>
      <c r="O61"/>
      <c r="P61"/>
      <c r="Q61"/>
      <c r="R61"/>
    </row>
    <row r="62" spans="1:18" ht="14.4" x14ac:dyDescent="0.3">
      <c r="A62"/>
      <c r="B62"/>
      <c r="C62"/>
      <c r="D62" s="444" t="s">
        <v>894</v>
      </c>
      <c r="E62"/>
      <c r="F62" s="198"/>
      <c r="G62"/>
      <c r="H62" s="198" t="s">
        <v>928</v>
      </c>
      <c r="I62"/>
      <c r="J62"/>
      <c r="K62"/>
      <c r="L62"/>
      <c r="M62"/>
      <c r="N62"/>
      <c r="O62"/>
      <c r="P62"/>
      <c r="Q62"/>
      <c r="R62"/>
    </row>
    <row r="63" spans="1:18" ht="14.4" x14ac:dyDescent="0.3">
      <c r="A63"/>
      <c r="B63"/>
      <c r="C63"/>
      <c r="D63" s="445" t="s">
        <v>896</v>
      </c>
      <c r="E63"/>
      <c r="F63" s="198"/>
      <c r="G63"/>
      <c r="H63" s="198"/>
      <c r="I63"/>
      <c r="J63"/>
      <c r="K63"/>
      <c r="L63"/>
      <c r="M63"/>
      <c r="N63"/>
      <c r="O63"/>
      <c r="P63"/>
      <c r="Q63"/>
      <c r="R63"/>
    </row>
    <row r="64" spans="1:18" ht="14.4" x14ac:dyDescent="0.3">
      <c r="A64"/>
      <c r="B64"/>
      <c r="C64"/>
      <c r="D64" s="445" t="s">
        <v>897</v>
      </c>
      <c r="E64"/>
      <c r="F64" s="198"/>
      <c r="G64"/>
      <c r="H64" s="198"/>
      <c r="I64"/>
      <c r="J64"/>
      <c r="K64"/>
      <c r="L64"/>
      <c r="M64"/>
      <c r="N64"/>
      <c r="O64"/>
      <c r="P64"/>
      <c r="Q64"/>
      <c r="R64"/>
    </row>
    <row r="65" spans="1:18" ht="14.4" x14ac:dyDescent="0.3">
      <c r="A65"/>
      <c r="B65"/>
      <c r="C65"/>
      <c r="D65" s="445" t="s">
        <v>898</v>
      </c>
      <c r="E65"/>
      <c r="F65"/>
      <c r="G65"/>
      <c r="H65" s="198"/>
      <c r="I65"/>
      <c r="J65"/>
      <c r="K65"/>
      <c r="L65"/>
      <c r="M65"/>
      <c r="N65"/>
      <c r="O65"/>
      <c r="P65"/>
      <c r="Q65"/>
      <c r="R65"/>
    </row>
    <row r="66" spans="1:18" ht="14.4" x14ac:dyDescent="0.3">
      <c r="A66"/>
      <c r="B66"/>
      <c r="C66"/>
      <c r="D66" s="446" t="s">
        <v>899</v>
      </c>
      <c r="E66"/>
      <c r="F66"/>
      <c r="G66"/>
      <c r="H66" s="198"/>
      <c r="I66"/>
      <c r="J66"/>
      <c r="K66"/>
      <c r="L66"/>
      <c r="M66"/>
      <c r="N66"/>
      <c r="O66"/>
      <c r="P66"/>
      <c r="Q66"/>
      <c r="R66"/>
    </row>
    <row r="67" spans="1:18" ht="14.4" x14ac:dyDescent="0.3">
      <c r="A67"/>
      <c r="B67"/>
      <c r="C67"/>
      <c r="D67" s="446" t="s">
        <v>900</v>
      </c>
      <c r="E67"/>
      <c r="F67"/>
      <c r="G67"/>
      <c r="H67" s="198"/>
      <c r="I67"/>
      <c r="J67"/>
      <c r="K67"/>
      <c r="L67"/>
      <c r="M67"/>
      <c r="N67"/>
      <c r="O67"/>
      <c r="P67"/>
      <c r="Q67"/>
      <c r="R67"/>
    </row>
    <row r="68" spans="1:18" ht="14.4" x14ac:dyDescent="0.3">
      <c r="A68"/>
      <c r="B68"/>
      <c r="C68"/>
      <c r="D68" s="446" t="s">
        <v>901</v>
      </c>
      <c r="E68"/>
      <c r="F68"/>
      <c r="G68"/>
      <c r="H68" s="198"/>
      <c r="I68"/>
      <c r="J68"/>
      <c r="K68"/>
      <c r="L68"/>
      <c r="M68"/>
      <c r="N68"/>
      <c r="O68"/>
      <c r="P68"/>
      <c r="Q68"/>
      <c r="R68"/>
    </row>
    <row r="69" spans="1:18" ht="14.4" x14ac:dyDescent="0.3">
      <c r="A69"/>
      <c r="B69"/>
      <c r="C69"/>
      <c r="D69" s="446" t="s">
        <v>902</v>
      </c>
      <c r="E69"/>
      <c r="F69"/>
      <c r="G69"/>
      <c r="H69" s="198"/>
      <c r="I69"/>
      <c r="J69"/>
      <c r="K69"/>
      <c r="L69"/>
      <c r="M69"/>
      <c r="N69"/>
      <c r="O69"/>
      <c r="P69"/>
      <c r="Q69"/>
      <c r="R69"/>
    </row>
    <row r="70" spans="1:18" ht="14.4" x14ac:dyDescent="0.3">
      <c r="A70"/>
      <c r="B70"/>
      <c r="C70"/>
      <c r="D70" s="446" t="s">
        <v>929</v>
      </c>
      <c r="E70"/>
      <c r="F70"/>
      <c r="G70"/>
      <c r="H70" s="198"/>
      <c r="I70"/>
      <c r="J70"/>
      <c r="K70"/>
      <c r="L70"/>
      <c r="M70"/>
      <c r="N70"/>
      <c r="O70"/>
      <c r="P70"/>
      <c r="Q70"/>
      <c r="R70"/>
    </row>
    <row r="71" spans="1:18" ht="14.4" x14ac:dyDescent="0.3">
      <c r="A71"/>
      <c r="B71"/>
      <c r="C71"/>
      <c r="D71" s="446"/>
      <c r="E71"/>
      <c r="F71"/>
      <c r="G71"/>
      <c r="H71"/>
      <c r="I71"/>
      <c r="J71"/>
      <c r="K71"/>
      <c r="L71"/>
      <c r="M71"/>
      <c r="N71"/>
      <c r="O71"/>
      <c r="P71"/>
      <c r="Q71"/>
      <c r="R71"/>
    </row>
    <row r="72" spans="1:18" ht="14.4" x14ac:dyDescent="0.3">
      <c r="A72"/>
      <c r="B72"/>
      <c r="C72"/>
      <c r="D72" s="446"/>
      <c r="E72"/>
      <c r="F72"/>
      <c r="G72"/>
      <c r="H72"/>
      <c r="I72"/>
      <c r="J72"/>
      <c r="K72"/>
      <c r="L72"/>
      <c r="M72"/>
      <c r="N72"/>
      <c r="O72"/>
      <c r="P72"/>
      <c r="Q72"/>
      <c r="R72"/>
    </row>
    <row r="73" spans="1:18" ht="14.4" x14ac:dyDescent="0.3">
      <c r="A73"/>
      <c r="B73"/>
      <c r="C73"/>
      <c r="D73" s="446"/>
      <c r="E73"/>
      <c r="F73"/>
      <c r="G73"/>
      <c r="H73"/>
      <c r="I73"/>
      <c r="J73"/>
      <c r="K73"/>
      <c r="L73"/>
      <c r="M73"/>
      <c r="N73"/>
      <c r="O73"/>
      <c r="P73"/>
      <c r="Q73"/>
      <c r="R73"/>
    </row>
    <row r="74" spans="1:18" ht="14.4" x14ac:dyDescent="0.3">
      <c r="A74"/>
      <c r="B74"/>
      <c r="C74"/>
      <c r="D74" s="445"/>
      <c r="E74"/>
      <c r="F74"/>
      <c r="G74"/>
      <c r="H74"/>
      <c r="I74"/>
      <c r="J74"/>
      <c r="K74"/>
      <c r="L74"/>
      <c r="M74"/>
      <c r="N74"/>
      <c r="O74"/>
      <c r="P74"/>
      <c r="Q74"/>
      <c r="R74"/>
    </row>
    <row r="75" spans="1:18" ht="14.4" x14ac:dyDescent="0.3">
      <c r="A75"/>
      <c r="B75"/>
      <c r="C75"/>
      <c r="D75" s="445"/>
      <c r="E75"/>
      <c r="F75"/>
      <c r="G75"/>
      <c r="H75"/>
      <c r="I75"/>
      <c r="J75"/>
      <c r="K75"/>
      <c r="L75"/>
      <c r="M75"/>
      <c r="N75"/>
      <c r="O75"/>
      <c r="P75"/>
      <c r="Q75"/>
      <c r="R75"/>
    </row>
    <row r="76" spans="1:18" ht="14.4" x14ac:dyDescent="0.3">
      <c r="A76"/>
      <c r="B76"/>
      <c r="C76"/>
      <c r="D76" s="445"/>
      <c r="E76"/>
      <c r="F76"/>
      <c r="G76"/>
      <c r="H76"/>
      <c r="I76"/>
      <c r="J76"/>
      <c r="K76"/>
      <c r="L76"/>
      <c r="M76"/>
      <c r="N76"/>
      <c r="O76"/>
      <c r="P76"/>
      <c r="Q76"/>
      <c r="R76"/>
    </row>
    <row r="77" spans="1:18" ht="14.4" x14ac:dyDescent="0.3">
      <c r="A77"/>
      <c r="B77"/>
      <c r="C77"/>
      <c r="D77" s="445"/>
      <c r="E77"/>
      <c r="F77"/>
      <c r="G77"/>
      <c r="H77"/>
      <c r="I77"/>
      <c r="J77"/>
      <c r="K77"/>
      <c r="L77"/>
      <c r="M77"/>
      <c r="N77"/>
      <c r="O77"/>
      <c r="P77"/>
      <c r="Q77"/>
      <c r="R77"/>
    </row>
    <row r="78" spans="1:18" ht="14.4" x14ac:dyDescent="0.3">
      <c r="A78"/>
      <c r="B78"/>
      <c r="C78"/>
      <c r="D78" s="445"/>
      <c r="E78"/>
      <c r="F78"/>
      <c r="G78"/>
      <c r="H78"/>
      <c r="I78"/>
      <c r="J78"/>
      <c r="K78"/>
      <c r="L78"/>
      <c r="M78"/>
      <c r="N78"/>
      <c r="O78"/>
      <c r="P78"/>
      <c r="Q78"/>
      <c r="R78"/>
    </row>
    <row r="79" spans="1:18" ht="14.4" x14ac:dyDescent="0.3">
      <c r="A79"/>
      <c r="B79"/>
      <c r="C79"/>
      <c r="D79" s="445"/>
      <c r="E79"/>
      <c r="F79"/>
      <c r="G79"/>
      <c r="H79"/>
      <c r="I79"/>
      <c r="J79"/>
      <c r="K79"/>
      <c r="L79"/>
      <c r="M79"/>
      <c r="N79"/>
      <c r="O79"/>
      <c r="P79"/>
      <c r="Q79"/>
      <c r="R79"/>
    </row>
    <row r="80" spans="1:18" ht="14.4" x14ac:dyDescent="0.3">
      <c r="A80"/>
      <c r="B80"/>
      <c r="C80"/>
      <c r="D80" s="445"/>
      <c r="E80"/>
      <c r="F80"/>
      <c r="G80"/>
      <c r="H80"/>
      <c r="I80"/>
      <c r="J80"/>
      <c r="K80"/>
      <c r="L80"/>
      <c r="M80"/>
      <c r="N80"/>
      <c r="O80"/>
      <c r="P80"/>
      <c r="Q80"/>
      <c r="R80"/>
    </row>
    <row r="81" spans="1:18" ht="14.4" x14ac:dyDescent="0.3">
      <c r="A81"/>
      <c r="B81"/>
      <c r="C81"/>
      <c r="D81" s="444"/>
      <c r="E81"/>
      <c r="F81"/>
      <c r="G81"/>
      <c r="H81"/>
      <c r="I81"/>
      <c r="J81"/>
      <c r="K81"/>
      <c r="L81"/>
      <c r="M81"/>
      <c r="N81"/>
      <c r="O81"/>
      <c r="P81"/>
      <c r="Q81"/>
      <c r="R81"/>
    </row>
    <row r="82" spans="1:18" ht="14.4" x14ac:dyDescent="0.3">
      <c r="A82"/>
      <c r="B82"/>
      <c r="C82"/>
      <c r="D82" s="446" t="s">
        <v>903</v>
      </c>
      <c r="E82"/>
      <c r="F82"/>
      <c r="G82"/>
      <c r="H82"/>
      <c r="I82"/>
      <c r="J82"/>
      <c r="K82"/>
      <c r="L82"/>
      <c r="M82"/>
      <c r="N82"/>
      <c r="O82"/>
      <c r="P82"/>
      <c r="Q82"/>
      <c r="R82"/>
    </row>
    <row r="83" spans="1:18" ht="14.4" x14ac:dyDescent="0.3">
      <c r="A83"/>
      <c r="B83"/>
      <c r="C83"/>
      <c r="D83" s="446" t="s">
        <v>904</v>
      </c>
      <c r="E83"/>
      <c r="F83"/>
      <c r="G83"/>
      <c r="H83"/>
      <c r="I83"/>
      <c r="J83"/>
      <c r="K83"/>
      <c r="L83"/>
      <c r="M83"/>
      <c r="N83"/>
      <c r="O83"/>
      <c r="P83"/>
      <c r="Q83"/>
      <c r="R83"/>
    </row>
    <row r="84" spans="1:18" ht="14.4" x14ac:dyDescent="0.3">
      <c r="A84"/>
      <c r="B84"/>
      <c r="C84"/>
      <c r="D84" s="446" t="s">
        <v>905</v>
      </c>
      <c r="E84"/>
      <c r="F84"/>
      <c r="G84"/>
      <c r="H84"/>
      <c r="I84"/>
      <c r="J84"/>
      <c r="K84"/>
      <c r="L84"/>
      <c r="M84"/>
      <c r="N84"/>
      <c r="O84"/>
      <c r="P84"/>
      <c r="Q84"/>
      <c r="R84"/>
    </row>
    <row r="85" spans="1:18" ht="14.4" x14ac:dyDescent="0.3">
      <c r="A85"/>
      <c r="B85"/>
      <c r="C85"/>
      <c r="D85" s="446" t="s">
        <v>906</v>
      </c>
      <c r="E85"/>
      <c r="F85"/>
      <c r="G85"/>
      <c r="H85"/>
      <c r="I85"/>
      <c r="J85"/>
      <c r="K85"/>
      <c r="L85"/>
      <c r="M85"/>
      <c r="N85"/>
      <c r="O85"/>
      <c r="P85"/>
      <c r="Q85"/>
      <c r="R85"/>
    </row>
    <row r="86" spans="1:18" ht="14.4" x14ac:dyDescent="0.3">
      <c r="A86"/>
      <c r="B86"/>
      <c r="C86"/>
      <c r="D86" s="446"/>
      <c r="E86"/>
      <c r="F86"/>
      <c r="G86"/>
      <c r="H86"/>
      <c r="I86"/>
      <c r="J86"/>
      <c r="K86"/>
      <c r="L86"/>
      <c r="M86"/>
      <c r="N86"/>
      <c r="O86"/>
      <c r="P86"/>
      <c r="Q86"/>
      <c r="R86"/>
    </row>
    <row r="87" spans="1:18" ht="14.4" x14ac:dyDescent="0.3">
      <c r="A87"/>
      <c r="B87"/>
      <c r="C87"/>
      <c r="D87" s="446"/>
      <c r="E87"/>
      <c r="F87"/>
      <c r="G87"/>
      <c r="H87"/>
      <c r="I87"/>
      <c r="J87"/>
      <c r="K87"/>
      <c r="L87"/>
      <c r="M87"/>
      <c r="N87"/>
      <c r="O87"/>
      <c r="P87"/>
      <c r="Q87"/>
      <c r="R87"/>
    </row>
    <row r="88" spans="1:18" ht="14.4" x14ac:dyDescent="0.3">
      <c r="A88"/>
      <c r="B88"/>
      <c r="C88"/>
      <c r="D88" s="446"/>
      <c r="E88"/>
      <c r="F88"/>
      <c r="G88"/>
      <c r="H88"/>
      <c r="I88"/>
      <c r="J88"/>
      <c r="K88"/>
      <c r="L88"/>
      <c r="M88"/>
      <c r="N88"/>
      <c r="O88"/>
      <c r="P88"/>
      <c r="Q88"/>
      <c r="R88"/>
    </row>
    <row r="89" spans="1:18" ht="14.4" x14ac:dyDescent="0.3">
      <c r="A89"/>
      <c r="B89"/>
      <c r="C89"/>
      <c r="D89" s="446"/>
      <c r="E89"/>
      <c r="F89"/>
      <c r="G89"/>
      <c r="H89"/>
      <c r="I89"/>
      <c r="J89"/>
      <c r="K89"/>
      <c r="L89"/>
      <c r="M89"/>
      <c r="N89"/>
      <c r="O89"/>
      <c r="P89"/>
      <c r="Q89"/>
      <c r="R89"/>
    </row>
    <row r="90" spans="1:18" ht="14.4" x14ac:dyDescent="0.3">
      <c r="A90"/>
      <c r="B90"/>
      <c r="C90"/>
      <c r="D90" s="445"/>
      <c r="E90"/>
      <c r="F90"/>
      <c r="G90"/>
      <c r="H90"/>
      <c r="I90"/>
      <c r="J90"/>
      <c r="K90"/>
      <c r="L90"/>
      <c r="M90"/>
      <c r="N90"/>
      <c r="O90"/>
      <c r="P90"/>
      <c r="Q90"/>
      <c r="R90"/>
    </row>
    <row r="91" spans="1:18" ht="14.4" x14ac:dyDescent="0.3">
      <c r="A91"/>
      <c r="B91"/>
      <c r="C91"/>
      <c r="D91" s="445"/>
      <c r="E91"/>
      <c r="F91"/>
      <c r="G91"/>
      <c r="H91"/>
      <c r="I91"/>
      <c r="J91"/>
      <c r="K91"/>
      <c r="L91"/>
      <c r="M91"/>
      <c r="N91"/>
      <c r="O91"/>
      <c r="P91"/>
      <c r="Q91"/>
      <c r="R91"/>
    </row>
    <row r="92" spans="1:18" ht="14.4" x14ac:dyDescent="0.3">
      <c r="A92"/>
      <c r="B92"/>
      <c r="C92"/>
      <c r="D92" s="445"/>
      <c r="E92"/>
      <c r="F92"/>
      <c r="G92"/>
      <c r="H92"/>
      <c r="I92"/>
      <c r="J92"/>
      <c r="K92"/>
      <c r="L92"/>
      <c r="M92"/>
      <c r="N92"/>
      <c r="O92"/>
      <c r="P92"/>
      <c r="Q92"/>
      <c r="R92"/>
    </row>
    <row r="93" spans="1:18" ht="14.4" x14ac:dyDescent="0.3">
      <c r="A93"/>
      <c r="B93"/>
      <c r="C93"/>
      <c r="D93" s="445"/>
      <c r="E93"/>
      <c r="F93"/>
      <c r="G93"/>
      <c r="H93"/>
      <c r="I93"/>
      <c r="J93"/>
      <c r="K93"/>
      <c r="L93"/>
      <c r="M93"/>
      <c r="N93"/>
      <c r="O93"/>
      <c r="P93"/>
      <c r="Q93"/>
      <c r="R93"/>
    </row>
    <row r="94" spans="1:18" ht="14.4" x14ac:dyDescent="0.3">
      <c r="A94"/>
      <c r="B94"/>
      <c r="C94"/>
      <c r="D94" s="445"/>
      <c r="E94"/>
      <c r="F94"/>
      <c r="G94"/>
      <c r="H94"/>
      <c r="I94"/>
      <c r="J94"/>
      <c r="K94"/>
      <c r="L94"/>
      <c r="M94"/>
      <c r="N94"/>
      <c r="O94"/>
      <c r="P94"/>
      <c r="Q94"/>
      <c r="R94"/>
    </row>
    <row r="95" spans="1:18" ht="14.4" x14ac:dyDescent="0.3">
      <c r="A95"/>
      <c r="B95"/>
      <c r="C95"/>
      <c r="D95" s="445"/>
      <c r="E95"/>
      <c r="F95"/>
      <c r="G95"/>
      <c r="H95"/>
      <c r="I95"/>
      <c r="J95"/>
      <c r="K95"/>
      <c r="L95"/>
      <c r="M95"/>
      <c r="N95"/>
      <c r="O95"/>
      <c r="P95"/>
      <c r="Q95"/>
      <c r="R95"/>
    </row>
    <row r="96" spans="1:18" ht="14.4" x14ac:dyDescent="0.3">
      <c r="A96"/>
      <c r="B96"/>
      <c r="C96"/>
      <c r="D96" s="445"/>
      <c r="E96"/>
      <c r="F96"/>
      <c r="G96"/>
      <c r="H96"/>
      <c r="I96"/>
      <c r="J96"/>
      <c r="K96"/>
      <c r="L96"/>
      <c r="M96"/>
      <c r="N96"/>
      <c r="O96"/>
      <c r="P96"/>
      <c r="Q96"/>
      <c r="R96"/>
    </row>
    <row r="97" spans="1:18" ht="14.4" x14ac:dyDescent="0.3">
      <c r="A97"/>
      <c r="B97"/>
      <c r="C97"/>
      <c r="D97" s="445"/>
      <c r="E97"/>
      <c r="F97"/>
      <c r="G97"/>
      <c r="H97"/>
      <c r="I97"/>
      <c r="J97"/>
      <c r="K97"/>
      <c r="L97"/>
      <c r="M97"/>
      <c r="N97"/>
      <c r="O97"/>
      <c r="P97"/>
      <c r="Q97"/>
      <c r="R97"/>
    </row>
    <row r="98" spans="1:18" ht="14.4" x14ac:dyDescent="0.3">
      <c r="A98"/>
      <c r="B98"/>
      <c r="C98"/>
      <c r="D98" s="445"/>
      <c r="E98"/>
      <c r="F98"/>
      <c r="G98"/>
      <c r="H98"/>
      <c r="I98"/>
      <c r="J98"/>
      <c r="K98"/>
      <c r="L98"/>
      <c r="M98"/>
      <c r="N98"/>
      <c r="O98"/>
      <c r="P98"/>
      <c r="Q98"/>
      <c r="R98"/>
    </row>
    <row r="99" spans="1:18" ht="14.4" x14ac:dyDescent="0.3">
      <c r="A99"/>
      <c r="B99"/>
      <c r="C99"/>
      <c r="D99" s="446"/>
      <c r="E99"/>
      <c r="F99"/>
      <c r="G99"/>
      <c r="H99"/>
      <c r="I99"/>
      <c r="J99"/>
      <c r="K99"/>
      <c r="L99"/>
      <c r="M99"/>
      <c r="N99"/>
      <c r="O99"/>
      <c r="P99"/>
      <c r="Q99"/>
      <c r="R99"/>
    </row>
    <row r="100" spans="1:18" ht="14.4" x14ac:dyDescent="0.3">
      <c r="A100"/>
      <c r="B100"/>
      <c r="C100"/>
      <c r="D100" s="446"/>
      <c r="E100"/>
      <c r="F100"/>
      <c r="G100"/>
      <c r="H100"/>
      <c r="I100"/>
      <c r="J100"/>
      <c r="K100"/>
      <c r="L100"/>
      <c r="M100"/>
      <c r="N100"/>
      <c r="O100"/>
      <c r="P100"/>
      <c r="Q100"/>
      <c r="R100"/>
    </row>
    <row r="101" spans="1:18" ht="14.4" x14ac:dyDescent="0.3">
      <c r="A101"/>
      <c r="B101"/>
      <c r="C101"/>
      <c r="D101"/>
      <c r="E101"/>
      <c r="F101"/>
      <c r="G101"/>
      <c r="H101"/>
      <c r="I101"/>
      <c r="J101"/>
      <c r="K101"/>
      <c r="L101"/>
      <c r="M101"/>
      <c r="N101"/>
      <c r="O101"/>
      <c r="P101"/>
      <c r="Q101"/>
      <c r="R101"/>
    </row>
    <row r="102" spans="1:18" ht="14.4" x14ac:dyDescent="0.3">
      <c r="A102"/>
      <c r="B102"/>
      <c r="C102"/>
      <c r="D102"/>
      <c r="E102"/>
      <c r="F102"/>
      <c r="G102"/>
      <c r="H102"/>
      <c r="I102"/>
      <c r="J102"/>
      <c r="K102"/>
      <c r="L102"/>
      <c r="M102"/>
      <c r="N102"/>
      <c r="O102"/>
      <c r="P102"/>
      <c r="Q102"/>
      <c r="R102"/>
    </row>
    <row r="123" spans="2:2" x14ac:dyDescent="0.2">
      <c r="B123" s="271" t="s">
        <v>397</v>
      </c>
    </row>
    <row r="159" spans="3:4" ht="10.8" thickBot="1" x14ac:dyDescent="0.25">
      <c r="C159" s="390" t="s">
        <v>733</v>
      </c>
      <c r="D159" s="389"/>
    </row>
    <row r="160" spans="3:4" ht="15" customHeight="1" x14ac:dyDescent="0.2">
      <c r="C160" s="388" t="s">
        <v>732</v>
      </c>
      <c r="D160" s="387" t="s">
        <v>731</v>
      </c>
    </row>
    <row r="161" spans="3:4" ht="15" customHeight="1" x14ac:dyDescent="0.2">
      <c r="C161" s="386" t="s">
        <v>730</v>
      </c>
      <c r="D161" s="382" t="s">
        <v>729</v>
      </c>
    </row>
    <row r="162" spans="3:4" ht="15" customHeight="1" x14ac:dyDescent="0.2">
      <c r="C162" s="385" t="s">
        <v>728</v>
      </c>
      <c r="D162" s="382" t="s">
        <v>727</v>
      </c>
    </row>
    <row r="163" spans="3:4" ht="15" customHeight="1" x14ac:dyDescent="0.2">
      <c r="C163" s="384" t="s">
        <v>726</v>
      </c>
      <c r="D163" s="382" t="s">
        <v>725</v>
      </c>
    </row>
    <row r="164" spans="3:4" ht="15" customHeight="1" x14ac:dyDescent="0.2">
      <c r="C164" s="383" t="s">
        <v>724</v>
      </c>
      <c r="D164" s="382" t="s">
        <v>723</v>
      </c>
    </row>
  </sheetData>
  <pageMargins left="0.511811024" right="0.511811024" top="0.78740157499999996" bottom="0.78740157499999996" header="0.31496062000000002" footer="0.31496062000000002"/>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13111-82FD-4B0F-A999-0899F7B1BEF1}">
  <sheetPr codeName="Planilha7">
    <tabColor rgb="FFEADB2B"/>
  </sheetPr>
  <dimension ref="A2:AV24"/>
  <sheetViews>
    <sheetView zoomScale="90" zoomScaleNormal="90" workbookViewId="0">
      <selection activeCell="Z33" sqref="Z33"/>
    </sheetView>
  </sheetViews>
  <sheetFormatPr defaultColWidth="8.88671875" defaultRowHeight="14.4" x14ac:dyDescent="0.3"/>
  <cols>
    <col min="1" max="1" width="18.88671875" style="106" bestFit="1" customWidth="1"/>
    <col min="2" max="2" width="14" style="130" bestFit="1" customWidth="1"/>
    <col min="3" max="3" width="2.6640625" style="106" customWidth="1"/>
    <col min="4" max="4" width="20.109375" style="106" customWidth="1"/>
    <col min="5" max="5" width="2.44140625" style="106" customWidth="1"/>
    <col min="6" max="6" width="18.6640625" style="106" bestFit="1" customWidth="1"/>
    <col min="7" max="24" width="9.5546875" style="115" customWidth="1"/>
    <col min="25" max="16384" width="8.88671875" style="106"/>
  </cols>
  <sheetData>
    <row r="2" spans="1:48" x14ac:dyDescent="0.3">
      <c r="A2" s="103" t="s">
        <v>187</v>
      </c>
      <c r="B2" s="104">
        <v>0.14000000000000001</v>
      </c>
      <c r="C2" s="105"/>
      <c r="F2" s="103" t="s">
        <v>188</v>
      </c>
      <c r="G2" s="107">
        <v>1</v>
      </c>
      <c r="H2" s="107">
        <v>2</v>
      </c>
      <c r="I2" s="107">
        <v>3</v>
      </c>
      <c r="J2" s="107">
        <v>4</v>
      </c>
      <c r="K2" s="107">
        <v>5</v>
      </c>
      <c r="L2" s="107">
        <v>6</v>
      </c>
      <c r="M2" s="107">
        <v>7</v>
      </c>
      <c r="N2" s="107">
        <v>8</v>
      </c>
      <c r="O2" s="107">
        <v>9</v>
      </c>
      <c r="P2" s="107">
        <v>10</v>
      </c>
      <c r="Q2" s="107">
        <v>11</v>
      </c>
      <c r="R2" s="107">
        <v>12</v>
      </c>
      <c r="S2" s="107">
        <v>13</v>
      </c>
      <c r="T2" s="107">
        <v>14</v>
      </c>
      <c r="U2" s="107">
        <v>15</v>
      </c>
      <c r="V2" s="107">
        <v>16</v>
      </c>
      <c r="W2" s="107">
        <v>17</v>
      </c>
      <c r="X2" s="107">
        <v>18</v>
      </c>
      <c r="Y2" s="107">
        <v>19</v>
      </c>
      <c r="Z2" s="107">
        <v>20</v>
      </c>
      <c r="AA2" s="107">
        <v>21</v>
      </c>
      <c r="AB2" s="107">
        <v>22</v>
      </c>
      <c r="AC2" s="107">
        <v>23</v>
      </c>
      <c r="AD2" s="107">
        <v>24</v>
      </c>
      <c r="AE2" s="107">
        <v>25</v>
      </c>
      <c r="AF2" s="107">
        <v>26</v>
      </c>
      <c r="AG2" s="107">
        <v>27</v>
      </c>
      <c r="AH2" s="107">
        <v>28</v>
      </c>
      <c r="AI2" s="107">
        <v>29</v>
      </c>
      <c r="AJ2" s="107">
        <v>30</v>
      </c>
      <c r="AK2" s="107">
        <v>31</v>
      </c>
      <c r="AL2" s="107">
        <v>32</v>
      </c>
      <c r="AM2" s="107">
        <v>33</v>
      </c>
      <c r="AN2" s="107">
        <v>34</v>
      </c>
      <c r="AO2" s="107">
        <v>35</v>
      </c>
      <c r="AP2" s="107">
        <v>36</v>
      </c>
      <c r="AQ2" s="107">
        <v>37</v>
      </c>
      <c r="AR2" s="107">
        <v>38</v>
      </c>
      <c r="AS2" s="107">
        <v>39</v>
      </c>
      <c r="AT2" s="107">
        <v>40</v>
      </c>
      <c r="AU2" s="107">
        <v>41</v>
      </c>
      <c r="AV2" s="107">
        <v>42</v>
      </c>
    </row>
    <row r="3" spans="1:48" x14ac:dyDescent="0.3">
      <c r="A3" s="103" t="s">
        <v>189</v>
      </c>
      <c r="B3" s="108">
        <f>(1+B2)^(1/12)-1</f>
        <v>1.0978851950173452E-2</v>
      </c>
      <c r="C3" s="109"/>
      <c r="F3" s="110" t="s">
        <v>190</v>
      </c>
      <c r="G3" s="111">
        <f>100/6/100</f>
        <v>0.16666666666666669</v>
      </c>
      <c r="H3" s="111">
        <f t="shared" ref="H3:L3" si="0">100/6/100</f>
        <v>0.16666666666666669</v>
      </c>
      <c r="I3" s="111">
        <f t="shared" si="0"/>
        <v>0.16666666666666669</v>
      </c>
      <c r="J3" s="111">
        <f t="shared" si="0"/>
        <v>0.16666666666666669</v>
      </c>
      <c r="K3" s="111">
        <f t="shared" si="0"/>
        <v>0.16666666666666669</v>
      </c>
      <c r="L3" s="111">
        <f t="shared" si="0"/>
        <v>0.16666666666666669</v>
      </c>
      <c r="M3" s="112">
        <v>0</v>
      </c>
      <c r="N3" s="112">
        <v>0</v>
      </c>
      <c r="O3" s="112">
        <v>0</v>
      </c>
      <c r="P3" s="112">
        <v>0</v>
      </c>
      <c r="Q3" s="112">
        <v>0</v>
      </c>
      <c r="R3" s="112">
        <v>0</v>
      </c>
      <c r="S3" s="112">
        <v>0</v>
      </c>
      <c r="T3" s="112">
        <v>0</v>
      </c>
      <c r="U3" s="112">
        <v>0</v>
      </c>
      <c r="V3" s="112">
        <v>0</v>
      </c>
      <c r="W3" s="112">
        <v>0</v>
      </c>
      <c r="X3" s="112">
        <v>0</v>
      </c>
      <c r="Y3" s="112">
        <v>0</v>
      </c>
      <c r="Z3" s="112">
        <v>0</v>
      </c>
      <c r="AA3" s="112">
        <v>0</v>
      </c>
      <c r="AB3" s="112">
        <v>0</v>
      </c>
      <c r="AC3" s="112">
        <v>0</v>
      </c>
      <c r="AD3" s="112">
        <v>0</v>
      </c>
      <c r="AE3" s="112">
        <v>0</v>
      </c>
      <c r="AF3" s="112">
        <v>0</v>
      </c>
      <c r="AG3" s="112">
        <v>0</v>
      </c>
      <c r="AH3" s="112">
        <v>0</v>
      </c>
      <c r="AI3" s="112">
        <v>0</v>
      </c>
      <c r="AJ3" s="112">
        <v>0</v>
      </c>
      <c r="AK3" s="112">
        <v>0</v>
      </c>
      <c r="AL3" s="112">
        <v>0</v>
      </c>
      <c r="AM3" s="112">
        <v>0</v>
      </c>
      <c r="AN3" s="112">
        <v>0</v>
      </c>
      <c r="AO3" s="112">
        <v>0</v>
      </c>
      <c r="AP3" s="112">
        <v>0</v>
      </c>
      <c r="AQ3" s="112">
        <v>0</v>
      </c>
      <c r="AR3" s="112">
        <v>0</v>
      </c>
      <c r="AS3" s="112">
        <v>0</v>
      </c>
      <c r="AT3" s="112">
        <v>0</v>
      </c>
      <c r="AU3" s="112">
        <v>0</v>
      </c>
      <c r="AV3" s="112">
        <v>0</v>
      </c>
    </row>
    <row r="4" spans="1:48" x14ac:dyDescent="0.3">
      <c r="B4" s="113"/>
      <c r="C4" s="114"/>
      <c r="D4" s="115"/>
      <c r="F4" s="103" t="s">
        <v>191</v>
      </c>
      <c r="G4" s="116">
        <f t="shared" ref="G4:L4" si="1">($B$5/1000)*G3</f>
        <v>24.283333333333335</v>
      </c>
      <c r="H4" s="116">
        <f t="shared" si="1"/>
        <v>24.283333333333335</v>
      </c>
      <c r="I4" s="116">
        <f t="shared" si="1"/>
        <v>24.283333333333335</v>
      </c>
      <c r="J4" s="116">
        <f t="shared" si="1"/>
        <v>24.283333333333335</v>
      </c>
      <c r="K4" s="116">
        <f t="shared" si="1"/>
        <v>24.283333333333335</v>
      </c>
      <c r="L4" s="116">
        <f t="shared" si="1"/>
        <v>24.283333333333335</v>
      </c>
      <c r="M4" s="117">
        <f t="shared" ref="M4" si="2">$B$7/1000</f>
        <v>3.2250000000000001</v>
      </c>
      <c r="N4" s="116">
        <f>M4</f>
        <v>3.2250000000000001</v>
      </c>
      <c r="O4" s="116">
        <f t="shared" ref="O4:AV4" si="3">N4</f>
        <v>3.2250000000000001</v>
      </c>
      <c r="P4" s="116">
        <f t="shared" si="3"/>
        <v>3.2250000000000001</v>
      </c>
      <c r="Q4" s="116">
        <f t="shared" si="3"/>
        <v>3.2250000000000001</v>
      </c>
      <c r="R4" s="116">
        <f t="shared" si="3"/>
        <v>3.2250000000000001</v>
      </c>
      <c r="S4" s="116">
        <f t="shared" si="3"/>
        <v>3.2250000000000001</v>
      </c>
      <c r="T4" s="116">
        <f t="shared" si="3"/>
        <v>3.2250000000000001</v>
      </c>
      <c r="U4" s="116">
        <f t="shared" si="3"/>
        <v>3.2250000000000001</v>
      </c>
      <c r="V4" s="116">
        <f t="shared" si="3"/>
        <v>3.2250000000000001</v>
      </c>
      <c r="W4" s="116">
        <f t="shared" si="3"/>
        <v>3.2250000000000001</v>
      </c>
      <c r="X4" s="116">
        <f t="shared" si="3"/>
        <v>3.2250000000000001</v>
      </c>
      <c r="Y4" s="116">
        <f t="shared" si="3"/>
        <v>3.2250000000000001</v>
      </c>
      <c r="Z4" s="116">
        <f t="shared" si="3"/>
        <v>3.2250000000000001</v>
      </c>
      <c r="AA4" s="116">
        <f t="shared" si="3"/>
        <v>3.2250000000000001</v>
      </c>
      <c r="AB4" s="116">
        <f t="shared" si="3"/>
        <v>3.2250000000000001</v>
      </c>
      <c r="AC4" s="116">
        <f t="shared" si="3"/>
        <v>3.2250000000000001</v>
      </c>
      <c r="AD4" s="116">
        <f t="shared" si="3"/>
        <v>3.2250000000000001</v>
      </c>
      <c r="AE4" s="116">
        <f t="shared" si="3"/>
        <v>3.2250000000000001</v>
      </c>
      <c r="AF4" s="116">
        <f t="shared" si="3"/>
        <v>3.2250000000000001</v>
      </c>
      <c r="AG4" s="116">
        <f t="shared" si="3"/>
        <v>3.2250000000000001</v>
      </c>
      <c r="AH4" s="116">
        <f t="shared" si="3"/>
        <v>3.2250000000000001</v>
      </c>
      <c r="AI4" s="116">
        <f t="shared" si="3"/>
        <v>3.2250000000000001</v>
      </c>
      <c r="AJ4" s="116">
        <f t="shared" si="3"/>
        <v>3.2250000000000001</v>
      </c>
      <c r="AK4" s="116">
        <f t="shared" si="3"/>
        <v>3.2250000000000001</v>
      </c>
      <c r="AL4" s="116">
        <f t="shared" si="3"/>
        <v>3.2250000000000001</v>
      </c>
      <c r="AM4" s="116">
        <f t="shared" si="3"/>
        <v>3.2250000000000001</v>
      </c>
      <c r="AN4" s="116">
        <f t="shared" si="3"/>
        <v>3.2250000000000001</v>
      </c>
      <c r="AO4" s="116">
        <f t="shared" si="3"/>
        <v>3.2250000000000001</v>
      </c>
      <c r="AP4" s="116">
        <f t="shared" si="3"/>
        <v>3.2250000000000001</v>
      </c>
      <c r="AQ4" s="116">
        <f t="shared" si="3"/>
        <v>3.2250000000000001</v>
      </c>
      <c r="AR4" s="116">
        <f t="shared" si="3"/>
        <v>3.2250000000000001</v>
      </c>
      <c r="AS4" s="116">
        <f t="shared" si="3"/>
        <v>3.2250000000000001</v>
      </c>
      <c r="AT4" s="116">
        <f t="shared" si="3"/>
        <v>3.2250000000000001</v>
      </c>
      <c r="AU4" s="116">
        <f t="shared" si="3"/>
        <v>3.2250000000000001</v>
      </c>
      <c r="AV4" s="116">
        <f t="shared" si="3"/>
        <v>3.2250000000000001</v>
      </c>
    </row>
    <row r="5" spans="1:48" x14ac:dyDescent="0.3">
      <c r="A5" s="103" t="s">
        <v>192</v>
      </c>
      <c r="B5" s="118">
        <v>145700</v>
      </c>
      <c r="C5" s="114"/>
      <c r="D5" s="115"/>
      <c r="F5" s="103" t="s">
        <v>193</v>
      </c>
      <c r="G5" s="116">
        <f>(IF(G2&gt;$B$11,$B$9,0))/1000</f>
        <v>0</v>
      </c>
      <c r="H5" s="116">
        <f>(IF(H2&gt;$D$8,$B$8,0)+IF(H2&gt;$B$11,$B$9,0))/1000</f>
        <v>0</v>
      </c>
      <c r="I5" s="116">
        <f>(IF(I2&gt;$D$8,$B$8,0)+IF(I2&gt;$B$11,$B$9,0))/1000</f>
        <v>0</v>
      </c>
      <c r="J5" s="116">
        <f>(IF(J2&gt;$D$8,$B$8,0)+IF(J2&gt;$B$11,$B$9,0))/1000</f>
        <v>0</v>
      </c>
      <c r="K5" s="116">
        <f>(IF(K2&gt;$D$8,$B$8,0)+IF(K2&gt;$B$11,$B$9,0))/1000</f>
        <v>0</v>
      </c>
      <c r="L5" s="116">
        <f>(IF(L2&gt;$D$8,$B$8,0)+IF(L2&gt;$B$11,$B$9,0))/1000</f>
        <v>0</v>
      </c>
      <c r="M5" s="116">
        <f>(IF(M2&gt;$B$11,$B$9,0))/1000</f>
        <v>13.416666666666666</v>
      </c>
      <c r="N5" s="116">
        <f t="shared" ref="N5:AV5" si="4">(IF(N2&gt;$B$11,$B$9,0))/1000</f>
        <v>13.416666666666666</v>
      </c>
      <c r="O5" s="116">
        <f t="shared" si="4"/>
        <v>13.416666666666666</v>
      </c>
      <c r="P5" s="116">
        <f t="shared" si="4"/>
        <v>13.416666666666666</v>
      </c>
      <c r="Q5" s="116">
        <f t="shared" si="4"/>
        <v>13.416666666666666</v>
      </c>
      <c r="R5" s="116">
        <f t="shared" si="4"/>
        <v>13.416666666666666</v>
      </c>
      <c r="S5" s="116">
        <f t="shared" si="4"/>
        <v>13.416666666666666</v>
      </c>
      <c r="T5" s="116">
        <f t="shared" si="4"/>
        <v>13.416666666666666</v>
      </c>
      <c r="U5" s="116">
        <f t="shared" si="4"/>
        <v>13.416666666666666</v>
      </c>
      <c r="V5" s="116">
        <f t="shared" si="4"/>
        <v>13.416666666666666</v>
      </c>
      <c r="W5" s="116">
        <f t="shared" si="4"/>
        <v>13.416666666666666</v>
      </c>
      <c r="X5" s="116">
        <f t="shared" si="4"/>
        <v>13.416666666666666</v>
      </c>
      <c r="Y5" s="116">
        <f t="shared" si="4"/>
        <v>13.416666666666666</v>
      </c>
      <c r="Z5" s="116">
        <f t="shared" si="4"/>
        <v>13.416666666666666</v>
      </c>
      <c r="AA5" s="116">
        <f t="shared" si="4"/>
        <v>13.416666666666666</v>
      </c>
      <c r="AB5" s="116">
        <f t="shared" si="4"/>
        <v>13.416666666666666</v>
      </c>
      <c r="AC5" s="116">
        <f t="shared" si="4"/>
        <v>13.416666666666666</v>
      </c>
      <c r="AD5" s="116">
        <f t="shared" si="4"/>
        <v>13.416666666666666</v>
      </c>
      <c r="AE5" s="116">
        <f t="shared" si="4"/>
        <v>13.416666666666666</v>
      </c>
      <c r="AF5" s="116">
        <f t="shared" si="4"/>
        <v>13.416666666666666</v>
      </c>
      <c r="AG5" s="116">
        <f t="shared" si="4"/>
        <v>13.416666666666666</v>
      </c>
      <c r="AH5" s="116">
        <f t="shared" si="4"/>
        <v>13.416666666666666</v>
      </c>
      <c r="AI5" s="116">
        <f t="shared" si="4"/>
        <v>13.416666666666666</v>
      </c>
      <c r="AJ5" s="116">
        <f t="shared" si="4"/>
        <v>13.416666666666666</v>
      </c>
      <c r="AK5" s="116">
        <f t="shared" si="4"/>
        <v>13.416666666666666</v>
      </c>
      <c r="AL5" s="116">
        <f t="shared" si="4"/>
        <v>13.416666666666666</v>
      </c>
      <c r="AM5" s="116">
        <f t="shared" si="4"/>
        <v>13.416666666666666</v>
      </c>
      <c r="AN5" s="116">
        <f t="shared" si="4"/>
        <v>13.416666666666666</v>
      </c>
      <c r="AO5" s="116">
        <f t="shared" si="4"/>
        <v>13.416666666666666</v>
      </c>
      <c r="AP5" s="116">
        <f t="shared" si="4"/>
        <v>13.416666666666666</v>
      </c>
      <c r="AQ5" s="116">
        <f t="shared" si="4"/>
        <v>13.416666666666666</v>
      </c>
      <c r="AR5" s="116">
        <f t="shared" si="4"/>
        <v>13.416666666666666</v>
      </c>
      <c r="AS5" s="116">
        <f t="shared" si="4"/>
        <v>13.416666666666666</v>
      </c>
      <c r="AT5" s="116">
        <f t="shared" si="4"/>
        <v>13.416666666666666</v>
      </c>
      <c r="AU5" s="116">
        <f t="shared" si="4"/>
        <v>13.416666666666666</v>
      </c>
      <c r="AV5" s="116">
        <f t="shared" si="4"/>
        <v>13.416666666666666</v>
      </c>
    </row>
    <row r="6" spans="1:48" x14ac:dyDescent="0.3">
      <c r="B6" s="113"/>
      <c r="C6" s="114"/>
      <c r="F6" s="103" t="s">
        <v>194</v>
      </c>
      <c r="G6" s="116">
        <f>G5-G4</f>
        <v>-24.283333333333335</v>
      </c>
      <c r="H6" s="116">
        <f t="shared" ref="H6:AV6" si="5">H5-H4</f>
        <v>-24.283333333333335</v>
      </c>
      <c r="I6" s="116">
        <f t="shared" si="5"/>
        <v>-24.283333333333335</v>
      </c>
      <c r="J6" s="116">
        <f t="shared" si="5"/>
        <v>-24.283333333333335</v>
      </c>
      <c r="K6" s="116">
        <f t="shared" si="5"/>
        <v>-24.283333333333335</v>
      </c>
      <c r="L6" s="116">
        <f t="shared" si="5"/>
        <v>-24.283333333333335</v>
      </c>
      <c r="M6" s="116">
        <f t="shared" si="5"/>
        <v>10.191666666666666</v>
      </c>
      <c r="N6" s="116">
        <f t="shared" si="5"/>
        <v>10.191666666666666</v>
      </c>
      <c r="O6" s="116">
        <f t="shared" si="5"/>
        <v>10.191666666666666</v>
      </c>
      <c r="P6" s="116">
        <f t="shared" si="5"/>
        <v>10.191666666666666</v>
      </c>
      <c r="Q6" s="116">
        <f t="shared" si="5"/>
        <v>10.191666666666666</v>
      </c>
      <c r="R6" s="116">
        <f t="shared" si="5"/>
        <v>10.191666666666666</v>
      </c>
      <c r="S6" s="116">
        <f t="shared" si="5"/>
        <v>10.191666666666666</v>
      </c>
      <c r="T6" s="116">
        <f t="shared" si="5"/>
        <v>10.191666666666666</v>
      </c>
      <c r="U6" s="116">
        <f t="shared" si="5"/>
        <v>10.191666666666666</v>
      </c>
      <c r="V6" s="116">
        <f t="shared" si="5"/>
        <v>10.191666666666666</v>
      </c>
      <c r="W6" s="116">
        <f t="shared" si="5"/>
        <v>10.191666666666666</v>
      </c>
      <c r="X6" s="116">
        <f t="shared" si="5"/>
        <v>10.191666666666666</v>
      </c>
      <c r="Y6" s="116">
        <f t="shared" si="5"/>
        <v>10.191666666666666</v>
      </c>
      <c r="Z6" s="116">
        <f t="shared" si="5"/>
        <v>10.191666666666666</v>
      </c>
      <c r="AA6" s="116">
        <f t="shared" si="5"/>
        <v>10.191666666666666</v>
      </c>
      <c r="AB6" s="116">
        <f t="shared" si="5"/>
        <v>10.191666666666666</v>
      </c>
      <c r="AC6" s="116">
        <f t="shared" si="5"/>
        <v>10.191666666666666</v>
      </c>
      <c r="AD6" s="116">
        <f t="shared" si="5"/>
        <v>10.191666666666666</v>
      </c>
      <c r="AE6" s="116">
        <f t="shared" si="5"/>
        <v>10.191666666666666</v>
      </c>
      <c r="AF6" s="116">
        <f t="shared" si="5"/>
        <v>10.191666666666666</v>
      </c>
      <c r="AG6" s="116">
        <f t="shared" si="5"/>
        <v>10.191666666666666</v>
      </c>
      <c r="AH6" s="116">
        <f t="shared" si="5"/>
        <v>10.191666666666666</v>
      </c>
      <c r="AI6" s="116">
        <f t="shared" si="5"/>
        <v>10.191666666666666</v>
      </c>
      <c r="AJ6" s="116">
        <f t="shared" si="5"/>
        <v>10.191666666666666</v>
      </c>
      <c r="AK6" s="116">
        <f t="shared" si="5"/>
        <v>10.191666666666666</v>
      </c>
      <c r="AL6" s="116">
        <f t="shared" si="5"/>
        <v>10.191666666666666</v>
      </c>
      <c r="AM6" s="116">
        <f t="shared" si="5"/>
        <v>10.191666666666666</v>
      </c>
      <c r="AN6" s="116">
        <f t="shared" si="5"/>
        <v>10.191666666666666</v>
      </c>
      <c r="AO6" s="116">
        <f t="shared" si="5"/>
        <v>10.191666666666666</v>
      </c>
      <c r="AP6" s="116">
        <f t="shared" si="5"/>
        <v>10.191666666666666</v>
      </c>
      <c r="AQ6" s="116">
        <f t="shared" si="5"/>
        <v>10.191666666666666</v>
      </c>
      <c r="AR6" s="116">
        <f t="shared" si="5"/>
        <v>10.191666666666666</v>
      </c>
      <c r="AS6" s="116">
        <f t="shared" si="5"/>
        <v>10.191666666666666</v>
      </c>
      <c r="AT6" s="116">
        <f t="shared" si="5"/>
        <v>10.191666666666666</v>
      </c>
      <c r="AU6" s="116">
        <f t="shared" si="5"/>
        <v>10.191666666666666</v>
      </c>
      <c r="AV6" s="116">
        <f t="shared" si="5"/>
        <v>10.191666666666666</v>
      </c>
    </row>
    <row r="7" spans="1:48" x14ac:dyDescent="0.3">
      <c r="A7" s="103" t="s">
        <v>195</v>
      </c>
      <c r="B7" s="119">
        <f>38700/12</f>
        <v>3225</v>
      </c>
      <c r="C7" s="114"/>
      <c r="F7" s="103" t="s">
        <v>196</v>
      </c>
      <c r="G7" s="116">
        <f>G6</f>
        <v>-24.283333333333335</v>
      </c>
      <c r="H7" s="116">
        <f t="shared" ref="H7:AV7" si="6">G7+H6</f>
        <v>-48.56666666666667</v>
      </c>
      <c r="I7" s="116">
        <f t="shared" si="6"/>
        <v>-72.850000000000009</v>
      </c>
      <c r="J7" s="116">
        <f t="shared" si="6"/>
        <v>-97.13333333333334</v>
      </c>
      <c r="K7" s="116">
        <f t="shared" si="6"/>
        <v>-121.41666666666667</v>
      </c>
      <c r="L7" s="116">
        <f t="shared" si="6"/>
        <v>-145.70000000000002</v>
      </c>
      <c r="M7" s="116">
        <f t="shared" si="6"/>
        <v>-135.50833333333335</v>
      </c>
      <c r="N7" s="116">
        <f t="shared" si="6"/>
        <v>-125.31666666666669</v>
      </c>
      <c r="O7" s="116">
        <f t="shared" si="6"/>
        <v>-115.12500000000003</v>
      </c>
      <c r="P7" s="116">
        <f t="shared" si="6"/>
        <v>-104.93333333333337</v>
      </c>
      <c r="Q7" s="116">
        <f t="shared" si="6"/>
        <v>-94.741666666666703</v>
      </c>
      <c r="R7" s="116">
        <f t="shared" si="6"/>
        <v>-84.55000000000004</v>
      </c>
      <c r="S7" s="116">
        <f t="shared" si="6"/>
        <v>-74.358333333333377</v>
      </c>
      <c r="T7" s="116">
        <f t="shared" si="6"/>
        <v>-64.166666666666714</v>
      </c>
      <c r="U7" s="116">
        <f t="shared" si="6"/>
        <v>-53.975000000000051</v>
      </c>
      <c r="V7" s="116">
        <f t="shared" si="6"/>
        <v>-43.783333333333388</v>
      </c>
      <c r="W7" s="116">
        <f t="shared" si="6"/>
        <v>-33.591666666666725</v>
      </c>
      <c r="X7" s="116">
        <f t="shared" si="6"/>
        <v>-23.400000000000059</v>
      </c>
      <c r="Y7" s="116">
        <f t="shared" si="6"/>
        <v>-13.208333333333393</v>
      </c>
      <c r="Z7" s="116">
        <f t="shared" si="6"/>
        <v>-3.0166666666667261</v>
      </c>
      <c r="AA7" s="116">
        <f t="shared" si="6"/>
        <v>7.1749999999999403</v>
      </c>
      <c r="AB7" s="116">
        <f t="shared" si="6"/>
        <v>17.366666666666607</v>
      </c>
      <c r="AC7" s="116">
        <f t="shared" si="6"/>
        <v>27.558333333333273</v>
      </c>
      <c r="AD7" s="116">
        <f t="shared" si="6"/>
        <v>37.749999999999943</v>
      </c>
      <c r="AE7" s="116">
        <f t="shared" si="6"/>
        <v>47.941666666666606</v>
      </c>
      <c r="AF7" s="116">
        <f t="shared" si="6"/>
        <v>58.133333333333269</v>
      </c>
      <c r="AG7" s="116">
        <f t="shared" si="6"/>
        <v>68.324999999999932</v>
      </c>
      <c r="AH7" s="116">
        <f t="shared" si="6"/>
        <v>78.516666666666595</v>
      </c>
      <c r="AI7" s="116">
        <f t="shared" si="6"/>
        <v>88.708333333333258</v>
      </c>
      <c r="AJ7" s="116">
        <f t="shared" si="6"/>
        <v>98.89999999999992</v>
      </c>
      <c r="AK7" s="116">
        <f t="shared" si="6"/>
        <v>109.09166666666658</v>
      </c>
      <c r="AL7" s="116">
        <f t="shared" si="6"/>
        <v>119.28333333333325</v>
      </c>
      <c r="AM7" s="116">
        <f t="shared" si="6"/>
        <v>129.47499999999991</v>
      </c>
      <c r="AN7" s="116">
        <f t="shared" si="6"/>
        <v>139.66666666666657</v>
      </c>
      <c r="AO7" s="116">
        <f t="shared" si="6"/>
        <v>149.85833333333323</v>
      </c>
      <c r="AP7" s="116">
        <f t="shared" si="6"/>
        <v>160.0499999999999</v>
      </c>
      <c r="AQ7" s="116">
        <f t="shared" si="6"/>
        <v>170.24166666666656</v>
      </c>
      <c r="AR7" s="116">
        <f t="shared" si="6"/>
        <v>180.43333333333322</v>
      </c>
      <c r="AS7" s="116">
        <f t="shared" si="6"/>
        <v>190.62499999999989</v>
      </c>
      <c r="AT7" s="116">
        <f t="shared" si="6"/>
        <v>200.81666666666655</v>
      </c>
      <c r="AU7" s="116">
        <f t="shared" si="6"/>
        <v>211.00833333333321</v>
      </c>
      <c r="AV7" s="116">
        <f t="shared" si="6"/>
        <v>221.19999999999987</v>
      </c>
    </row>
    <row r="8" spans="1:48" x14ac:dyDescent="0.3">
      <c r="B8" s="120"/>
      <c r="C8" s="114"/>
      <c r="D8" s="121"/>
      <c r="F8" s="122"/>
      <c r="G8" s="123" t="str">
        <f t="shared" ref="G8:AU8" si="7">IF(G7&lt;0,"n/m",G7/H7)</f>
        <v>n/m</v>
      </c>
      <c r="H8" s="123" t="str">
        <f t="shared" si="7"/>
        <v>n/m</v>
      </c>
      <c r="I8" s="123" t="str">
        <f t="shared" si="7"/>
        <v>n/m</v>
      </c>
      <c r="J8" s="123" t="str">
        <f t="shared" si="7"/>
        <v>n/m</v>
      </c>
      <c r="K8" s="123" t="str">
        <f t="shared" si="7"/>
        <v>n/m</v>
      </c>
      <c r="L8" s="123" t="str">
        <f t="shared" si="7"/>
        <v>n/m</v>
      </c>
      <c r="M8" s="123" t="str">
        <f t="shared" si="7"/>
        <v>n/m</v>
      </c>
      <c r="N8" s="123" t="str">
        <f t="shared" si="7"/>
        <v>n/m</v>
      </c>
      <c r="O8" s="123" t="str">
        <f t="shared" si="7"/>
        <v>n/m</v>
      </c>
      <c r="P8" s="123" t="str">
        <f t="shared" si="7"/>
        <v>n/m</v>
      </c>
      <c r="Q8" s="123" t="str">
        <f t="shared" si="7"/>
        <v>n/m</v>
      </c>
      <c r="R8" s="123" t="str">
        <f t="shared" si="7"/>
        <v>n/m</v>
      </c>
      <c r="S8" s="123" t="str">
        <f t="shared" si="7"/>
        <v>n/m</v>
      </c>
      <c r="T8" s="123" t="str">
        <f t="shared" si="7"/>
        <v>n/m</v>
      </c>
      <c r="U8" s="123" t="str">
        <f t="shared" si="7"/>
        <v>n/m</v>
      </c>
      <c r="V8" s="123" t="str">
        <f t="shared" si="7"/>
        <v>n/m</v>
      </c>
      <c r="W8" s="123" t="str">
        <f t="shared" si="7"/>
        <v>n/m</v>
      </c>
      <c r="X8" s="123" t="str">
        <f t="shared" si="7"/>
        <v>n/m</v>
      </c>
      <c r="Y8" s="123" t="str">
        <f t="shared" si="7"/>
        <v>n/m</v>
      </c>
      <c r="Z8" s="123" t="str">
        <f t="shared" si="7"/>
        <v>n/m</v>
      </c>
      <c r="AA8" s="123">
        <f t="shared" si="7"/>
        <v>0.41314779270633195</v>
      </c>
      <c r="AB8" s="123">
        <f t="shared" si="7"/>
        <v>0.63017840943453196</v>
      </c>
      <c r="AC8" s="123">
        <f t="shared" si="7"/>
        <v>0.73002207505518713</v>
      </c>
      <c r="AD8" s="123">
        <f t="shared" si="7"/>
        <v>0.78741526160264186</v>
      </c>
      <c r="AE8" s="123">
        <f t="shared" si="7"/>
        <v>0.82468463302752282</v>
      </c>
      <c r="AF8" s="123">
        <f t="shared" si="7"/>
        <v>0.85083546773996821</v>
      </c>
      <c r="AG8" s="123">
        <f t="shared" si="7"/>
        <v>0.87019741031628095</v>
      </c>
      <c r="AH8" s="123">
        <f t="shared" si="7"/>
        <v>0.88511038046030999</v>
      </c>
      <c r="AI8" s="123">
        <f t="shared" si="7"/>
        <v>0.89694978092349165</v>
      </c>
      <c r="AJ8" s="123">
        <f t="shared" si="7"/>
        <v>0.90657703765946063</v>
      </c>
      <c r="AK8" s="123">
        <f t="shared" si="7"/>
        <v>0.91455917283778121</v>
      </c>
      <c r="AL8" s="123">
        <f t="shared" si="7"/>
        <v>0.92128467529124025</v>
      </c>
      <c r="AM8" s="123">
        <f t="shared" si="7"/>
        <v>0.92702863961813842</v>
      </c>
      <c r="AN8" s="123">
        <f t="shared" si="7"/>
        <v>0.93199132514041039</v>
      </c>
      <c r="AO8" s="123">
        <f t="shared" si="7"/>
        <v>0.93632198271373523</v>
      </c>
      <c r="AP8" s="123">
        <f t="shared" si="7"/>
        <v>0.94013412306035538</v>
      </c>
      <c r="AQ8" s="123">
        <f t="shared" si="7"/>
        <v>0.94351561056715316</v>
      </c>
      <c r="AR8" s="123">
        <f t="shared" si="7"/>
        <v>0.94653551912568301</v>
      </c>
      <c r="AS8" s="123">
        <f t="shared" si="7"/>
        <v>0.94924890032367826</v>
      </c>
      <c r="AT8" s="123">
        <f t="shared" si="7"/>
        <v>0.95170016981951744</v>
      </c>
      <c r="AU8" s="123">
        <f t="shared" si="7"/>
        <v>0.95392555756479802</v>
      </c>
      <c r="AV8" s="123"/>
    </row>
    <row r="9" spans="1:48" x14ac:dyDescent="0.3">
      <c r="A9" s="103" t="s">
        <v>197</v>
      </c>
      <c r="B9" s="119">
        <f>161000/12</f>
        <v>13416.666666666666</v>
      </c>
      <c r="C9" s="114"/>
      <c r="G9" s="124"/>
      <c r="H9" s="124"/>
      <c r="I9" s="124"/>
      <c r="J9" s="124"/>
      <c r="K9" s="124"/>
      <c r="L9" s="124"/>
      <c r="M9" s="124"/>
      <c r="N9" s="124"/>
      <c r="O9" s="124"/>
      <c r="P9" s="124"/>
      <c r="Q9" s="124"/>
      <c r="R9" s="124"/>
      <c r="S9" s="124"/>
      <c r="T9" s="124"/>
      <c r="U9" s="124"/>
      <c r="V9" s="124"/>
      <c r="W9" s="124"/>
      <c r="X9" s="124"/>
    </row>
    <row r="10" spans="1:48" x14ac:dyDescent="0.3">
      <c r="B10" s="120"/>
      <c r="C10" s="114"/>
    </row>
    <row r="11" spans="1:48" x14ac:dyDescent="0.3">
      <c r="A11" s="103" t="s">
        <v>198</v>
      </c>
      <c r="B11" s="125">
        <v>6</v>
      </c>
    </row>
    <row r="12" spans="1:48" x14ac:dyDescent="0.3">
      <c r="B12" s="113"/>
      <c r="C12" s="115"/>
      <c r="D12" s="121"/>
    </row>
    <row r="13" spans="1:48" x14ac:dyDescent="0.3">
      <c r="A13" s="103" t="s">
        <v>199</v>
      </c>
      <c r="B13" s="126">
        <f>NPV(B3,G6:AV6)*1000</f>
        <v>142329.03393629487</v>
      </c>
      <c r="C13" s="105"/>
      <c r="D13" s="121"/>
    </row>
    <row r="14" spans="1:48" x14ac:dyDescent="0.3">
      <c r="A14" s="103" t="s">
        <v>200</v>
      </c>
      <c r="B14" s="127">
        <f>IRR(G6:AV6)</f>
        <v>5.1358013767220267E-2</v>
      </c>
      <c r="C14" s="128"/>
    </row>
    <row r="15" spans="1:48" x14ac:dyDescent="0.3">
      <c r="A15" s="103" t="s">
        <v>201</v>
      </c>
      <c r="B15" s="129">
        <f>COUNTIF(G7:AV7,"&lt;0")+INDEX(G8:AV8,,COUNTIF(G7:AP7,"&lt;0")+1)</f>
        <v>20.413147792706333</v>
      </c>
      <c r="D15" s="115"/>
      <c r="E15" s="115"/>
    </row>
    <row r="16" spans="1:48" x14ac:dyDescent="0.3">
      <c r="D16" s="131"/>
      <c r="E16" s="131"/>
      <c r="F16" s="132"/>
    </row>
    <row r="17" spans="2:5" x14ac:dyDescent="0.3">
      <c r="D17" s="132"/>
      <c r="E17" s="132"/>
    </row>
    <row r="18" spans="2:5" x14ac:dyDescent="0.3">
      <c r="D18" s="132"/>
      <c r="E18" s="132"/>
    </row>
    <row r="23" spans="2:5" x14ac:dyDescent="0.3">
      <c r="B23" s="133"/>
    </row>
    <row r="24" spans="2:5" x14ac:dyDescent="0.3">
      <c r="C24" s="114"/>
    </row>
  </sheetData>
  <conditionalFormatting sqref="G7:AV7">
    <cfRule type="colorScale" priority="1">
      <colorScale>
        <cfvo type="min"/>
        <cfvo type="percentile" val="50"/>
        <cfvo type="max"/>
        <color rgb="FFF8696B"/>
        <color rgb="FFFFEB84"/>
        <color rgb="FF63BE7B"/>
      </colorScale>
    </cfRule>
  </conditionalFormatting>
  <pageMargins left="0.511811024" right="0.511811024" top="0.78740157499999996" bottom="0.78740157499999996" header="0.31496062000000002" footer="0.31496062000000002"/>
  <pageSetup paperSize="9" orientation="portrait" horizontalDpi="300" verticalDpi="300"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96DF9-5E7A-4979-B0B2-8EB7165635E7}">
  <sheetPr codeName="Planilha9"/>
  <dimension ref="A1:AD93"/>
  <sheetViews>
    <sheetView workbookViewId="0">
      <selection activeCell="M23" sqref="M23"/>
    </sheetView>
  </sheetViews>
  <sheetFormatPr defaultColWidth="8.88671875" defaultRowHeight="10.8" x14ac:dyDescent="0.25"/>
  <cols>
    <col min="1" max="16384" width="8.88671875" style="138"/>
  </cols>
  <sheetData>
    <row r="1" spans="1:30" x14ac:dyDescent="0.25">
      <c r="A1" s="141"/>
      <c r="B1" s="136"/>
      <c r="C1" s="136"/>
      <c r="D1" s="136"/>
      <c r="E1" s="136"/>
      <c r="F1" s="136"/>
      <c r="G1" s="136"/>
      <c r="H1" s="136"/>
      <c r="I1" s="137"/>
      <c r="J1" s="136"/>
      <c r="K1" s="136"/>
      <c r="L1" s="136"/>
      <c r="M1" s="136"/>
      <c r="N1" s="136"/>
      <c r="O1" s="136"/>
      <c r="P1" s="136"/>
      <c r="Q1" s="136"/>
      <c r="R1" s="136"/>
      <c r="S1" s="136"/>
      <c r="T1" s="136"/>
      <c r="U1" s="136"/>
      <c r="V1" s="136"/>
      <c r="W1" s="136"/>
      <c r="X1" s="136"/>
      <c r="Y1" s="136"/>
      <c r="Z1" s="136"/>
      <c r="AA1" s="136"/>
      <c r="AB1" s="136"/>
      <c r="AC1" s="136"/>
      <c r="AD1" s="136"/>
    </row>
    <row r="2" spans="1:30" x14ac:dyDescent="0.25">
      <c r="A2" s="716" t="s">
        <v>202</v>
      </c>
      <c r="B2" s="717"/>
      <c r="C2" s="714">
        <v>1</v>
      </c>
      <c r="D2" s="715"/>
      <c r="E2" s="140"/>
      <c r="F2" s="716" t="s">
        <v>203</v>
      </c>
      <c r="G2" s="717"/>
      <c r="H2" s="714">
        <v>1</v>
      </c>
      <c r="I2" s="715"/>
      <c r="J2" s="136"/>
      <c r="K2" s="716" t="s">
        <v>204</v>
      </c>
      <c r="L2" s="717"/>
      <c r="M2" s="714">
        <v>1</v>
      </c>
      <c r="N2" s="715"/>
      <c r="O2" s="136"/>
      <c r="P2" s="136"/>
      <c r="Q2" s="136"/>
      <c r="R2" s="136"/>
      <c r="S2" s="136"/>
      <c r="T2" s="136"/>
      <c r="U2" s="136"/>
      <c r="V2" s="136"/>
      <c r="W2" s="136"/>
      <c r="X2" s="136"/>
      <c r="Y2" s="136"/>
      <c r="Z2" s="136"/>
      <c r="AA2" s="136"/>
      <c r="AB2" s="136"/>
      <c r="AC2" s="136"/>
      <c r="AD2" s="136"/>
    </row>
    <row r="3" spans="1:30" x14ac:dyDescent="0.25">
      <c r="A3" s="141"/>
      <c r="B3" s="136"/>
      <c r="C3" s="136"/>
      <c r="D3" s="136"/>
      <c r="E3" s="136"/>
      <c r="F3" s="136"/>
      <c r="G3" s="136"/>
      <c r="H3" s="136"/>
      <c r="I3" s="137"/>
      <c r="J3" s="136"/>
      <c r="K3" s="136"/>
      <c r="L3" s="136"/>
      <c r="M3" s="136"/>
      <c r="N3" s="136"/>
      <c r="O3" s="136"/>
      <c r="P3" s="136"/>
      <c r="Q3" s="136"/>
      <c r="R3" s="136"/>
      <c r="S3" s="136"/>
      <c r="T3" s="136"/>
      <c r="U3" s="136"/>
      <c r="V3" s="136"/>
      <c r="W3" s="136"/>
      <c r="X3" s="136"/>
      <c r="Y3" s="136"/>
      <c r="Z3" s="136"/>
      <c r="AA3" s="136"/>
      <c r="AB3" s="136"/>
      <c r="AC3" s="136"/>
      <c r="AD3" s="136"/>
    </row>
    <row r="4" spans="1:30" x14ac:dyDescent="0.25">
      <c r="A4" s="141" t="s">
        <v>223</v>
      </c>
      <c r="B4" s="141"/>
      <c r="C4" s="141"/>
      <c r="D4" s="141"/>
      <c r="E4" s="141"/>
      <c r="F4" s="141"/>
      <c r="G4" s="141"/>
      <c r="H4" s="141"/>
      <c r="I4" s="142"/>
      <c r="J4" s="141"/>
      <c r="K4" s="141"/>
      <c r="L4" s="141"/>
      <c r="M4" s="141"/>
      <c r="N4" s="141"/>
      <c r="O4" s="141"/>
      <c r="P4" s="136"/>
      <c r="Q4" s="141"/>
      <c r="R4" s="141"/>
      <c r="S4" s="141"/>
      <c r="T4" s="141"/>
      <c r="U4" s="141"/>
      <c r="V4" s="141"/>
      <c r="W4" s="141"/>
      <c r="X4" s="141"/>
      <c r="Y4" s="141"/>
      <c r="Z4" s="141"/>
      <c r="AA4" s="141"/>
      <c r="AB4" s="141"/>
      <c r="AC4" s="141"/>
      <c r="AD4" s="141"/>
    </row>
    <row r="5" spans="1:30" x14ac:dyDescent="0.25">
      <c r="A5" s="143" t="s">
        <v>206</v>
      </c>
      <c r="B5" s="143" t="s">
        <v>219</v>
      </c>
      <c r="C5" s="713" t="s">
        <v>207</v>
      </c>
      <c r="D5" s="713"/>
      <c r="E5" s="713"/>
      <c r="F5" s="713"/>
      <c r="G5" s="713"/>
      <c r="H5" s="145"/>
      <c r="I5" s="143"/>
      <c r="J5" s="141"/>
      <c r="K5" s="141"/>
      <c r="L5" s="141"/>
      <c r="M5" s="141"/>
      <c r="N5" s="141"/>
      <c r="O5" s="141"/>
      <c r="P5" s="136"/>
      <c r="Q5" s="141"/>
      <c r="R5" s="141"/>
      <c r="S5" s="141"/>
      <c r="T5" s="141"/>
      <c r="U5" s="141"/>
      <c r="V5" s="141"/>
      <c r="W5" s="141"/>
      <c r="X5" s="141"/>
      <c r="Y5" s="141"/>
      <c r="Z5" s="141"/>
      <c r="AA5" s="141"/>
      <c r="AB5" s="141"/>
      <c r="AC5" s="141"/>
      <c r="AD5" s="141"/>
    </row>
    <row r="6" spans="1:30" x14ac:dyDescent="0.25">
      <c r="A6" s="143"/>
      <c r="B6" s="143"/>
      <c r="C6" s="143" t="str">
        <f>C47</f>
        <v>1 a 4</v>
      </c>
      <c r="D6" s="143" t="str">
        <f>D47</f>
        <v>5 a 8</v>
      </c>
      <c r="E6" s="143" t="str">
        <f>E47</f>
        <v>9 a 16</v>
      </c>
      <c r="F6" s="143" t="str">
        <f>F47</f>
        <v>17 a 24</v>
      </c>
      <c r="G6" s="143" t="str">
        <f>G47</f>
        <v>&gt; 25</v>
      </c>
      <c r="H6" s="143" t="s">
        <v>220</v>
      </c>
      <c r="I6" s="143" t="s">
        <v>221</v>
      </c>
      <c r="J6" s="141"/>
      <c r="K6" s="141"/>
      <c r="L6" s="141"/>
      <c r="M6" s="141"/>
      <c r="N6" s="141"/>
      <c r="O6" s="141"/>
      <c r="P6" s="136"/>
      <c r="Q6" s="141"/>
      <c r="R6" s="141"/>
      <c r="S6" s="141"/>
      <c r="T6" s="141"/>
      <c r="U6" s="141"/>
      <c r="V6" s="141"/>
      <c r="W6" s="141"/>
      <c r="X6" s="141"/>
      <c r="Y6" s="141"/>
      <c r="Z6" s="141"/>
      <c r="AA6" s="141"/>
      <c r="AB6" s="141"/>
      <c r="AC6" s="141"/>
      <c r="AD6" s="141"/>
    </row>
    <row r="7" spans="1:30" x14ac:dyDescent="0.25">
      <c r="A7" s="143"/>
      <c r="B7" s="143"/>
      <c r="C7" s="143">
        <v>10</v>
      </c>
      <c r="D7" s="143">
        <v>20</v>
      </c>
      <c r="E7" s="143">
        <v>30</v>
      </c>
      <c r="F7" s="143">
        <v>49</v>
      </c>
      <c r="G7" s="143">
        <v>50</v>
      </c>
      <c r="H7" s="143"/>
      <c r="I7" s="143"/>
      <c r="J7" s="141"/>
      <c r="K7" s="141"/>
      <c r="L7" s="141"/>
      <c r="M7" s="141"/>
      <c r="N7" s="141"/>
      <c r="O7" s="141"/>
      <c r="P7" s="142"/>
      <c r="Q7" s="142"/>
      <c r="R7" s="142"/>
      <c r="S7" s="141"/>
      <c r="T7" s="142"/>
      <c r="U7" s="142"/>
      <c r="V7" s="142"/>
      <c r="W7" s="141"/>
      <c r="X7" s="141"/>
      <c r="Y7" s="141"/>
      <c r="Z7" s="141"/>
      <c r="AA7" s="141"/>
      <c r="AB7" s="141"/>
      <c r="AC7" s="141"/>
      <c r="AD7" s="141"/>
    </row>
    <row r="8" spans="1:30" x14ac:dyDescent="0.25">
      <c r="A8" s="143" t="s">
        <v>213</v>
      </c>
      <c r="B8" s="148">
        <v>1.5</v>
      </c>
      <c r="C8" s="139">
        <f>$B$8*C9</f>
        <v>6</v>
      </c>
      <c r="D8" s="139">
        <f>$B$8*D9</f>
        <v>12</v>
      </c>
      <c r="E8" s="139">
        <f>$B$8*E9</f>
        <v>18</v>
      </c>
      <c r="F8" s="139">
        <f>$B$8*F9</f>
        <v>21</v>
      </c>
      <c r="G8" s="139">
        <f>$B$8*G9</f>
        <v>24</v>
      </c>
      <c r="H8" s="146">
        <f>SUM(C8:G8)/SUM($C$7:$G$7)</f>
        <v>0.50943396226415094</v>
      </c>
      <c r="I8" s="146">
        <f>(C8*$B$38+D8*$C$38+E8*$D$38+F8*$E$38+G8*$F$38)/($C$7*$B$38+$D$7*$C$38+$E$7*$D$38+$F$7*$E$38+$G$7*F38)</f>
        <v>0.48214285714285715</v>
      </c>
      <c r="J8" s="136"/>
      <c r="K8" s="136"/>
      <c r="L8" s="136"/>
      <c r="M8" s="136"/>
      <c r="N8" s="136"/>
      <c r="O8" s="147"/>
      <c r="P8" s="147"/>
      <c r="Q8" s="147"/>
      <c r="R8" s="147"/>
      <c r="S8" s="147"/>
      <c r="T8" s="147"/>
      <c r="U8" s="147"/>
      <c r="V8" s="147"/>
      <c r="W8" s="136"/>
      <c r="X8" s="136"/>
      <c r="Y8" s="136"/>
      <c r="Z8" s="136"/>
      <c r="AA8" s="136"/>
      <c r="AB8" s="136"/>
      <c r="AC8" s="136"/>
      <c r="AD8" s="136"/>
    </row>
    <row r="9" spans="1:30" x14ac:dyDescent="0.25">
      <c r="A9" s="143" t="s">
        <v>214</v>
      </c>
      <c r="B9" s="148">
        <v>1</v>
      </c>
      <c r="C9" s="144">
        <v>4</v>
      </c>
      <c r="D9" s="144">
        <v>8</v>
      </c>
      <c r="E9" s="144">
        <v>12</v>
      </c>
      <c r="F9" s="144">
        <v>14</v>
      </c>
      <c r="G9" s="144">
        <v>16</v>
      </c>
      <c r="H9" s="146">
        <f t="shared" ref="H9:H13" si="0">SUM(C9:G9)/SUM($C$7:$G$7)</f>
        <v>0.33962264150943394</v>
      </c>
      <c r="I9" s="146">
        <f>(C9*$B$39+D9*$C$39+E9*$D$39+F9*$E$39+G9*$F$39)/($C$7*$B$39+$D$7*$C$39+$E$7*$D$39+$F$7*$E$39+$G$7*$F$39)</f>
        <v>0.32142857142857145</v>
      </c>
      <c r="J9" s="147"/>
      <c r="K9" s="136"/>
      <c r="L9" s="136"/>
      <c r="M9" s="136"/>
      <c r="N9" s="136"/>
      <c r="O9" s="147"/>
      <c r="P9" s="147"/>
      <c r="Q9" s="147"/>
      <c r="R9" s="147"/>
      <c r="S9" s="147"/>
      <c r="T9" s="147"/>
      <c r="U9" s="147"/>
      <c r="V9" s="147"/>
      <c r="W9" s="136"/>
      <c r="X9" s="136"/>
      <c r="Y9" s="136"/>
      <c r="Z9" s="136"/>
      <c r="AA9" s="136"/>
      <c r="AB9" s="136"/>
      <c r="AC9" s="136"/>
      <c r="AD9" s="136"/>
    </row>
    <row r="10" spans="1:30" x14ac:dyDescent="0.25">
      <c r="A10" s="143" t="s">
        <v>215</v>
      </c>
      <c r="B10" s="148">
        <v>3</v>
      </c>
      <c r="C10" s="139">
        <f>$B$10*C9</f>
        <v>12</v>
      </c>
      <c r="D10" s="139">
        <f>$B$10*D9</f>
        <v>24</v>
      </c>
      <c r="E10" s="139">
        <f>$B$10*E9</f>
        <v>36</v>
      </c>
      <c r="F10" s="139">
        <f>$B$10*F9</f>
        <v>42</v>
      </c>
      <c r="G10" s="139">
        <f>$B$10*G9</f>
        <v>48</v>
      </c>
      <c r="H10" s="146">
        <f t="shared" si="0"/>
        <v>1.0188679245283019</v>
      </c>
      <c r="I10" s="146">
        <f>(C10*$B$40+D10*$C$40+E10*$D$40+F10*$E$40+G10*$F$40)/($C$7*$B$40+$D$7*$C$40+$E$7*$D$40+$F$7*$E$40+$G$7*$F$40)</f>
        <v>0.95823095823095816</v>
      </c>
      <c r="J10" s="147"/>
      <c r="K10" s="136"/>
      <c r="L10" s="136"/>
      <c r="M10" s="136"/>
      <c r="N10" s="136"/>
      <c r="O10" s="147"/>
      <c r="P10" s="147"/>
      <c r="Q10" s="147"/>
      <c r="R10" s="147"/>
      <c r="S10" s="147"/>
      <c r="T10" s="147"/>
      <c r="U10" s="147"/>
      <c r="V10" s="147"/>
      <c r="W10" s="136"/>
      <c r="X10" s="136"/>
      <c r="Y10" s="136"/>
      <c r="Z10" s="136"/>
      <c r="AA10" s="136"/>
      <c r="AB10" s="136"/>
      <c r="AC10" s="136"/>
      <c r="AD10" s="136"/>
    </row>
    <row r="11" spans="1:30" x14ac:dyDescent="0.25">
      <c r="A11" s="143" t="s">
        <v>216</v>
      </c>
      <c r="B11" s="148">
        <v>2</v>
      </c>
      <c r="C11" s="139">
        <f>$B$11*C9</f>
        <v>8</v>
      </c>
      <c r="D11" s="139">
        <f>$B$11*D9</f>
        <v>16</v>
      </c>
      <c r="E11" s="139">
        <f>$B$11*E9</f>
        <v>24</v>
      </c>
      <c r="F11" s="139">
        <f>$B$11*F9</f>
        <v>28</v>
      </c>
      <c r="G11" s="139">
        <f>$B$11*G9</f>
        <v>32</v>
      </c>
      <c r="H11" s="146">
        <f t="shared" si="0"/>
        <v>0.67924528301886788</v>
      </c>
      <c r="I11" s="146">
        <f>(C11*$B$41+D11*$C$41+E11*$D$41+F11*$E$41+G11*$F$41)/($C$7*$B$41+$D$7*$C$41+$E$7*$D$41+$F$7*$E$41+$G$7*$F$41)</f>
        <v>0.66272189349112431</v>
      </c>
      <c r="J11" s="136"/>
      <c r="K11" s="136"/>
      <c r="L11" s="136"/>
      <c r="M11" s="136"/>
      <c r="N11" s="136"/>
      <c r="O11" s="147"/>
      <c r="P11" s="147"/>
      <c r="Q11" s="147"/>
      <c r="R11" s="147"/>
      <c r="S11" s="147"/>
      <c r="T11" s="147"/>
      <c r="U11" s="147"/>
      <c r="V11" s="147"/>
      <c r="W11" s="136"/>
      <c r="X11" s="136"/>
      <c r="Y11" s="136"/>
      <c r="Z11" s="136"/>
      <c r="AA11" s="136"/>
      <c r="AB11" s="136"/>
      <c r="AC11" s="136"/>
      <c r="AD11" s="136"/>
    </row>
    <row r="12" spans="1:30" x14ac:dyDescent="0.25">
      <c r="A12" s="143" t="s">
        <v>224</v>
      </c>
      <c r="B12" s="148">
        <v>4</v>
      </c>
      <c r="C12" s="139">
        <f>$B12*C$9</f>
        <v>16</v>
      </c>
      <c r="D12" s="139">
        <f t="shared" ref="D12:G12" si="1">$B12*D$9</f>
        <v>32</v>
      </c>
      <c r="E12" s="139">
        <f t="shared" si="1"/>
        <v>48</v>
      </c>
      <c r="F12" s="139">
        <f t="shared" si="1"/>
        <v>56</v>
      </c>
      <c r="G12" s="139">
        <f t="shared" si="1"/>
        <v>64</v>
      </c>
      <c r="H12" s="146">
        <f t="shared" si="0"/>
        <v>1.3584905660377358</v>
      </c>
      <c r="I12" s="146">
        <f>(C12*$B$42+D12*$C$42+E12*$D$42+F12*$E$42+G12*$F$42)/($C$7*$B$42+$D$7*$C$42+$E$7*$D$42+$F$7*$E$42+$G$7*$F$42)</f>
        <v>1.3959731543624161</v>
      </c>
      <c r="J12" s="136"/>
      <c r="K12" s="136"/>
      <c r="L12" s="136"/>
      <c r="M12" s="136"/>
      <c r="N12" s="136"/>
      <c r="O12" s="147"/>
      <c r="P12" s="147"/>
      <c r="Q12" s="147"/>
      <c r="R12" s="147"/>
      <c r="S12" s="147"/>
      <c r="T12" s="147"/>
      <c r="U12" s="147"/>
      <c r="V12" s="147"/>
      <c r="W12" s="136"/>
      <c r="X12" s="136"/>
      <c r="Y12" s="136"/>
      <c r="Z12" s="136"/>
      <c r="AA12" s="136"/>
      <c r="AB12" s="136"/>
      <c r="AC12" s="136"/>
      <c r="AD12" s="136"/>
    </row>
    <row r="13" spans="1:30" x14ac:dyDescent="0.25">
      <c r="A13" s="143" t="s">
        <v>218</v>
      </c>
      <c r="B13" s="148">
        <v>6</v>
      </c>
      <c r="C13" s="139">
        <f>$B$13*C9</f>
        <v>24</v>
      </c>
      <c r="D13" s="139">
        <f>$B$13*D9</f>
        <v>48</v>
      </c>
      <c r="E13" s="139">
        <f>$B$13*E9</f>
        <v>72</v>
      </c>
      <c r="F13" s="139">
        <f>$B$13*F9</f>
        <v>84</v>
      </c>
      <c r="G13" s="139">
        <f>$B$13*G9</f>
        <v>96</v>
      </c>
      <c r="H13" s="146">
        <f t="shared" si="0"/>
        <v>2.0377358490566038</v>
      </c>
      <c r="I13" s="146">
        <f>(C13*$B$43+D13*$C$43+E13*$D$43+F13*$E$43+G13*$F$43)/($C$7*$B$43+$D$7*$C$43+$E$7*$D$43+$F$7*$E$43+$G$7*$F$43)</f>
        <v>2.1132075471698117</v>
      </c>
      <c r="J13" s="136"/>
      <c r="K13" s="136"/>
      <c r="L13" s="136"/>
      <c r="M13" s="136"/>
      <c r="N13" s="136"/>
      <c r="O13" s="147"/>
      <c r="P13" s="147"/>
      <c r="Q13" s="147"/>
      <c r="R13" s="147"/>
      <c r="S13" s="147"/>
      <c r="T13" s="147"/>
      <c r="U13" s="147"/>
      <c r="V13" s="147"/>
      <c r="W13" s="136"/>
      <c r="X13" s="136"/>
      <c r="Y13" s="136"/>
      <c r="Z13" s="136"/>
      <c r="AA13" s="136"/>
      <c r="AB13" s="136"/>
      <c r="AC13" s="136"/>
      <c r="AD13" s="136"/>
    </row>
    <row r="14" spans="1:30" x14ac:dyDescent="0.25">
      <c r="A14" s="142"/>
      <c r="B14" s="137"/>
      <c r="C14" s="137"/>
      <c r="D14" s="137"/>
      <c r="E14" s="137"/>
      <c r="F14" s="137"/>
      <c r="G14" s="137"/>
      <c r="H14" s="136"/>
      <c r="I14" s="137"/>
      <c r="J14" s="136"/>
      <c r="K14" s="136"/>
      <c r="L14" s="136"/>
      <c r="M14" s="136"/>
      <c r="N14" s="136"/>
      <c r="O14" s="136"/>
      <c r="P14" s="136"/>
      <c r="Q14" s="136"/>
      <c r="R14" s="136"/>
      <c r="S14" s="136"/>
      <c r="T14" s="136"/>
      <c r="U14" s="136"/>
      <c r="V14" s="136"/>
      <c r="W14" s="136"/>
      <c r="X14" s="136"/>
      <c r="Y14" s="136"/>
      <c r="Z14" s="136"/>
      <c r="AA14" s="136"/>
      <c r="AB14" s="136"/>
      <c r="AC14" s="136"/>
      <c r="AD14" s="136"/>
    </row>
    <row r="15" spans="1:30" x14ac:dyDescent="0.25">
      <c r="A15" s="149" t="s">
        <v>225</v>
      </c>
      <c r="B15" s="142"/>
      <c r="C15" s="142"/>
      <c r="D15" s="142"/>
      <c r="E15" s="142"/>
      <c r="F15" s="142"/>
      <c r="G15" s="142"/>
      <c r="H15" s="141"/>
      <c r="I15" s="142"/>
      <c r="J15" s="141"/>
      <c r="K15" s="141"/>
      <c r="L15" s="141"/>
      <c r="M15" s="141"/>
      <c r="N15" s="141"/>
      <c r="O15" s="141"/>
      <c r="P15" s="136"/>
      <c r="Q15" s="141"/>
      <c r="R15" s="141"/>
      <c r="S15" s="141"/>
      <c r="T15" s="141"/>
      <c r="U15" s="141"/>
      <c r="V15" s="141"/>
      <c r="W15" s="141"/>
      <c r="X15" s="141"/>
      <c r="Y15" s="141"/>
      <c r="Z15" s="141"/>
      <c r="AA15" s="141"/>
      <c r="AB15" s="141"/>
      <c r="AC15" s="141"/>
      <c r="AD15" s="141"/>
    </row>
    <row r="16" spans="1:30" x14ac:dyDescent="0.25">
      <c r="A16" s="143" t="s">
        <v>206</v>
      </c>
      <c r="B16" s="143" t="s">
        <v>219</v>
      </c>
      <c r="C16" s="713" t="s">
        <v>207</v>
      </c>
      <c r="D16" s="713"/>
      <c r="E16" s="713"/>
      <c r="F16" s="713"/>
      <c r="G16" s="713"/>
      <c r="H16" s="145"/>
      <c r="I16" s="143"/>
      <c r="J16" s="141"/>
      <c r="K16" s="141"/>
      <c r="L16" s="141"/>
      <c r="M16" s="141"/>
      <c r="N16" s="141"/>
      <c r="O16" s="141"/>
      <c r="P16" s="136"/>
      <c r="Q16" s="141"/>
      <c r="R16" s="141"/>
      <c r="S16" s="141"/>
      <c r="T16" s="141"/>
      <c r="U16" s="141"/>
      <c r="V16" s="141"/>
      <c r="W16" s="141"/>
      <c r="X16" s="141"/>
      <c r="Y16" s="141"/>
      <c r="Z16" s="141"/>
      <c r="AA16" s="141"/>
      <c r="AB16" s="141"/>
      <c r="AC16" s="141"/>
      <c r="AD16" s="141"/>
    </row>
    <row r="17" spans="1:30" x14ac:dyDescent="0.25">
      <c r="A17" s="143" t="s">
        <v>226</v>
      </c>
      <c r="B17" s="150">
        <v>1</v>
      </c>
      <c r="C17" s="143" t="str">
        <f>C6</f>
        <v>1 a 4</v>
      </c>
      <c r="D17" s="143" t="str">
        <f>D6</f>
        <v>5 a 8</v>
      </c>
      <c r="E17" s="143" t="str">
        <f>E6</f>
        <v>9 a 16</v>
      </c>
      <c r="F17" s="143" t="str">
        <f>F6</f>
        <v>17 a 24</v>
      </c>
      <c r="G17" s="143" t="str">
        <f>G6</f>
        <v>&gt; 25</v>
      </c>
      <c r="H17" s="143" t="s">
        <v>220</v>
      </c>
      <c r="I17" s="143" t="s">
        <v>221</v>
      </c>
      <c r="J17" s="141"/>
      <c r="K17" s="141"/>
      <c r="L17" s="141"/>
      <c r="M17" s="141"/>
      <c r="N17" s="141"/>
      <c r="O17" s="141"/>
      <c r="P17" s="136"/>
      <c r="Q17" s="141"/>
      <c r="R17" s="141"/>
      <c r="S17" s="141"/>
      <c r="T17" s="141"/>
      <c r="U17" s="141"/>
      <c r="V17" s="141"/>
      <c r="W17" s="141"/>
      <c r="X17" s="141"/>
      <c r="Y17" s="141"/>
      <c r="Z17" s="141"/>
      <c r="AA17" s="141"/>
      <c r="AB17" s="141"/>
      <c r="AC17" s="141"/>
      <c r="AD17" s="141"/>
    </row>
    <row r="18" spans="1:30" x14ac:dyDescent="0.25">
      <c r="A18" s="143" t="s">
        <v>213</v>
      </c>
      <c r="B18" s="148">
        <v>1.5</v>
      </c>
      <c r="C18" s="139">
        <f>$B$8*C19</f>
        <v>6</v>
      </c>
      <c r="D18" s="139">
        <f>$B$8*D19</f>
        <v>12</v>
      </c>
      <c r="E18" s="139">
        <f>$B$8*E19</f>
        <v>18</v>
      </c>
      <c r="F18" s="139">
        <f>$B$8*F19</f>
        <v>21</v>
      </c>
      <c r="G18" s="139">
        <f>$B$8*G19</f>
        <v>24</v>
      </c>
      <c r="H18" s="146">
        <f>SUM(C18:G18)/SUM($C$7:$G$7)</f>
        <v>0.50943396226415094</v>
      </c>
      <c r="I18" s="146">
        <f>(C18*$B$38+D18*$C$38+E18*$D$38+F18*$E$38+G18*$F$38)/($C$7*$B$38+$D$7*$C$38+$E$7*$D$38+$F$7*$E$38+$G$7*F48)</f>
        <v>8.7633885102239521E-3</v>
      </c>
      <c r="J18" s="136"/>
      <c r="K18" s="136"/>
      <c r="L18" s="136"/>
      <c r="M18" s="136"/>
      <c r="N18" s="136"/>
      <c r="O18" s="136"/>
      <c r="P18" s="136"/>
      <c r="Q18" s="136"/>
      <c r="R18" s="136"/>
      <c r="S18" s="136"/>
      <c r="T18" s="136"/>
      <c r="U18" s="136"/>
      <c r="V18" s="136"/>
      <c r="W18" s="136"/>
      <c r="X18" s="136"/>
      <c r="Y18" s="136"/>
      <c r="Z18" s="136"/>
      <c r="AA18" s="136"/>
      <c r="AB18" s="136"/>
      <c r="AC18" s="136"/>
      <c r="AD18" s="136"/>
    </row>
    <row r="19" spans="1:30" x14ac:dyDescent="0.25">
      <c r="A19" s="143" t="s">
        <v>214</v>
      </c>
      <c r="B19" s="148">
        <v>1</v>
      </c>
      <c r="C19" s="139">
        <f>C9*$B$17</f>
        <v>4</v>
      </c>
      <c r="D19" s="139">
        <f>D9*$B$17</f>
        <v>8</v>
      </c>
      <c r="E19" s="139">
        <f>E9*$B$17</f>
        <v>12</v>
      </c>
      <c r="F19" s="139">
        <f>F9*$B$17</f>
        <v>14</v>
      </c>
      <c r="G19" s="139">
        <f>G9*$B$17</f>
        <v>16</v>
      </c>
      <c r="H19" s="146">
        <f t="shared" ref="H19:H23" si="2">SUM(C19:G19)/SUM($C$7:$G$7)</f>
        <v>0.33962264150943394</v>
      </c>
      <c r="I19" s="146">
        <f>(C19*$B$39+D19*$C$39+E19*$D$39+F19*$E$39+G19*$F$39)/($C$7*$B$39+$D$7*$C$39+$E$7*$D$39+$F$7*$E$39+$G$7*$F$39)</f>
        <v>0.32142857142857145</v>
      </c>
      <c r="J19" s="136"/>
      <c r="K19" s="136"/>
      <c r="L19" s="136"/>
      <c r="M19" s="136"/>
      <c r="N19" s="136"/>
      <c r="O19" s="136"/>
      <c r="P19" s="136"/>
      <c r="Q19" s="136"/>
      <c r="R19" s="136"/>
      <c r="S19" s="136"/>
      <c r="T19" s="136"/>
      <c r="U19" s="136"/>
      <c r="V19" s="136"/>
      <c r="W19" s="136"/>
      <c r="X19" s="136"/>
      <c r="Y19" s="136"/>
      <c r="Z19" s="136"/>
      <c r="AA19" s="136"/>
      <c r="AB19" s="136"/>
      <c r="AC19" s="136"/>
      <c r="AD19" s="136"/>
    </row>
    <row r="20" spans="1:30" x14ac:dyDescent="0.25">
      <c r="A20" s="143" t="s">
        <v>215</v>
      </c>
      <c r="B20" s="148">
        <v>3</v>
      </c>
      <c r="C20" s="139">
        <f>$B$10*C19</f>
        <v>12</v>
      </c>
      <c r="D20" s="139">
        <f>$B$10*D19</f>
        <v>24</v>
      </c>
      <c r="E20" s="139">
        <f>$B$10*E19</f>
        <v>36</v>
      </c>
      <c r="F20" s="139">
        <f>$B$10*F19</f>
        <v>42</v>
      </c>
      <c r="G20" s="139">
        <f>$B$10*G19</f>
        <v>48</v>
      </c>
      <c r="H20" s="146">
        <f t="shared" si="2"/>
        <v>1.0188679245283019</v>
      </c>
      <c r="I20" s="146">
        <f>(C20*$B$40+D20*$C$40+E20*$D$40+F20*$E$40+G20*$F$40)/($C$7*$B$40+$D$7*$C$40+$E$7*$D$40+$F$7*$E$40+$G$7*$F$40)</f>
        <v>0.95823095823095816</v>
      </c>
      <c r="J20" s="136"/>
      <c r="K20" s="136"/>
      <c r="L20" s="136"/>
      <c r="M20" s="136"/>
      <c r="N20" s="136"/>
      <c r="O20" s="136"/>
      <c r="P20" s="136"/>
      <c r="Q20" s="136"/>
      <c r="R20" s="136"/>
      <c r="S20" s="136"/>
      <c r="T20" s="136"/>
      <c r="U20" s="136"/>
      <c r="V20" s="136"/>
      <c r="W20" s="136"/>
      <c r="X20" s="136"/>
      <c r="Y20" s="136"/>
      <c r="Z20" s="136"/>
      <c r="AA20" s="136"/>
      <c r="AB20" s="136"/>
      <c r="AC20" s="136"/>
      <c r="AD20" s="136"/>
    </row>
    <row r="21" spans="1:30" x14ac:dyDescent="0.25">
      <c r="A21" s="143" t="s">
        <v>216</v>
      </c>
      <c r="B21" s="148">
        <v>2</v>
      </c>
      <c r="C21" s="139">
        <f>$B$11*C19</f>
        <v>8</v>
      </c>
      <c r="D21" s="139">
        <f>$B$11*D19</f>
        <v>16</v>
      </c>
      <c r="E21" s="139">
        <f>$B$11*E19</f>
        <v>24</v>
      </c>
      <c r="F21" s="139">
        <f>$B$11*F19</f>
        <v>28</v>
      </c>
      <c r="G21" s="139">
        <f>$B$11*G19</f>
        <v>32</v>
      </c>
      <c r="H21" s="146">
        <f t="shared" si="2"/>
        <v>0.67924528301886788</v>
      </c>
      <c r="I21" s="146">
        <f>(C21*$B$41+D21*$C$41+E21*$D$41+F21*$E$41+G21*$F$41)/($C$7*$B$41+$D$7*$C$41+$E$7*$D$41+$F$7*$E$41+$G$7*$F$41)</f>
        <v>0.66272189349112431</v>
      </c>
      <c r="J21" s="136"/>
      <c r="K21" s="136"/>
      <c r="L21" s="136"/>
      <c r="M21" s="136"/>
      <c r="N21" s="136"/>
      <c r="O21" s="136"/>
      <c r="P21" s="136"/>
      <c r="Q21" s="136"/>
      <c r="R21" s="136"/>
      <c r="S21" s="136"/>
      <c r="T21" s="136"/>
      <c r="U21" s="136"/>
      <c r="V21" s="136"/>
      <c r="W21" s="136"/>
      <c r="X21" s="136"/>
      <c r="Y21" s="136"/>
      <c r="Z21" s="136"/>
      <c r="AA21" s="136"/>
      <c r="AB21" s="136"/>
      <c r="AC21" s="136"/>
      <c r="AD21" s="136"/>
    </row>
    <row r="22" spans="1:30" x14ac:dyDescent="0.25">
      <c r="A22" s="143" t="s">
        <v>224</v>
      </c>
      <c r="B22" s="148">
        <v>4</v>
      </c>
      <c r="C22" s="139">
        <f>$B12*C$19</f>
        <v>16</v>
      </c>
      <c r="D22" s="139">
        <f>$B12*D$19</f>
        <v>32</v>
      </c>
      <c r="E22" s="139">
        <f>$B12*E$19</f>
        <v>48</v>
      </c>
      <c r="F22" s="139">
        <f>$B12*F$19</f>
        <v>56</v>
      </c>
      <c r="G22" s="139">
        <f>$B12*G$19</f>
        <v>64</v>
      </c>
      <c r="H22" s="146">
        <f t="shared" si="2"/>
        <v>1.3584905660377358</v>
      </c>
      <c r="I22" s="146">
        <f>(C22*$B$42+D22*$C$42+E22*$D$42+F22*$E$42+G22*$F$42)/($C$7*$B$42+$D$7*$C$42+$E$7*$D$42+$F$7*$E$42+$G$7*$F$42)</f>
        <v>1.3959731543624161</v>
      </c>
      <c r="J22" s="136"/>
      <c r="K22" s="136"/>
      <c r="L22" s="136"/>
      <c r="M22" s="136"/>
      <c r="N22" s="136"/>
      <c r="O22" s="136"/>
      <c r="P22" s="136"/>
      <c r="Q22" s="136"/>
      <c r="R22" s="136"/>
      <c r="S22" s="136"/>
      <c r="T22" s="136"/>
      <c r="U22" s="136"/>
      <c r="V22" s="136"/>
      <c r="W22" s="136"/>
      <c r="X22" s="136"/>
      <c r="Y22" s="136"/>
      <c r="Z22" s="136"/>
      <c r="AA22" s="136"/>
      <c r="AB22" s="136"/>
      <c r="AC22" s="136"/>
      <c r="AD22" s="136"/>
    </row>
    <row r="23" spans="1:30" x14ac:dyDescent="0.25">
      <c r="A23" s="143" t="s">
        <v>218</v>
      </c>
      <c r="B23" s="148">
        <v>6</v>
      </c>
      <c r="C23" s="139">
        <f>$B$13*C19</f>
        <v>24</v>
      </c>
      <c r="D23" s="139">
        <f>$B$13*D19</f>
        <v>48</v>
      </c>
      <c r="E23" s="139">
        <f>$B$13*E19</f>
        <v>72</v>
      </c>
      <c r="F23" s="139">
        <f>$B$13*F19</f>
        <v>84</v>
      </c>
      <c r="G23" s="139">
        <f>$B$13*G19</f>
        <v>96</v>
      </c>
      <c r="H23" s="146">
        <f t="shared" si="2"/>
        <v>2.0377358490566038</v>
      </c>
      <c r="I23" s="146">
        <f>(C23*$B$43+D23*$C$43+E23*$D$43+F23*$E$43+G23*$F$43)/($C$7*$B$43+$D$7*$C$43+$E$7*$D$43+$F$7*$E$43+$G$7*$F$43)</f>
        <v>2.1132075471698117</v>
      </c>
      <c r="J23" s="136"/>
      <c r="K23" s="136"/>
      <c r="L23" s="136"/>
      <c r="M23" s="136"/>
      <c r="N23" s="136"/>
      <c r="O23" s="136"/>
      <c r="P23" s="136"/>
      <c r="Q23" s="136"/>
      <c r="R23" s="136"/>
      <c r="S23" s="136"/>
      <c r="T23" s="136"/>
      <c r="U23" s="136"/>
      <c r="V23" s="136"/>
      <c r="W23" s="136"/>
      <c r="X23" s="136"/>
      <c r="Y23" s="136"/>
      <c r="Z23" s="136"/>
      <c r="AA23" s="136"/>
      <c r="AB23" s="136"/>
      <c r="AC23" s="136"/>
      <c r="AD23" s="136"/>
    </row>
    <row r="24" spans="1:30" x14ac:dyDescent="0.25">
      <c r="A24" s="142"/>
      <c r="B24" s="137"/>
      <c r="C24" s="137"/>
      <c r="D24" s="137"/>
      <c r="E24" s="137"/>
      <c r="F24" s="137"/>
      <c r="G24" s="137"/>
      <c r="H24" s="136"/>
      <c r="I24" s="137"/>
      <c r="J24" s="136"/>
      <c r="K24" s="136"/>
      <c r="L24" s="136"/>
      <c r="M24" s="136"/>
      <c r="N24" s="136"/>
      <c r="O24" s="136"/>
      <c r="P24" s="136"/>
      <c r="Q24" s="136"/>
      <c r="R24" s="136"/>
      <c r="S24" s="136"/>
      <c r="T24" s="136"/>
      <c r="U24" s="136"/>
      <c r="V24" s="136"/>
      <c r="W24" s="136"/>
      <c r="X24" s="136"/>
      <c r="Y24" s="136"/>
      <c r="Z24" s="136"/>
      <c r="AA24" s="136"/>
      <c r="AB24" s="136"/>
      <c r="AC24" s="136"/>
      <c r="AD24" s="136"/>
    </row>
    <row r="25" spans="1:30" x14ac:dyDescent="0.25">
      <c r="A25" s="149" t="s">
        <v>227</v>
      </c>
      <c r="B25" s="142"/>
      <c r="C25" s="142"/>
      <c r="D25" s="142"/>
      <c r="E25" s="142"/>
      <c r="F25" s="142"/>
      <c r="G25" s="142"/>
      <c r="H25" s="141"/>
      <c r="I25" s="142"/>
      <c r="J25" s="141"/>
      <c r="K25" s="141"/>
      <c r="L25" s="141"/>
      <c r="M25" s="141"/>
      <c r="N25" s="141"/>
      <c r="O25" s="141"/>
      <c r="P25" s="136"/>
      <c r="Q25" s="141"/>
      <c r="R25" s="141"/>
      <c r="S25" s="141"/>
      <c r="T25" s="141"/>
      <c r="U25" s="141"/>
      <c r="V25" s="141"/>
      <c r="W25" s="141"/>
      <c r="X25" s="141"/>
      <c r="Y25" s="141"/>
      <c r="Z25" s="141"/>
      <c r="AA25" s="141"/>
      <c r="AB25" s="141"/>
      <c r="AC25" s="141"/>
      <c r="AD25" s="141"/>
    </row>
    <row r="26" spans="1:30" x14ac:dyDescent="0.25">
      <c r="A26" s="143" t="s">
        <v>206</v>
      </c>
      <c r="B26" s="143" t="s">
        <v>219</v>
      </c>
      <c r="C26" s="713" t="s">
        <v>207</v>
      </c>
      <c r="D26" s="713"/>
      <c r="E26" s="713"/>
      <c r="F26" s="713"/>
      <c r="G26" s="713"/>
      <c r="H26" s="145"/>
      <c r="I26" s="143"/>
      <c r="J26" s="141"/>
      <c r="K26" s="141"/>
      <c r="L26" s="141"/>
      <c r="M26" s="141"/>
      <c r="N26" s="141"/>
      <c r="O26" s="141"/>
      <c r="P26" s="136"/>
      <c r="Q26" s="141"/>
      <c r="R26" s="141"/>
      <c r="S26" s="141"/>
      <c r="T26" s="141"/>
      <c r="U26" s="141"/>
      <c r="V26" s="141"/>
      <c r="W26" s="141"/>
      <c r="X26" s="141"/>
      <c r="Y26" s="141"/>
      <c r="Z26" s="141"/>
      <c r="AA26" s="141"/>
      <c r="AB26" s="141"/>
      <c r="AC26" s="141"/>
      <c r="AD26" s="141"/>
    </row>
    <row r="27" spans="1:30" x14ac:dyDescent="0.25">
      <c r="A27" s="143"/>
      <c r="B27" s="143"/>
      <c r="C27" s="143" t="str">
        <f>C17</f>
        <v>1 a 4</v>
      </c>
      <c r="D27" s="143" t="str">
        <f>D17</f>
        <v>5 a 8</v>
      </c>
      <c r="E27" s="143" t="str">
        <f>E17</f>
        <v>9 a 16</v>
      </c>
      <c r="F27" s="143" t="str">
        <f>F17</f>
        <v>17 a 24</v>
      </c>
      <c r="G27" s="143" t="str">
        <f>G17</f>
        <v>&gt; 25</v>
      </c>
      <c r="H27" s="143" t="s">
        <v>220</v>
      </c>
      <c r="I27" s="143" t="s">
        <v>221</v>
      </c>
      <c r="J27" s="141"/>
      <c r="K27" s="141"/>
      <c r="L27" s="141"/>
      <c r="M27" s="141"/>
      <c r="N27" s="141"/>
      <c r="O27" s="141"/>
      <c r="P27" s="136"/>
      <c r="Q27" s="141"/>
      <c r="R27" s="141"/>
      <c r="S27" s="141"/>
      <c r="T27" s="141"/>
      <c r="U27" s="141"/>
      <c r="V27" s="141"/>
      <c r="W27" s="141"/>
      <c r="X27" s="141"/>
      <c r="Y27" s="141"/>
      <c r="Z27" s="141"/>
      <c r="AA27" s="141"/>
      <c r="AB27" s="141"/>
      <c r="AC27" s="141"/>
      <c r="AD27" s="141"/>
    </row>
    <row r="28" spans="1:30" x14ac:dyDescent="0.25">
      <c r="A28" s="143" t="s">
        <v>213</v>
      </c>
      <c r="B28" s="148">
        <v>1.5</v>
      </c>
      <c r="C28" s="139">
        <f>(C8+C18)*70%</f>
        <v>8.3999999999999986</v>
      </c>
      <c r="D28" s="139">
        <f t="shared" ref="D28:G28" si="3">(D8+D18)*70%</f>
        <v>16.799999999999997</v>
      </c>
      <c r="E28" s="139">
        <f t="shared" si="3"/>
        <v>25.2</v>
      </c>
      <c r="F28" s="139">
        <f t="shared" si="3"/>
        <v>29.4</v>
      </c>
      <c r="G28" s="139">
        <f t="shared" si="3"/>
        <v>33.599999999999994</v>
      </c>
      <c r="H28" s="146">
        <f>SUM(C28:G28)/SUM(C7:$G$7)</f>
        <v>0.71320754716981116</v>
      </c>
      <c r="I28" s="139"/>
      <c r="J28" s="136"/>
      <c r="K28" s="136"/>
      <c r="L28" s="136"/>
      <c r="M28" s="136"/>
      <c r="N28" s="136"/>
      <c r="O28" s="136"/>
      <c r="P28" s="136"/>
      <c r="Q28" s="136"/>
      <c r="R28" s="136"/>
      <c r="S28" s="136"/>
      <c r="T28" s="136"/>
      <c r="U28" s="136"/>
      <c r="V28" s="136"/>
      <c r="W28" s="136"/>
      <c r="X28" s="136"/>
      <c r="Y28" s="136"/>
      <c r="Z28" s="136"/>
      <c r="AA28" s="136"/>
      <c r="AB28" s="136"/>
      <c r="AC28" s="136"/>
      <c r="AD28" s="136"/>
    </row>
    <row r="29" spans="1:30" x14ac:dyDescent="0.25">
      <c r="A29" s="143" t="s">
        <v>214</v>
      </c>
      <c r="B29" s="148">
        <v>1</v>
      </c>
      <c r="C29" s="139">
        <f t="shared" ref="C29:G33" si="4">(C9+C19)*70%</f>
        <v>5.6</v>
      </c>
      <c r="D29" s="139">
        <f t="shared" si="4"/>
        <v>11.2</v>
      </c>
      <c r="E29" s="139">
        <f t="shared" si="4"/>
        <v>16.799999999999997</v>
      </c>
      <c r="F29" s="139">
        <f t="shared" si="4"/>
        <v>19.599999999999998</v>
      </c>
      <c r="G29" s="139">
        <f t="shared" si="4"/>
        <v>22.4</v>
      </c>
      <c r="H29" s="146">
        <f>SUM(C29:G29)/SUM(C$7:$G8)</f>
        <v>0.315</v>
      </c>
      <c r="I29" s="139"/>
      <c r="J29" s="136"/>
      <c r="K29" s="136"/>
      <c r="L29" s="136"/>
      <c r="M29" s="136"/>
      <c r="N29" s="136"/>
      <c r="O29" s="136"/>
      <c r="P29" s="136"/>
      <c r="Q29" s="136"/>
      <c r="R29" s="136"/>
      <c r="S29" s="136"/>
      <c r="T29" s="136"/>
      <c r="U29" s="136"/>
      <c r="V29" s="136"/>
      <c r="W29" s="136"/>
      <c r="X29" s="136"/>
      <c r="Y29" s="136"/>
      <c r="Z29" s="136"/>
      <c r="AA29" s="136"/>
      <c r="AB29" s="136"/>
      <c r="AC29" s="136"/>
      <c r="AD29" s="136"/>
    </row>
    <row r="30" spans="1:30" x14ac:dyDescent="0.25">
      <c r="A30" s="143" t="s">
        <v>215</v>
      </c>
      <c r="B30" s="148">
        <v>3</v>
      </c>
      <c r="C30" s="139">
        <f t="shared" si="4"/>
        <v>16.799999999999997</v>
      </c>
      <c r="D30" s="139">
        <f t="shared" si="4"/>
        <v>33.599999999999994</v>
      </c>
      <c r="E30" s="139">
        <f t="shared" si="4"/>
        <v>50.4</v>
      </c>
      <c r="F30" s="139">
        <f t="shared" si="4"/>
        <v>58.8</v>
      </c>
      <c r="G30" s="139">
        <f t="shared" si="4"/>
        <v>67.199999999999989</v>
      </c>
      <c r="H30" s="146">
        <f>SUM(C30:G30)/SUM(C$7:$G9)</f>
        <v>0.77142857142857124</v>
      </c>
      <c r="I30" s="139"/>
      <c r="J30" s="136"/>
      <c r="K30" s="136"/>
      <c r="L30" s="136"/>
      <c r="M30" s="136"/>
      <c r="N30" s="136"/>
      <c r="O30" s="136"/>
      <c r="P30" s="136"/>
      <c r="Q30" s="136"/>
      <c r="R30" s="136"/>
      <c r="S30" s="136"/>
      <c r="T30" s="136"/>
      <c r="U30" s="136"/>
      <c r="V30" s="136"/>
      <c r="W30" s="136"/>
      <c r="X30" s="136"/>
      <c r="Y30" s="136"/>
      <c r="Z30" s="136"/>
      <c r="AA30" s="136"/>
      <c r="AB30" s="136"/>
      <c r="AC30" s="136"/>
      <c r="AD30" s="136"/>
    </row>
    <row r="31" spans="1:30" x14ac:dyDescent="0.25">
      <c r="A31" s="143" t="s">
        <v>216</v>
      </c>
      <c r="B31" s="148">
        <v>2</v>
      </c>
      <c r="C31" s="139">
        <f t="shared" si="4"/>
        <v>11.2</v>
      </c>
      <c r="D31" s="139">
        <f t="shared" si="4"/>
        <v>22.4</v>
      </c>
      <c r="E31" s="139">
        <f t="shared" si="4"/>
        <v>33.599999999999994</v>
      </c>
      <c r="F31" s="139">
        <f t="shared" si="4"/>
        <v>39.199999999999996</v>
      </c>
      <c r="G31" s="139">
        <f t="shared" si="4"/>
        <v>44.8</v>
      </c>
      <c r="H31" s="146">
        <f>SUM(C31:G31)/SUM(C$7:$G10)</f>
        <v>0.33157894736842103</v>
      </c>
      <c r="I31" s="139"/>
      <c r="J31" s="136"/>
      <c r="K31" s="136"/>
      <c r="L31" s="136"/>
      <c r="M31" s="136"/>
      <c r="N31" s="136"/>
      <c r="O31" s="136"/>
      <c r="P31" s="136"/>
      <c r="Q31" s="136"/>
      <c r="R31" s="136"/>
      <c r="S31" s="136"/>
      <c r="T31" s="136"/>
      <c r="U31" s="136"/>
      <c r="V31" s="136"/>
      <c r="W31" s="136"/>
      <c r="X31" s="136"/>
      <c r="Y31" s="136"/>
      <c r="Z31" s="136"/>
      <c r="AA31" s="136"/>
      <c r="AB31" s="136"/>
      <c r="AC31" s="136"/>
      <c r="AD31" s="136"/>
    </row>
    <row r="32" spans="1:30" x14ac:dyDescent="0.25">
      <c r="A32" s="143" t="s">
        <v>224</v>
      </c>
      <c r="B32" s="148">
        <v>4</v>
      </c>
      <c r="C32" s="139">
        <f t="shared" si="4"/>
        <v>22.4</v>
      </c>
      <c r="D32" s="139">
        <f t="shared" si="4"/>
        <v>44.8</v>
      </c>
      <c r="E32" s="139">
        <f t="shared" si="4"/>
        <v>67.199999999999989</v>
      </c>
      <c r="F32" s="139">
        <f t="shared" si="4"/>
        <v>78.399999999999991</v>
      </c>
      <c r="G32" s="139">
        <f t="shared" si="4"/>
        <v>89.6</v>
      </c>
      <c r="H32" s="146">
        <f>SUM(C32:G32)/SUM(C$7:$G11)</f>
        <v>0.53617021276595744</v>
      </c>
      <c r="I32" s="139"/>
      <c r="J32" s="136"/>
      <c r="K32" s="136"/>
      <c r="L32" s="136"/>
      <c r="M32" s="136"/>
      <c r="N32" s="136"/>
      <c r="O32" s="136"/>
      <c r="P32" s="136"/>
      <c r="Q32" s="136"/>
      <c r="R32" s="136"/>
      <c r="S32" s="136"/>
      <c r="T32" s="136"/>
      <c r="U32" s="136"/>
      <c r="V32" s="136"/>
      <c r="W32" s="136"/>
      <c r="X32" s="136"/>
      <c r="Y32" s="136"/>
      <c r="Z32" s="136"/>
      <c r="AA32" s="136"/>
      <c r="AB32" s="136"/>
      <c r="AC32" s="136"/>
      <c r="AD32" s="136"/>
    </row>
    <row r="33" spans="1:30" x14ac:dyDescent="0.25">
      <c r="A33" s="143" t="s">
        <v>218</v>
      </c>
      <c r="B33" s="148">
        <v>6</v>
      </c>
      <c r="C33" s="139">
        <f t="shared" si="4"/>
        <v>33.599999999999994</v>
      </c>
      <c r="D33" s="139">
        <f t="shared" si="4"/>
        <v>67.199999999999989</v>
      </c>
      <c r="E33" s="139">
        <f t="shared" si="4"/>
        <v>100.8</v>
      </c>
      <c r="F33" s="139">
        <f t="shared" si="4"/>
        <v>117.6</v>
      </c>
      <c r="G33" s="139">
        <f t="shared" si="4"/>
        <v>134.39999999999998</v>
      </c>
      <c r="H33" s="146">
        <f>SUM(C33:G33)/SUM(C$7:$G12)</f>
        <v>0.58153846153846145</v>
      </c>
      <c r="I33" s="139"/>
      <c r="J33" s="136"/>
      <c r="K33" s="136"/>
      <c r="L33" s="136"/>
      <c r="M33" s="136"/>
      <c r="N33" s="136"/>
      <c r="O33" s="136"/>
      <c r="P33" s="136"/>
      <c r="Q33" s="136"/>
      <c r="R33" s="136"/>
      <c r="S33" s="136"/>
      <c r="T33" s="136"/>
      <c r="U33" s="136"/>
      <c r="V33" s="136"/>
      <c r="W33" s="136"/>
      <c r="X33" s="136"/>
      <c r="Y33" s="136"/>
      <c r="Z33" s="136"/>
      <c r="AA33" s="136"/>
      <c r="AB33" s="136"/>
      <c r="AC33" s="136"/>
      <c r="AD33" s="136"/>
    </row>
    <row r="34" spans="1:30" x14ac:dyDescent="0.25">
      <c r="A34" s="142"/>
      <c r="B34" s="137"/>
      <c r="C34" s="137"/>
      <c r="D34" s="137"/>
      <c r="E34" s="137"/>
      <c r="F34" s="137"/>
      <c r="G34" s="137"/>
      <c r="H34" s="136"/>
      <c r="I34" s="137"/>
      <c r="J34" s="136"/>
      <c r="K34" s="136"/>
      <c r="L34" s="136"/>
      <c r="M34" s="136"/>
      <c r="N34" s="136"/>
      <c r="O34" s="136"/>
      <c r="P34" s="136"/>
      <c r="Q34" s="136"/>
      <c r="R34" s="136"/>
      <c r="S34" s="136"/>
      <c r="T34" s="136"/>
      <c r="U34" s="136"/>
      <c r="V34" s="136"/>
      <c r="W34" s="136"/>
      <c r="X34" s="136"/>
      <c r="Y34" s="136"/>
      <c r="Z34" s="136"/>
      <c r="AA34" s="136"/>
      <c r="AB34" s="136"/>
      <c r="AC34" s="136"/>
      <c r="AD34" s="136"/>
    </row>
    <row r="35" spans="1:30" hidden="1" x14ac:dyDescent="0.25">
      <c r="A35" s="141" t="s">
        <v>205</v>
      </c>
      <c r="B35" s="141"/>
      <c r="C35" s="141"/>
      <c r="D35" s="141"/>
      <c r="E35" s="141"/>
      <c r="F35" s="141"/>
      <c r="G35" s="141"/>
      <c r="H35" s="141"/>
      <c r="I35" s="142"/>
      <c r="J35" s="141"/>
      <c r="K35" s="141"/>
      <c r="L35" s="141"/>
      <c r="M35" s="141"/>
      <c r="N35" s="141"/>
      <c r="O35" s="141"/>
      <c r="P35" s="141"/>
      <c r="Q35" s="141"/>
      <c r="R35" s="141"/>
      <c r="S35" s="141"/>
      <c r="T35" s="141"/>
      <c r="U35" s="141"/>
      <c r="V35" s="141"/>
      <c r="W35" s="141"/>
      <c r="X35" s="141"/>
      <c r="Y35" s="141"/>
      <c r="Z35" s="141"/>
      <c r="AA35" s="141"/>
      <c r="AB35" s="141"/>
      <c r="AC35" s="141"/>
      <c r="AD35" s="141"/>
    </row>
    <row r="36" spans="1:30" hidden="1" x14ac:dyDescent="0.25">
      <c r="A36" s="143" t="s">
        <v>206</v>
      </c>
      <c r="B36" s="713" t="s">
        <v>207</v>
      </c>
      <c r="C36" s="713"/>
      <c r="D36" s="713"/>
      <c r="E36" s="713"/>
      <c r="F36" s="713"/>
      <c r="G36" s="141"/>
      <c r="H36" s="141"/>
      <c r="I36" s="142"/>
      <c r="J36" s="141"/>
      <c r="K36" s="141"/>
      <c r="L36" s="141"/>
      <c r="M36" s="141"/>
      <c r="N36" s="141"/>
      <c r="O36" s="141"/>
      <c r="P36" s="141"/>
      <c r="Q36" s="141"/>
      <c r="R36" s="141"/>
      <c r="S36" s="141"/>
      <c r="T36" s="141"/>
      <c r="U36" s="141"/>
      <c r="V36" s="141"/>
      <c r="W36" s="141"/>
      <c r="X36" s="141"/>
      <c r="Y36" s="141"/>
      <c r="Z36" s="141"/>
      <c r="AA36" s="141"/>
      <c r="AB36" s="141"/>
      <c r="AC36" s="141"/>
      <c r="AD36" s="141"/>
    </row>
    <row r="37" spans="1:30" hidden="1" x14ac:dyDescent="0.25">
      <c r="A37" s="143"/>
      <c r="B37" s="143" t="s">
        <v>208</v>
      </c>
      <c r="C37" s="143" t="s">
        <v>209</v>
      </c>
      <c r="D37" s="143" t="s">
        <v>210</v>
      </c>
      <c r="E37" s="143" t="s">
        <v>211</v>
      </c>
      <c r="F37" s="143" t="s">
        <v>212</v>
      </c>
      <c r="G37" s="141"/>
      <c r="H37" s="141"/>
      <c r="I37" s="142"/>
      <c r="J37" s="141"/>
      <c r="K37" s="141"/>
      <c r="L37" s="141"/>
      <c r="M37" s="141"/>
      <c r="N37" s="141"/>
      <c r="O37" s="141"/>
      <c r="P37" s="141"/>
      <c r="Q37" s="141"/>
      <c r="R37" s="141"/>
      <c r="S37" s="141"/>
      <c r="T37" s="141"/>
      <c r="U37" s="141"/>
      <c r="V37" s="141"/>
      <c r="W37" s="141"/>
      <c r="X37" s="141"/>
      <c r="Y37" s="141"/>
      <c r="Z37" s="141"/>
      <c r="AA37" s="141"/>
      <c r="AB37" s="141"/>
      <c r="AC37" s="141"/>
      <c r="AD37" s="141"/>
    </row>
    <row r="38" spans="1:30" hidden="1" x14ac:dyDescent="0.25">
      <c r="A38" s="143" t="s">
        <v>213</v>
      </c>
      <c r="B38" s="144">
        <v>0</v>
      </c>
      <c r="C38" s="144">
        <v>0.1</v>
      </c>
      <c r="D38" s="144">
        <v>0.1</v>
      </c>
      <c r="E38" s="144">
        <v>0.2</v>
      </c>
      <c r="F38" s="144">
        <v>0.6</v>
      </c>
      <c r="G38" s="142"/>
      <c r="H38" s="141"/>
      <c r="I38" s="142"/>
      <c r="J38" s="141"/>
      <c r="K38" s="141"/>
      <c r="L38" s="141"/>
      <c r="M38" s="141"/>
      <c r="N38" s="141"/>
      <c r="O38" s="141"/>
      <c r="P38" s="141"/>
      <c r="Q38" s="141"/>
      <c r="R38" s="141"/>
      <c r="S38" s="141"/>
      <c r="T38" s="141"/>
      <c r="U38" s="141"/>
      <c r="V38" s="141"/>
      <c r="W38" s="141"/>
      <c r="X38" s="141"/>
      <c r="Y38" s="141"/>
      <c r="Z38" s="141"/>
      <c r="AA38" s="141"/>
      <c r="AB38" s="141"/>
      <c r="AC38" s="141"/>
      <c r="AD38" s="141"/>
    </row>
    <row r="39" spans="1:30" hidden="1" x14ac:dyDescent="0.25">
      <c r="A39" s="143" t="s">
        <v>214</v>
      </c>
      <c r="B39" s="144">
        <v>0</v>
      </c>
      <c r="C39" s="144">
        <v>0.1</v>
      </c>
      <c r="D39" s="144">
        <v>0.1</v>
      </c>
      <c r="E39" s="144">
        <v>0.2</v>
      </c>
      <c r="F39" s="144">
        <v>0.6</v>
      </c>
      <c r="G39" s="142"/>
      <c r="H39" s="141"/>
      <c r="I39" s="142"/>
      <c r="J39" s="141"/>
      <c r="K39" s="141"/>
      <c r="L39" s="141"/>
      <c r="M39" s="141"/>
      <c r="N39" s="141"/>
      <c r="O39" s="141"/>
      <c r="P39" s="141"/>
      <c r="Q39" s="141"/>
      <c r="R39" s="141"/>
      <c r="S39" s="141"/>
      <c r="T39" s="141"/>
      <c r="U39" s="141"/>
      <c r="V39" s="141"/>
      <c r="W39" s="141"/>
      <c r="X39" s="141"/>
      <c r="Y39" s="141"/>
      <c r="Z39" s="141"/>
      <c r="AA39" s="141"/>
      <c r="AB39" s="141"/>
      <c r="AC39" s="141"/>
      <c r="AD39" s="141"/>
    </row>
    <row r="40" spans="1:30" hidden="1" x14ac:dyDescent="0.25">
      <c r="A40" s="143" t="s">
        <v>215</v>
      </c>
      <c r="B40" s="144">
        <v>0.1</v>
      </c>
      <c r="C40" s="144">
        <v>0.1</v>
      </c>
      <c r="D40" s="144">
        <v>0.1</v>
      </c>
      <c r="E40" s="144">
        <v>0.3</v>
      </c>
      <c r="F40" s="144">
        <v>0.4</v>
      </c>
      <c r="G40" s="142"/>
      <c r="H40" s="141"/>
      <c r="I40" s="142"/>
      <c r="J40" s="141"/>
      <c r="K40" s="141"/>
      <c r="L40" s="141"/>
      <c r="M40" s="141"/>
      <c r="N40" s="141"/>
      <c r="O40" s="141"/>
      <c r="P40" s="141"/>
      <c r="Q40" s="141"/>
      <c r="R40" s="141"/>
      <c r="S40" s="141"/>
      <c r="T40" s="141"/>
      <c r="U40" s="141"/>
      <c r="V40" s="141"/>
      <c r="W40" s="141"/>
      <c r="X40" s="141"/>
      <c r="Y40" s="141"/>
      <c r="Z40" s="141"/>
      <c r="AA40" s="141"/>
      <c r="AB40" s="141"/>
      <c r="AC40" s="141"/>
      <c r="AD40" s="141"/>
    </row>
    <row r="41" spans="1:30" hidden="1" x14ac:dyDescent="0.25">
      <c r="A41" s="143" t="s">
        <v>216</v>
      </c>
      <c r="B41" s="144">
        <v>0.2</v>
      </c>
      <c r="C41" s="144">
        <v>0.2</v>
      </c>
      <c r="D41" s="144">
        <v>0.1</v>
      </c>
      <c r="E41" s="144">
        <v>0.2</v>
      </c>
      <c r="F41" s="144">
        <v>0.3</v>
      </c>
      <c r="G41" s="142"/>
      <c r="H41" s="141"/>
      <c r="I41" s="142"/>
      <c r="J41" s="141"/>
      <c r="K41" s="141"/>
      <c r="L41" s="141"/>
      <c r="M41" s="141"/>
      <c r="N41" s="141"/>
      <c r="O41" s="141"/>
      <c r="P41" s="141"/>
      <c r="Q41" s="141"/>
      <c r="R41" s="141"/>
      <c r="S41" s="141"/>
      <c r="T41" s="141"/>
      <c r="U41" s="141"/>
      <c r="V41" s="141"/>
      <c r="W41" s="141"/>
      <c r="X41" s="141"/>
      <c r="Y41" s="141"/>
      <c r="Z41" s="141"/>
      <c r="AA41" s="141"/>
      <c r="AB41" s="141"/>
      <c r="AC41" s="141"/>
      <c r="AD41" s="141"/>
    </row>
    <row r="42" spans="1:30" hidden="1" x14ac:dyDescent="0.25">
      <c r="A42" s="143" t="s">
        <v>217</v>
      </c>
      <c r="B42" s="144">
        <v>0.2</v>
      </c>
      <c r="C42" s="144">
        <v>0.2</v>
      </c>
      <c r="D42" s="144">
        <v>0.3</v>
      </c>
      <c r="E42" s="144">
        <v>0.2</v>
      </c>
      <c r="F42" s="144">
        <v>0.1</v>
      </c>
      <c r="G42" s="142"/>
      <c r="H42" s="141"/>
      <c r="I42" s="142"/>
      <c r="J42" s="141"/>
      <c r="K42" s="141"/>
      <c r="L42" s="141"/>
      <c r="M42" s="141"/>
      <c r="N42" s="141"/>
      <c r="O42" s="141"/>
      <c r="P42" s="141"/>
      <c r="Q42" s="141"/>
      <c r="R42" s="141"/>
      <c r="S42" s="141"/>
      <c r="T42" s="141"/>
      <c r="U42" s="141"/>
      <c r="V42" s="141"/>
      <c r="W42" s="141"/>
      <c r="X42" s="141"/>
      <c r="Y42" s="141"/>
      <c r="Z42" s="141"/>
      <c r="AA42" s="141"/>
      <c r="AB42" s="141"/>
      <c r="AC42" s="141"/>
      <c r="AD42" s="141"/>
    </row>
    <row r="43" spans="1:30" hidden="1" x14ac:dyDescent="0.25">
      <c r="A43" s="143" t="s">
        <v>218</v>
      </c>
      <c r="B43" s="144">
        <v>0.1</v>
      </c>
      <c r="C43" s="144">
        <v>0.2</v>
      </c>
      <c r="D43" s="144">
        <v>0.4</v>
      </c>
      <c r="E43" s="144">
        <v>0.2</v>
      </c>
      <c r="F43" s="144">
        <v>0.1</v>
      </c>
      <c r="G43" s="142"/>
      <c r="H43" s="141"/>
      <c r="I43" s="142"/>
      <c r="J43" s="141"/>
      <c r="K43" s="141"/>
      <c r="L43" s="141"/>
      <c r="M43" s="141"/>
      <c r="N43" s="141"/>
      <c r="O43" s="141"/>
      <c r="P43" s="141"/>
      <c r="Q43" s="141"/>
      <c r="R43" s="141"/>
      <c r="S43" s="141"/>
      <c r="T43" s="141"/>
      <c r="U43" s="141"/>
      <c r="V43" s="141"/>
      <c r="W43" s="141"/>
      <c r="X43" s="141"/>
      <c r="Y43" s="141"/>
      <c r="Z43" s="141"/>
      <c r="AA43" s="141"/>
      <c r="AB43" s="141"/>
      <c r="AC43" s="141"/>
      <c r="AD43" s="141"/>
    </row>
    <row r="44" spans="1:30" hidden="1" x14ac:dyDescent="0.25">
      <c r="A44" s="141"/>
      <c r="B44" s="136"/>
      <c r="C44" s="136"/>
      <c r="D44" s="136"/>
      <c r="E44" s="136"/>
      <c r="F44" s="136"/>
      <c r="G44" s="136"/>
      <c r="H44" s="136"/>
      <c r="I44" s="137"/>
      <c r="J44" s="136"/>
      <c r="K44" s="136"/>
      <c r="L44" s="136"/>
      <c r="M44" s="136"/>
      <c r="N44" s="136"/>
      <c r="O44" s="136"/>
      <c r="P44" s="136"/>
      <c r="Q44" s="136"/>
      <c r="R44" s="136"/>
      <c r="S44" s="136"/>
      <c r="T44" s="136"/>
      <c r="U44" s="136"/>
      <c r="V44" s="136"/>
      <c r="W44" s="136"/>
      <c r="X44" s="136"/>
      <c r="Y44" s="136"/>
      <c r="Z44" s="136"/>
      <c r="AA44" s="136"/>
      <c r="AB44" s="136"/>
      <c r="AC44" s="136"/>
      <c r="AD44" s="136"/>
    </row>
    <row r="45" spans="1:30" hidden="1" x14ac:dyDescent="0.25">
      <c r="A45" s="141" t="s">
        <v>247</v>
      </c>
      <c r="B45" s="136"/>
      <c r="C45" s="136"/>
      <c r="D45" s="136"/>
      <c r="E45" s="136"/>
      <c r="F45" s="136"/>
      <c r="G45" s="136"/>
      <c r="H45" s="136"/>
      <c r="I45" s="137"/>
      <c r="J45" s="136"/>
      <c r="K45" s="136"/>
      <c r="L45" s="136"/>
      <c r="M45" s="136"/>
      <c r="N45" s="136"/>
      <c r="O45" s="136"/>
      <c r="P45" s="136"/>
      <c r="Q45" s="136"/>
      <c r="R45" s="136"/>
      <c r="S45" s="136"/>
      <c r="T45" s="136"/>
      <c r="U45" s="136"/>
      <c r="V45" s="136"/>
      <c r="W45" s="136"/>
      <c r="X45" s="136"/>
      <c r="Y45" s="136"/>
      <c r="Z45" s="136"/>
      <c r="AA45" s="136"/>
      <c r="AB45" s="136"/>
      <c r="AC45" s="136"/>
      <c r="AD45" s="136"/>
    </row>
    <row r="46" spans="1:30" hidden="1" x14ac:dyDescent="0.25">
      <c r="A46" s="143" t="s">
        <v>206</v>
      </c>
      <c r="B46" s="143" t="s">
        <v>219</v>
      </c>
      <c r="C46" s="713" t="s">
        <v>207</v>
      </c>
      <c r="D46" s="713"/>
      <c r="E46" s="713"/>
      <c r="F46" s="713"/>
      <c r="G46" s="713"/>
      <c r="H46" s="145"/>
      <c r="I46" s="143"/>
      <c r="J46" s="141"/>
      <c r="K46" s="141"/>
      <c r="L46" s="141"/>
      <c r="M46" s="141"/>
      <c r="N46" s="141"/>
      <c r="O46" s="141"/>
      <c r="P46" s="136"/>
      <c r="Q46" s="141"/>
      <c r="R46" s="141"/>
      <c r="S46" s="141"/>
      <c r="T46" s="141"/>
      <c r="U46" s="141"/>
      <c r="V46" s="141"/>
      <c r="W46" s="141"/>
      <c r="X46" s="141"/>
      <c r="Y46" s="141"/>
      <c r="Z46" s="141"/>
      <c r="AA46" s="141"/>
      <c r="AB46" s="141"/>
      <c r="AC46" s="141"/>
      <c r="AD46" s="141"/>
    </row>
    <row r="47" spans="1:30" hidden="1" x14ac:dyDescent="0.25">
      <c r="A47" s="143"/>
      <c r="B47" s="143"/>
      <c r="C47" s="143" t="str">
        <f>B37</f>
        <v>1 a 4</v>
      </c>
      <c r="D47" s="143" t="str">
        <f>C37</f>
        <v>5 a 8</v>
      </c>
      <c r="E47" s="143" t="str">
        <f>D37</f>
        <v>9 a 16</v>
      </c>
      <c r="F47" s="143" t="str">
        <f>E37</f>
        <v>17 a 24</v>
      </c>
      <c r="G47" s="143" t="str">
        <f>F37</f>
        <v>&gt; 25</v>
      </c>
      <c r="H47" s="143" t="s">
        <v>220</v>
      </c>
      <c r="I47" s="143" t="s">
        <v>221</v>
      </c>
      <c r="J47" s="141"/>
      <c r="K47" s="141"/>
      <c r="L47" s="141"/>
      <c r="M47" s="141"/>
      <c r="N47" s="141"/>
      <c r="O47" s="141"/>
      <c r="P47" s="136"/>
      <c r="Q47" s="141"/>
      <c r="R47" s="141"/>
      <c r="S47" s="141"/>
      <c r="T47" s="141"/>
      <c r="U47" s="141"/>
      <c r="V47" s="141"/>
      <c r="W47" s="141"/>
      <c r="X47" s="141"/>
      <c r="Y47" s="141"/>
      <c r="Z47" s="141"/>
      <c r="AA47" s="141"/>
      <c r="AB47" s="141"/>
      <c r="AC47" s="141"/>
      <c r="AD47" s="141"/>
    </row>
    <row r="48" spans="1:30" hidden="1" x14ac:dyDescent="0.25">
      <c r="A48" s="143"/>
      <c r="B48" s="143"/>
      <c r="C48" s="143">
        <v>10</v>
      </c>
      <c r="D48" s="143">
        <v>20</v>
      </c>
      <c r="E48" s="143">
        <v>30</v>
      </c>
      <c r="F48" s="143">
        <v>49</v>
      </c>
      <c r="G48" s="143">
        <v>50</v>
      </c>
      <c r="H48" s="143"/>
      <c r="I48" s="143"/>
      <c r="J48" s="141"/>
      <c r="K48" s="142"/>
      <c r="L48" s="142"/>
      <c r="M48" s="142"/>
      <c r="N48" s="141"/>
      <c r="O48" s="142"/>
      <c r="P48" s="142"/>
      <c r="Q48" s="142"/>
      <c r="R48" s="141"/>
      <c r="S48" s="141"/>
      <c r="T48" s="141"/>
      <c r="U48" s="141"/>
      <c r="V48" s="141"/>
      <c r="W48" s="141"/>
      <c r="X48" s="141"/>
      <c r="Y48" s="141"/>
      <c r="Z48" s="141"/>
      <c r="AA48" s="141"/>
      <c r="AB48" s="141"/>
      <c r="AC48" s="141"/>
      <c r="AD48" s="141"/>
    </row>
    <row r="49" spans="1:30" hidden="1" x14ac:dyDescent="0.25">
      <c r="A49" s="143" t="s">
        <v>222</v>
      </c>
      <c r="B49" s="144">
        <v>0.5</v>
      </c>
      <c r="C49" s="139">
        <f>C9*$B$49</f>
        <v>2</v>
      </c>
      <c r="D49" s="139">
        <f>D9*$B$49</f>
        <v>4</v>
      </c>
      <c r="E49" s="139">
        <f>E9*$B$49</f>
        <v>6</v>
      </c>
      <c r="F49" s="139">
        <f>F9*$B$49</f>
        <v>7</v>
      </c>
      <c r="G49" s="139">
        <f>G9*$B$49</f>
        <v>8</v>
      </c>
      <c r="H49" s="146">
        <f>SUM(D49:G49)/SUM(D48:G48)</f>
        <v>0.16778523489932887</v>
      </c>
      <c r="I49" s="146"/>
      <c r="J49" s="147"/>
      <c r="K49" s="147"/>
      <c r="L49" s="147"/>
      <c r="M49" s="147"/>
      <c r="N49" s="147"/>
      <c r="O49" s="147"/>
      <c r="P49" s="147"/>
      <c r="Q49" s="147"/>
      <c r="R49" s="136"/>
      <c r="S49" s="136"/>
      <c r="T49" s="136"/>
      <c r="U49" s="136"/>
      <c r="V49" s="136"/>
      <c r="W49" s="136"/>
      <c r="X49" s="136"/>
      <c r="Y49" s="136"/>
      <c r="Z49" s="136"/>
      <c r="AA49" s="136"/>
      <c r="AB49" s="136"/>
      <c r="AC49" s="136"/>
      <c r="AD49" s="136"/>
    </row>
    <row r="50" spans="1:30" hidden="1" x14ac:dyDescent="0.25">
      <c r="A50" s="141"/>
      <c r="B50" s="136"/>
      <c r="C50" s="136"/>
      <c r="D50" s="136"/>
      <c r="E50" s="136"/>
      <c r="F50" s="136"/>
      <c r="G50" s="136"/>
      <c r="H50" s="136"/>
      <c r="I50" s="137"/>
      <c r="J50" s="136"/>
      <c r="K50" s="136"/>
      <c r="L50" s="136"/>
      <c r="M50" s="136"/>
      <c r="N50" s="136"/>
      <c r="O50" s="136"/>
      <c r="P50" s="136"/>
      <c r="Q50" s="136"/>
      <c r="R50" s="136"/>
      <c r="S50" s="136"/>
      <c r="T50" s="136"/>
      <c r="U50" s="136"/>
      <c r="V50" s="136"/>
      <c r="W50" s="136"/>
      <c r="X50" s="136"/>
      <c r="Y50" s="136"/>
      <c r="Z50" s="136"/>
      <c r="AA50" s="136"/>
      <c r="AB50" s="136"/>
      <c r="AC50" s="136"/>
      <c r="AD50" s="136"/>
    </row>
    <row r="51" spans="1:30" hidden="1" x14ac:dyDescent="0.25">
      <c r="A51" s="149" t="s">
        <v>228</v>
      </c>
      <c r="B51" s="142"/>
      <c r="C51" s="142"/>
      <c r="D51" s="142"/>
      <c r="E51" s="142"/>
      <c r="F51" s="142"/>
      <c r="G51" s="142"/>
      <c r="H51" s="141"/>
      <c r="I51" s="142"/>
      <c r="J51" s="141"/>
      <c r="K51" s="141"/>
      <c r="L51" s="141"/>
      <c r="M51" s="141"/>
      <c r="N51" s="141"/>
      <c r="O51" s="141"/>
      <c r="P51" s="141"/>
      <c r="Q51" s="141"/>
      <c r="R51" s="141"/>
      <c r="S51" s="141"/>
      <c r="T51" s="141"/>
      <c r="U51" s="141"/>
      <c r="V51" s="141"/>
      <c r="W51" s="141"/>
      <c r="X51" s="141"/>
      <c r="Y51" s="141"/>
      <c r="Z51" s="141"/>
      <c r="AA51" s="141"/>
      <c r="AB51" s="141"/>
      <c r="AC51" s="141"/>
      <c r="AD51" s="141"/>
    </row>
    <row r="52" spans="1:30" hidden="1" x14ac:dyDescent="0.25">
      <c r="A52" s="143"/>
      <c r="B52" s="143"/>
      <c r="C52" s="143" t="s">
        <v>229</v>
      </c>
      <c r="D52" s="143" t="s">
        <v>230</v>
      </c>
      <c r="E52" s="143" t="s">
        <v>231</v>
      </c>
      <c r="F52" s="143" t="s">
        <v>232</v>
      </c>
      <c r="G52" s="143" t="s">
        <v>233</v>
      </c>
      <c r="H52" s="141"/>
      <c r="I52" s="142"/>
      <c r="J52" s="141"/>
      <c r="K52" s="141"/>
      <c r="L52" s="141"/>
      <c r="M52" s="141"/>
      <c r="N52" s="141"/>
      <c r="O52" s="141"/>
      <c r="P52" s="141"/>
      <c r="Q52" s="141"/>
      <c r="R52" s="141"/>
      <c r="S52" s="141"/>
      <c r="T52" s="141"/>
      <c r="U52" s="141"/>
      <c r="V52" s="141"/>
      <c r="W52" s="141"/>
      <c r="X52" s="141"/>
      <c r="Y52" s="141"/>
      <c r="Z52" s="141"/>
      <c r="AA52" s="141"/>
      <c r="AB52" s="141"/>
      <c r="AC52" s="141"/>
      <c r="AD52" s="141"/>
    </row>
    <row r="53" spans="1:30" hidden="1" x14ac:dyDescent="0.25">
      <c r="A53" s="143"/>
      <c r="B53" s="143"/>
      <c r="C53" s="143" t="s">
        <v>234</v>
      </c>
      <c r="D53" s="143" t="s">
        <v>235</v>
      </c>
      <c r="E53" s="143" t="s">
        <v>210</v>
      </c>
      <c r="F53" s="143" t="s">
        <v>211</v>
      </c>
      <c r="G53" s="143" t="s">
        <v>236</v>
      </c>
      <c r="H53" s="141"/>
      <c r="I53" s="142"/>
      <c r="J53" s="141"/>
      <c r="K53" s="141"/>
      <c r="L53" s="141"/>
      <c r="M53" s="141"/>
      <c r="N53" s="141"/>
      <c r="O53" s="141"/>
      <c r="P53" s="141"/>
      <c r="Q53" s="141"/>
      <c r="R53" s="141"/>
      <c r="S53" s="141"/>
      <c r="T53" s="141"/>
      <c r="U53" s="141"/>
      <c r="V53" s="141"/>
      <c r="W53" s="141"/>
      <c r="X53" s="141"/>
      <c r="Y53" s="141"/>
      <c r="Z53" s="141"/>
      <c r="AA53" s="141"/>
      <c r="AB53" s="141"/>
      <c r="AC53" s="141"/>
      <c r="AD53" s="141"/>
    </row>
    <row r="54" spans="1:30" hidden="1" x14ac:dyDescent="0.25">
      <c r="A54" s="143" t="s">
        <v>206</v>
      </c>
      <c r="B54" s="143" t="s">
        <v>237</v>
      </c>
      <c r="C54" s="143" t="s">
        <v>238</v>
      </c>
      <c r="D54" s="143">
        <v>8</v>
      </c>
      <c r="E54" s="143">
        <v>16</v>
      </c>
      <c r="F54" s="143">
        <v>24</v>
      </c>
      <c r="G54" s="143">
        <v>40</v>
      </c>
      <c r="H54" s="141"/>
      <c r="I54" s="142"/>
      <c r="J54" s="141"/>
      <c r="K54" s="141"/>
      <c r="L54" s="141"/>
      <c r="M54" s="141"/>
      <c r="N54" s="141"/>
      <c r="O54" s="141"/>
      <c r="P54" s="141"/>
      <c r="Q54" s="141"/>
      <c r="R54" s="141"/>
      <c r="S54" s="141"/>
      <c r="T54" s="141"/>
      <c r="U54" s="141"/>
      <c r="V54" s="141"/>
      <c r="W54" s="141"/>
      <c r="X54" s="141"/>
      <c r="Y54" s="141"/>
      <c r="Z54" s="141"/>
      <c r="AA54" s="141"/>
      <c r="AB54" s="141"/>
      <c r="AC54" s="141"/>
      <c r="AD54" s="141"/>
    </row>
    <row r="55" spans="1:30" hidden="1" x14ac:dyDescent="0.25">
      <c r="A55" s="143" t="s">
        <v>213</v>
      </c>
      <c r="B55" s="151">
        <v>0.7</v>
      </c>
      <c r="C55" s="139"/>
      <c r="D55" s="139">
        <f>ROUND(D$54*$B55,0)</f>
        <v>6</v>
      </c>
      <c r="E55" s="139">
        <f>ROUND(E$54*$B55,0)</f>
        <v>11</v>
      </c>
      <c r="F55" s="139">
        <f t="shared" ref="D55:G59" si="5">ROUND(F$54*$B55,0)</f>
        <v>17</v>
      </c>
      <c r="G55" s="139">
        <f t="shared" si="5"/>
        <v>28</v>
      </c>
      <c r="H55" s="136"/>
      <c r="I55" s="137"/>
      <c r="J55" s="136"/>
      <c r="K55" s="136"/>
      <c r="L55" s="136"/>
      <c r="M55" s="136"/>
      <c r="N55" s="136"/>
      <c r="O55" s="136"/>
      <c r="P55" s="136"/>
      <c r="Q55" s="136"/>
      <c r="R55" s="136"/>
      <c r="S55" s="136"/>
      <c r="T55" s="136"/>
      <c r="U55" s="136"/>
      <c r="V55" s="136"/>
      <c r="W55" s="136"/>
      <c r="X55" s="136"/>
      <c r="Y55" s="136"/>
      <c r="Z55" s="136"/>
      <c r="AA55" s="136"/>
      <c r="AB55" s="136"/>
      <c r="AC55" s="136"/>
      <c r="AD55" s="136"/>
    </row>
    <row r="56" spans="1:30" hidden="1" x14ac:dyDescent="0.25">
      <c r="A56" s="143" t="s">
        <v>214</v>
      </c>
      <c r="B56" s="151">
        <v>7.0000000000000007E-2</v>
      </c>
      <c r="C56" s="139"/>
      <c r="D56" s="139">
        <f t="shared" si="5"/>
        <v>1</v>
      </c>
      <c r="E56" s="139">
        <f t="shared" si="5"/>
        <v>1</v>
      </c>
      <c r="F56" s="139">
        <f t="shared" si="5"/>
        <v>2</v>
      </c>
      <c r="G56" s="139">
        <f t="shared" si="5"/>
        <v>3</v>
      </c>
      <c r="H56" s="136"/>
      <c r="I56" s="137"/>
      <c r="J56" s="136"/>
      <c r="K56" s="136"/>
      <c r="L56" s="136"/>
      <c r="M56" s="136"/>
      <c r="N56" s="136"/>
      <c r="O56" s="136"/>
      <c r="P56" s="136"/>
      <c r="Q56" s="136"/>
      <c r="R56" s="136"/>
      <c r="S56" s="136"/>
      <c r="T56" s="136"/>
      <c r="U56" s="136"/>
      <c r="V56" s="136"/>
      <c r="W56" s="136"/>
      <c r="X56" s="136"/>
      <c r="Y56" s="136"/>
      <c r="Z56" s="136"/>
      <c r="AA56" s="136"/>
      <c r="AB56" s="136"/>
      <c r="AC56" s="136"/>
      <c r="AD56" s="136"/>
    </row>
    <row r="57" spans="1:30" hidden="1" x14ac:dyDescent="0.25">
      <c r="A57" s="143" t="s">
        <v>215</v>
      </c>
      <c r="B57" s="151">
        <v>0.1</v>
      </c>
      <c r="C57" s="139"/>
      <c r="D57" s="139">
        <f t="shared" si="5"/>
        <v>1</v>
      </c>
      <c r="E57" s="139">
        <f t="shared" si="5"/>
        <v>2</v>
      </c>
      <c r="F57" s="139">
        <f t="shared" si="5"/>
        <v>2</v>
      </c>
      <c r="G57" s="139">
        <f t="shared" si="5"/>
        <v>4</v>
      </c>
      <c r="H57" s="136"/>
      <c r="I57" s="137"/>
      <c r="J57" s="136"/>
      <c r="K57" s="136"/>
      <c r="L57" s="136"/>
      <c r="M57" s="136"/>
      <c r="N57" s="136"/>
      <c r="O57" s="136"/>
      <c r="P57" s="136"/>
      <c r="Q57" s="136"/>
      <c r="R57" s="136"/>
      <c r="S57" s="136"/>
      <c r="T57" s="136"/>
      <c r="U57" s="136"/>
      <c r="V57" s="136"/>
      <c r="W57" s="136"/>
      <c r="X57" s="136"/>
      <c r="Y57" s="136"/>
      <c r="Z57" s="136"/>
      <c r="AA57" s="136"/>
      <c r="AB57" s="136"/>
      <c r="AC57" s="136"/>
      <c r="AD57" s="136"/>
    </row>
    <row r="58" spans="1:30" hidden="1" x14ac:dyDescent="0.25">
      <c r="A58" s="143" t="s">
        <v>216</v>
      </c>
      <c r="B58" s="151">
        <v>0.03</v>
      </c>
      <c r="C58" s="139"/>
      <c r="D58" s="139">
        <f t="shared" si="5"/>
        <v>0</v>
      </c>
      <c r="E58" s="139">
        <f t="shared" si="5"/>
        <v>0</v>
      </c>
      <c r="F58" s="139">
        <f t="shared" si="5"/>
        <v>1</v>
      </c>
      <c r="G58" s="139">
        <f t="shared" si="5"/>
        <v>1</v>
      </c>
      <c r="H58" s="136"/>
      <c r="I58" s="137"/>
      <c r="J58" s="136"/>
      <c r="K58" s="136"/>
      <c r="L58" s="136"/>
      <c r="M58" s="136"/>
      <c r="N58" s="136"/>
      <c r="O58" s="136"/>
      <c r="P58" s="136"/>
      <c r="Q58" s="136"/>
      <c r="R58" s="136"/>
      <c r="S58" s="136"/>
      <c r="T58" s="136"/>
      <c r="U58" s="136"/>
      <c r="V58" s="136"/>
      <c r="W58" s="136"/>
      <c r="X58" s="136"/>
      <c r="Y58" s="136"/>
      <c r="Z58" s="136"/>
      <c r="AA58" s="136"/>
      <c r="AB58" s="136"/>
      <c r="AC58" s="136"/>
      <c r="AD58" s="136"/>
    </row>
    <row r="59" spans="1:30" hidden="1" x14ac:dyDescent="0.25">
      <c r="A59" s="143" t="s">
        <v>224</v>
      </c>
      <c r="B59" s="151">
        <v>0.1</v>
      </c>
      <c r="C59" s="139"/>
      <c r="D59" s="139">
        <f t="shared" si="5"/>
        <v>1</v>
      </c>
      <c r="E59" s="139">
        <f t="shared" si="5"/>
        <v>2</v>
      </c>
      <c r="F59" s="139">
        <f t="shared" si="5"/>
        <v>2</v>
      </c>
      <c r="G59" s="139">
        <f t="shared" si="5"/>
        <v>4</v>
      </c>
      <c r="H59" s="136"/>
      <c r="I59" s="137"/>
      <c r="J59" s="136"/>
      <c r="K59" s="136"/>
      <c r="L59" s="136"/>
      <c r="M59" s="136"/>
      <c r="N59" s="136"/>
      <c r="O59" s="136"/>
      <c r="P59" s="136"/>
      <c r="Q59" s="136"/>
      <c r="R59" s="136"/>
      <c r="S59" s="136"/>
      <c r="T59" s="136"/>
      <c r="U59" s="136"/>
      <c r="V59" s="136"/>
      <c r="W59" s="136"/>
      <c r="X59" s="136"/>
      <c r="Y59" s="136"/>
      <c r="Z59" s="136"/>
      <c r="AA59" s="136"/>
      <c r="AB59" s="136"/>
      <c r="AC59" s="136"/>
      <c r="AD59" s="136"/>
    </row>
    <row r="60" spans="1:30" hidden="1" x14ac:dyDescent="0.25">
      <c r="A60" s="141"/>
      <c r="B60" s="136"/>
      <c r="C60" s="136"/>
      <c r="D60" s="136"/>
      <c r="E60" s="136"/>
      <c r="F60" s="136"/>
      <c r="G60" s="136"/>
      <c r="H60" s="136"/>
      <c r="I60" s="137"/>
      <c r="J60" s="136"/>
      <c r="K60" s="136"/>
      <c r="L60" s="136"/>
      <c r="M60" s="136"/>
      <c r="N60" s="136"/>
      <c r="O60" s="136"/>
      <c r="P60" s="136"/>
      <c r="Q60" s="136"/>
      <c r="R60" s="136"/>
      <c r="S60" s="136"/>
      <c r="T60" s="136"/>
      <c r="U60" s="136"/>
      <c r="V60" s="136"/>
      <c r="W60" s="136"/>
      <c r="X60" s="136"/>
      <c r="Y60" s="136"/>
      <c r="Z60" s="136"/>
      <c r="AA60" s="136"/>
      <c r="AB60" s="136"/>
      <c r="AC60" s="136"/>
      <c r="AD60" s="136"/>
    </row>
    <row r="61" spans="1:30" hidden="1" x14ac:dyDescent="0.25">
      <c r="A61" s="149" t="s">
        <v>239</v>
      </c>
      <c r="B61" s="152"/>
      <c r="C61" s="152"/>
      <c r="D61" s="137"/>
      <c r="E61" s="137"/>
      <c r="F61" s="137"/>
      <c r="G61" s="137"/>
      <c r="H61" s="136"/>
      <c r="I61" s="137"/>
      <c r="J61" s="136"/>
      <c r="K61" s="136"/>
      <c r="L61" s="136"/>
      <c r="M61" s="135"/>
      <c r="N61" s="136"/>
      <c r="O61" s="136"/>
      <c r="P61" s="136"/>
      <c r="Q61" s="136"/>
      <c r="R61" s="136"/>
      <c r="S61" s="136"/>
      <c r="T61" s="136"/>
      <c r="U61" s="136"/>
      <c r="V61" s="136"/>
      <c r="W61" s="136"/>
      <c r="X61" s="136"/>
      <c r="Y61" s="136"/>
      <c r="Z61" s="136"/>
      <c r="AA61" s="136"/>
      <c r="AB61" s="136"/>
      <c r="AC61" s="136"/>
      <c r="AD61" s="136"/>
    </row>
    <row r="62" spans="1:30" hidden="1" x14ac:dyDescent="0.25">
      <c r="A62" s="143"/>
      <c r="B62" s="143"/>
      <c r="C62" s="143" t="s">
        <v>229</v>
      </c>
      <c r="D62" s="143" t="s">
        <v>230</v>
      </c>
      <c r="E62" s="143" t="s">
        <v>231</v>
      </c>
      <c r="F62" s="143" t="s">
        <v>232</v>
      </c>
      <c r="G62" s="143" t="s">
        <v>233</v>
      </c>
      <c r="H62" s="141"/>
      <c r="I62" s="142"/>
      <c r="J62" s="141"/>
      <c r="K62" s="141"/>
      <c r="L62" s="141"/>
      <c r="M62" s="141"/>
      <c r="N62" s="141"/>
      <c r="O62" s="141"/>
      <c r="P62" s="136"/>
      <c r="Q62" s="141"/>
      <c r="R62" s="141"/>
      <c r="S62" s="141"/>
      <c r="T62" s="141"/>
      <c r="U62" s="141"/>
      <c r="V62" s="141"/>
      <c r="W62" s="141"/>
      <c r="X62" s="141"/>
      <c r="Y62" s="149"/>
      <c r="Z62" s="149"/>
      <c r="AA62" s="149"/>
      <c r="AB62" s="149"/>
      <c r="AC62" s="141"/>
      <c r="AD62" s="141"/>
    </row>
    <row r="63" spans="1:30" hidden="1" x14ac:dyDescent="0.25">
      <c r="A63" s="143" t="s">
        <v>206</v>
      </c>
      <c r="B63" s="143" t="s">
        <v>237</v>
      </c>
      <c r="C63" s="143" t="s">
        <v>234</v>
      </c>
      <c r="D63" s="143" t="s">
        <v>235</v>
      </c>
      <c r="E63" s="143" t="s">
        <v>210</v>
      </c>
      <c r="F63" s="143" t="s">
        <v>211</v>
      </c>
      <c r="G63" s="143" t="s">
        <v>236</v>
      </c>
      <c r="H63" s="141"/>
      <c r="I63" s="142"/>
      <c r="J63" s="141"/>
      <c r="K63" s="141"/>
      <c r="L63" s="141"/>
      <c r="M63" s="141"/>
      <c r="N63" s="153"/>
      <c r="O63" s="141"/>
      <c r="P63" s="136"/>
      <c r="Q63" s="141"/>
      <c r="R63" s="141"/>
      <c r="S63" s="141"/>
      <c r="T63" s="141"/>
      <c r="U63" s="141"/>
      <c r="V63" s="141"/>
      <c r="W63" s="141"/>
      <c r="X63" s="141"/>
      <c r="Y63" s="154"/>
      <c r="Z63" s="154"/>
      <c r="AA63" s="154"/>
      <c r="AB63" s="154"/>
      <c r="AC63" s="141"/>
      <c r="AD63" s="141"/>
    </row>
    <row r="64" spans="1:30" hidden="1" x14ac:dyDescent="0.25">
      <c r="A64" s="143" t="s">
        <v>213</v>
      </c>
      <c r="B64" s="151">
        <v>0.7</v>
      </c>
      <c r="C64" s="139"/>
      <c r="D64" s="146">
        <f>D55*$H$8</f>
        <v>3.0566037735849054</v>
      </c>
      <c r="E64" s="146">
        <f t="shared" ref="E64:G64" si="6">E55*$H$8</f>
        <v>5.6037735849056602</v>
      </c>
      <c r="F64" s="146">
        <f t="shared" si="6"/>
        <v>8.6603773584905657</v>
      </c>
      <c r="G64" s="146">
        <f t="shared" si="6"/>
        <v>14.264150943396226</v>
      </c>
      <c r="H64" s="141" t="s">
        <v>240</v>
      </c>
      <c r="I64" s="142"/>
      <c r="J64" s="141"/>
      <c r="K64" s="141"/>
      <c r="L64" s="141"/>
      <c r="M64" s="141"/>
      <c r="N64" s="153"/>
      <c r="O64" s="141"/>
      <c r="P64" s="136"/>
      <c r="Q64" s="141"/>
      <c r="R64" s="141"/>
      <c r="S64" s="141"/>
      <c r="T64" s="141"/>
      <c r="U64" s="141"/>
      <c r="V64" s="141"/>
      <c r="W64" s="141"/>
      <c r="X64" s="141"/>
      <c r="Y64" s="154"/>
      <c r="Z64" s="154"/>
      <c r="AA64" s="154"/>
      <c r="AB64" s="154"/>
      <c r="AC64" s="141"/>
      <c r="AD64" s="141"/>
    </row>
    <row r="65" spans="1:30" hidden="1" x14ac:dyDescent="0.25">
      <c r="A65" s="143" t="s">
        <v>214</v>
      </c>
      <c r="B65" s="151">
        <v>7.0000000000000007E-2</v>
      </c>
      <c r="C65" s="139"/>
      <c r="D65" s="146">
        <f>D56*$H$9</f>
        <v>0.33962264150943394</v>
      </c>
      <c r="E65" s="146">
        <f t="shared" ref="E65:G65" si="7">E56*$H$9</f>
        <v>0.33962264150943394</v>
      </c>
      <c r="F65" s="146">
        <f t="shared" si="7"/>
        <v>0.67924528301886788</v>
      </c>
      <c r="G65" s="146">
        <f t="shared" si="7"/>
        <v>1.0188679245283019</v>
      </c>
      <c r="H65" s="136"/>
      <c r="I65" s="137"/>
      <c r="J65" s="136"/>
      <c r="K65" s="136"/>
      <c r="L65" s="136"/>
      <c r="M65" s="136"/>
      <c r="N65" s="153"/>
      <c r="O65" s="136"/>
      <c r="P65" s="136"/>
      <c r="Q65" s="136"/>
      <c r="R65" s="136"/>
      <c r="S65" s="136"/>
      <c r="T65" s="136"/>
      <c r="U65" s="136"/>
      <c r="V65" s="136"/>
      <c r="W65" s="136"/>
      <c r="X65" s="136"/>
      <c r="Y65" s="154"/>
      <c r="Z65" s="154"/>
      <c r="AA65" s="154"/>
      <c r="AB65" s="154"/>
      <c r="AC65" s="141"/>
      <c r="AD65" s="136"/>
    </row>
    <row r="66" spans="1:30" hidden="1" x14ac:dyDescent="0.25">
      <c r="A66" s="143" t="s">
        <v>215</v>
      </c>
      <c r="B66" s="151">
        <v>0.1</v>
      </c>
      <c r="C66" s="139"/>
      <c r="D66" s="146">
        <f>D57*$H$10</f>
        <v>1.0188679245283019</v>
      </c>
      <c r="E66" s="146">
        <f t="shared" ref="E66:G66" si="8">E57*$H$10</f>
        <v>2.0377358490566038</v>
      </c>
      <c r="F66" s="146">
        <f t="shared" si="8"/>
        <v>2.0377358490566038</v>
      </c>
      <c r="G66" s="146">
        <f t="shared" si="8"/>
        <v>4.0754716981132075</v>
      </c>
      <c r="H66" s="136"/>
      <c r="I66" s="137"/>
      <c r="J66" s="136"/>
      <c r="K66" s="136"/>
      <c r="L66" s="136"/>
      <c r="M66" s="136"/>
      <c r="N66" s="136"/>
      <c r="O66" s="136"/>
      <c r="P66" s="136"/>
      <c r="Q66" s="136"/>
      <c r="R66" s="136"/>
      <c r="S66" s="136"/>
      <c r="T66" s="136"/>
      <c r="U66" s="136"/>
      <c r="V66" s="136"/>
      <c r="W66" s="136"/>
      <c r="X66" s="136"/>
      <c r="Y66" s="154"/>
      <c r="Z66" s="154"/>
      <c r="AA66" s="154"/>
      <c r="AB66" s="154"/>
      <c r="AC66" s="141"/>
      <c r="AD66" s="136"/>
    </row>
    <row r="67" spans="1:30" hidden="1" x14ac:dyDescent="0.25">
      <c r="A67" s="143" t="s">
        <v>216</v>
      </c>
      <c r="B67" s="151">
        <v>0.03</v>
      </c>
      <c r="C67" s="139"/>
      <c r="D67" s="146">
        <f>D58*$H$11</f>
        <v>0</v>
      </c>
      <c r="E67" s="146">
        <f t="shared" ref="E67:G67" si="9">E58*$H$11</f>
        <v>0</v>
      </c>
      <c r="F67" s="146">
        <f t="shared" si="9"/>
        <v>0.67924528301886788</v>
      </c>
      <c r="G67" s="146">
        <f t="shared" si="9"/>
        <v>0.67924528301886788</v>
      </c>
      <c r="H67" s="136"/>
      <c r="I67" s="137"/>
      <c r="J67" s="136"/>
      <c r="K67" s="136"/>
      <c r="L67" s="136"/>
      <c r="M67" s="136"/>
      <c r="N67" s="153"/>
      <c r="O67" s="136"/>
      <c r="P67" s="136"/>
      <c r="Q67" s="136"/>
      <c r="R67" s="136"/>
      <c r="S67" s="136"/>
      <c r="T67" s="136"/>
      <c r="U67" s="136"/>
      <c r="V67" s="136"/>
      <c r="W67" s="136"/>
      <c r="X67" s="136"/>
      <c r="Y67" s="154"/>
      <c r="Z67" s="154"/>
      <c r="AA67" s="154"/>
      <c r="AB67" s="154"/>
      <c r="AC67" s="141"/>
      <c r="AD67" s="136"/>
    </row>
    <row r="68" spans="1:30" hidden="1" x14ac:dyDescent="0.25">
      <c r="A68" s="143" t="s">
        <v>224</v>
      </c>
      <c r="B68" s="151">
        <v>0.1</v>
      </c>
      <c r="C68" s="139"/>
      <c r="D68" s="146">
        <f>D59*$H$12</f>
        <v>1.3584905660377358</v>
      </c>
      <c r="E68" s="146">
        <f t="shared" ref="E68:G68" si="10">E59*$H$12</f>
        <v>2.7169811320754715</v>
      </c>
      <c r="F68" s="146">
        <f t="shared" si="10"/>
        <v>2.7169811320754715</v>
      </c>
      <c r="G68" s="146">
        <f t="shared" si="10"/>
        <v>5.4339622641509431</v>
      </c>
      <c r="H68" s="136" t="s">
        <v>241</v>
      </c>
      <c r="I68" s="137"/>
      <c r="J68" s="136"/>
      <c r="K68" s="136"/>
      <c r="L68" s="136"/>
      <c r="M68" s="136"/>
      <c r="N68" s="153"/>
      <c r="O68" s="136"/>
      <c r="P68" s="136"/>
      <c r="Q68" s="136"/>
      <c r="R68" s="136"/>
      <c r="S68" s="136"/>
      <c r="T68" s="136"/>
      <c r="U68" s="136"/>
      <c r="V68" s="136"/>
      <c r="W68" s="136"/>
      <c r="X68" s="136"/>
      <c r="Y68" s="154"/>
      <c r="Z68" s="154"/>
      <c r="AA68" s="154"/>
      <c r="AB68" s="154"/>
      <c r="AC68" s="141"/>
      <c r="AD68" s="136"/>
    </row>
    <row r="69" spans="1:30" hidden="1" x14ac:dyDescent="0.25">
      <c r="A69" s="143" t="s">
        <v>90</v>
      </c>
      <c r="B69" s="155"/>
      <c r="C69" s="143"/>
      <c r="D69" s="156">
        <f>SUM(D64:D67)</f>
        <v>4.415094339622641</v>
      </c>
      <c r="E69" s="156">
        <f>SUM(E64:E67)</f>
        <v>7.9811320754716988</v>
      </c>
      <c r="F69" s="156">
        <f>SUM(F64:F67)</f>
        <v>12.056603773584907</v>
      </c>
      <c r="G69" s="156">
        <f>SUM(G64:G67)</f>
        <v>20.037735849056602</v>
      </c>
      <c r="H69" s="136"/>
      <c r="I69" s="137"/>
      <c r="J69" s="136"/>
      <c r="K69" s="136"/>
      <c r="L69" s="136"/>
      <c r="M69" s="136"/>
      <c r="N69" s="153"/>
      <c r="O69" s="136"/>
      <c r="P69" s="136"/>
      <c r="Q69" s="136"/>
      <c r="R69" s="136"/>
      <c r="S69" s="136"/>
      <c r="T69" s="136"/>
      <c r="U69" s="136"/>
      <c r="V69" s="136"/>
      <c r="W69" s="136"/>
      <c r="X69" s="136"/>
      <c r="Y69" s="154"/>
      <c r="Z69" s="154"/>
      <c r="AA69" s="154"/>
      <c r="AB69" s="154"/>
      <c r="AC69" s="141"/>
      <c r="AD69" s="136"/>
    </row>
    <row r="70" spans="1:30" hidden="1" x14ac:dyDescent="0.25">
      <c r="A70" s="142"/>
      <c r="B70" s="137"/>
      <c r="C70" s="137"/>
      <c r="D70" s="137"/>
      <c r="E70" s="137"/>
      <c r="F70" s="137"/>
      <c r="G70" s="137"/>
      <c r="H70" s="136"/>
      <c r="I70" s="137"/>
      <c r="J70" s="136"/>
      <c r="K70" s="136"/>
      <c r="L70" s="136"/>
      <c r="M70" s="136"/>
      <c r="N70" s="153"/>
      <c r="O70" s="136"/>
      <c r="P70" s="136"/>
      <c r="Q70" s="136"/>
      <c r="R70" s="136"/>
      <c r="S70" s="136"/>
      <c r="T70" s="136"/>
      <c r="U70" s="136"/>
      <c r="V70" s="136"/>
      <c r="W70" s="136"/>
      <c r="X70" s="136"/>
      <c r="Y70" s="154"/>
      <c r="Z70" s="154"/>
      <c r="AA70" s="154"/>
      <c r="AB70" s="154"/>
      <c r="AC70" s="141"/>
      <c r="AD70" s="136"/>
    </row>
    <row r="71" spans="1:30" hidden="1" x14ac:dyDescent="0.25">
      <c r="A71" s="149" t="s">
        <v>242</v>
      </c>
      <c r="B71" s="152"/>
      <c r="C71" s="152"/>
      <c r="D71" s="137"/>
      <c r="E71" s="137"/>
      <c r="F71" s="137"/>
      <c r="G71" s="137"/>
      <c r="H71" s="136"/>
      <c r="I71" s="137"/>
      <c r="J71" s="136"/>
      <c r="K71" s="136"/>
      <c r="L71" s="136"/>
      <c r="M71" s="136"/>
      <c r="N71" s="153"/>
      <c r="O71" s="136"/>
      <c r="P71" s="136"/>
      <c r="Q71" s="136"/>
      <c r="R71" s="136"/>
      <c r="S71" s="136"/>
      <c r="T71" s="136"/>
      <c r="U71" s="136"/>
      <c r="V71" s="136"/>
      <c r="W71" s="136"/>
      <c r="X71" s="136"/>
      <c r="Y71" s="154"/>
      <c r="Z71" s="154"/>
      <c r="AA71" s="154"/>
      <c r="AB71" s="154"/>
      <c r="AC71" s="141"/>
      <c r="AD71" s="136"/>
    </row>
    <row r="72" spans="1:30" hidden="1" x14ac:dyDescent="0.25">
      <c r="A72" s="143"/>
      <c r="B72" s="143"/>
      <c r="C72" s="143" t="s">
        <v>229</v>
      </c>
      <c r="D72" s="143" t="s">
        <v>230</v>
      </c>
      <c r="E72" s="143" t="s">
        <v>231</v>
      </c>
      <c r="F72" s="143" t="s">
        <v>232</v>
      </c>
      <c r="G72" s="143" t="s">
        <v>233</v>
      </c>
      <c r="H72" s="141"/>
      <c r="I72" s="142"/>
      <c r="J72" s="141"/>
      <c r="K72" s="141"/>
      <c r="L72" s="141"/>
      <c r="M72" s="141"/>
      <c r="N72" s="141"/>
      <c r="O72" s="141"/>
      <c r="P72" s="136"/>
      <c r="Q72" s="141"/>
      <c r="R72" s="141"/>
      <c r="S72" s="141"/>
      <c r="T72" s="141"/>
      <c r="U72" s="141"/>
      <c r="V72" s="141"/>
      <c r="W72" s="141"/>
      <c r="X72" s="141"/>
      <c r="Y72" s="141"/>
      <c r="Z72" s="141"/>
      <c r="AA72" s="141"/>
      <c r="AB72" s="141"/>
      <c r="AC72" s="141"/>
      <c r="AD72" s="141"/>
    </row>
    <row r="73" spans="1:30" hidden="1" x14ac:dyDescent="0.25">
      <c r="A73" s="143" t="s">
        <v>206</v>
      </c>
      <c r="B73" s="143" t="s">
        <v>237</v>
      </c>
      <c r="C73" s="143" t="s">
        <v>234</v>
      </c>
      <c r="D73" s="143" t="s">
        <v>235</v>
      </c>
      <c r="E73" s="143" t="s">
        <v>210</v>
      </c>
      <c r="F73" s="143" t="s">
        <v>211</v>
      </c>
      <c r="G73" s="143" t="s">
        <v>236</v>
      </c>
      <c r="H73" s="141"/>
      <c r="I73" s="142"/>
      <c r="J73" s="141"/>
      <c r="K73" s="141"/>
      <c r="L73" s="141"/>
      <c r="M73" s="141"/>
      <c r="N73" s="141"/>
      <c r="O73" s="141"/>
      <c r="P73" s="136"/>
      <c r="Q73" s="141"/>
      <c r="R73" s="141"/>
      <c r="S73" s="141"/>
      <c r="T73" s="141"/>
      <c r="U73" s="141"/>
      <c r="V73" s="141"/>
      <c r="W73" s="141"/>
      <c r="X73" s="141"/>
      <c r="Y73" s="141"/>
      <c r="Z73" s="141"/>
      <c r="AA73" s="141"/>
      <c r="AB73" s="141"/>
      <c r="AC73" s="141"/>
      <c r="AD73" s="141"/>
    </row>
    <row r="74" spans="1:30" hidden="1" x14ac:dyDescent="0.25">
      <c r="A74" s="143" t="s">
        <v>213</v>
      </c>
      <c r="B74" s="151">
        <v>0.7</v>
      </c>
      <c r="C74" s="139"/>
      <c r="D74" s="146">
        <f>D64</f>
        <v>3.0566037735849054</v>
      </c>
      <c r="E74" s="146">
        <f t="shared" ref="E74:G74" si="11">E64</f>
        <v>5.6037735849056602</v>
      </c>
      <c r="F74" s="146">
        <f t="shared" si="11"/>
        <v>8.6603773584905657</v>
      </c>
      <c r="G74" s="146">
        <f t="shared" si="11"/>
        <v>14.264150943396226</v>
      </c>
      <c r="H74" s="141"/>
      <c r="I74" s="142"/>
      <c r="J74" s="141"/>
      <c r="K74" s="141"/>
      <c r="L74" s="141"/>
      <c r="M74" s="141"/>
      <c r="N74" s="141"/>
      <c r="O74" s="141"/>
      <c r="P74" s="136"/>
      <c r="Q74" s="141"/>
      <c r="R74" s="141"/>
      <c r="S74" s="141"/>
      <c r="T74" s="141"/>
      <c r="U74" s="141"/>
      <c r="V74" s="141"/>
      <c r="W74" s="141"/>
      <c r="X74" s="141"/>
      <c r="Y74" s="141"/>
      <c r="Z74" s="141"/>
      <c r="AA74" s="141"/>
      <c r="AB74" s="141"/>
      <c r="AC74" s="141"/>
      <c r="AD74" s="141"/>
    </row>
    <row r="75" spans="1:30" hidden="1" x14ac:dyDescent="0.25">
      <c r="A75" s="143" t="s">
        <v>214</v>
      </c>
      <c r="B75" s="151">
        <v>7.0000000000000007E-2</v>
      </c>
      <c r="C75" s="139"/>
      <c r="D75" s="146">
        <f t="shared" ref="D75:G78" si="12">D65</f>
        <v>0.33962264150943394</v>
      </c>
      <c r="E75" s="146">
        <f t="shared" si="12"/>
        <v>0.33962264150943394</v>
      </c>
      <c r="F75" s="146">
        <f t="shared" si="12"/>
        <v>0.67924528301886788</v>
      </c>
      <c r="G75" s="146">
        <f t="shared" si="12"/>
        <v>1.0188679245283019</v>
      </c>
      <c r="H75" s="136"/>
      <c r="I75" s="137"/>
      <c r="J75" s="136"/>
      <c r="K75" s="136"/>
      <c r="L75" s="136"/>
      <c r="M75" s="136"/>
      <c r="N75" s="136"/>
      <c r="O75" s="136"/>
      <c r="P75" s="136"/>
      <c r="Q75" s="136"/>
      <c r="R75" s="136"/>
      <c r="S75" s="136"/>
      <c r="T75" s="136"/>
      <c r="U75" s="136"/>
      <c r="V75" s="136"/>
      <c r="W75" s="136"/>
      <c r="X75" s="136"/>
      <c r="Y75" s="136"/>
      <c r="Z75" s="136"/>
      <c r="AA75" s="136"/>
      <c r="AB75" s="136"/>
      <c r="AC75" s="136"/>
      <c r="AD75" s="136"/>
    </row>
    <row r="76" spans="1:30" hidden="1" x14ac:dyDescent="0.25">
      <c r="A76" s="143" t="s">
        <v>215</v>
      </c>
      <c r="B76" s="151">
        <v>0.1</v>
      </c>
      <c r="C76" s="139"/>
      <c r="D76" s="146">
        <f t="shared" si="12"/>
        <v>1.0188679245283019</v>
      </c>
      <c r="E76" s="146">
        <f t="shared" si="12"/>
        <v>2.0377358490566038</v>
      </c>
      <c r="F76" s="146">
        <f t="shared" si="12"/>
        <v>2.0377358490566038</v>
      </c>
      <c r="G76" s="146">
        <f t="shared" si="12"/>
        <v>4.0754716981132075</v>
      </c>
      <c r="H76" s="136"/>
      <c r="I76" s="137"/>
      <c r="J76" s="136"/>
      <c r="K76" s="136"/>
      <c r="L76" s="136"/>
      <c r="M76" s="136"/>
      <c r="N76" s="136"/>
      <c r="O76" s="136"/>
      <c r="P76" s="136"/>
      <c r="Q76" s="136"/>
      <c r="R76" s="136"/>
      <c r="S76" s="136"/>
      <c r="T76" s="136"/>
      <c r="U76" s="136"/>
      <c r="V76" s="136"/>
      <c r="W76" s="136"/>
      <c r="X76" s="136"/>
      <c r="Y76" s="136"/>
      <c r="Z76" s="136"/>
      <c r="AA76" s="136"/>
      <c r="AB76" s="136"/>
      <c r="AC76" s="136"/>
      <c r="AD76" s="136"/>
    </row>
    <row r="77" spans="1:30" hidden="1" x14ac:dyDescent="0.25">
      <c r="A77" s="143" t="s">
        <v>216</v>
      </c>
      <c r="B77" s="151">
        <v>0.03</v>
      </c>
      <c r="C77" s="139"/>
      <c r="D77" s="146">
        <f t="shared" si="12"/>
        <v>0</v>
      </c>
      <c r="E77" s="146">
        <f t="shared" si="12"/>
        <v>0</v>
      </c>
      <c r="F77" s="146">
        <f t="shared" si="12"/>
        <v>0.67924528301886788</v>
      </c>
      <c r="G77" s="146">
        <f t="shared" si="12"/>
        <v>0.67924528301886788</v>
      </c>
      <c r="H77" s="136"/>
      <c r="I77" s="137"/>
      <c r="J77" s="136"/>
      <c r="K77" s="136"/>
      <c r="L77" s="136"/>
      <c r="M77" s="136"/>
      <c r="N77" s="136"/>
      <c r="O77" s="136"/>
      <c r="P77" s="136"/>
      <c r="Q77" s="136"/>
      <c r="R77" s="136"/>
      <c r="S77" s="136"/>
      <c r="T77" s="136"/>
      <c r="U77" s="136"/>
      <c r="V77" s="136"/>
      <c r="W77" s="136"/>
      <c r="X77" s="136"/>
      <c r="Y77" s="136"/>
      <c r="Z77" s="136"/>
      <c r="AA77" s="136"/>
      <c r="AB77" s="136"/>
      <c r="AC77" s="136"/>
      <c r="AD77" s="136"/>
    </row>
    <row r="78" spans="1:30" hidden="1" x14ac:dyDescent="0.25">
      <c r="A78" s="143" t="s">
        <v>224</v>
      </c>
      <c r="B78" s="151">
        <v>0.1</v>
      </c>
      <c r="C78" s="139"/>
      <c r="D78" s="146">
        <f t="shared" si="12"/>
        <v>1.3584905660377358</v>
      </c>
      <c r="E78" s="146">
        <f t="shared" si="12"/>
        <v>2.7169811320754715</v>
      </c>
      <c r="F78" s="146">
        <f t="shared" si="12"/>
        <v>2.7169811320754715</v>
      </c>
      <c r="G78" s="146">
        <f t="shared" si="12"/>
        <v>5.4339622641509431</v>
      </c>
      <c r="H78" s="136"/>
      <c r="I78" s="137"/>
      <c r="J78" s="136"/>
      <c r="K78" s="136"/>
      <c r="L78" s="136"/>
      <c r="M78" s="136"/>
      <c r="N78" s="136"/>
      <c r="O78" s="136"/>
      <c r="P78" s="136"/>
      <c r="Q78" s="136"/>
      <c r="R78" s="136"/>
      <c r="S78" s="136"/>
      <c r="T78" s="136"/>
      <c r="U78" s="136"/>
      <c r="V78" s="136"/>
      <c r="W78" s="136"/>
      <c r="X78" s="136"/>
      <c r="Y78" s="136"/>
      <c r="Z78" s="136"/>
      <c r="AA78" s="136"/>
      <c r="AB78" s="136"/>
      <c r="AC78" s="136"/>
      <c r="AD78" s="136"/>
    </row>
    <row r="79" spans="1:30" hidden="1" x14ac:dyDescent="0.25">
      <c r="A79" s="143" t="s">
        <v>90</v>
      </c>
      <c r="B79" s="155"/>
      <c r="C79" s="143"/>
      <c r="D79" s="156">
        <f>SUM(D74:D77)</f>
        <v>4.415094339622641</v>
      </c>
      <c r="E79" s="156">
        <f>SUM(E74:E77)</f>
        <v>7.9811320754716988</v>
      </c>
      <c r="F79" s="156">
        <f>SUM(F74:F77)</f>
        <v>12.056603773584907</v>
      </c>
      <c r="G79" s="156">
        <f>SUM(G74:G77)</f>
        <v>20.037735849056602</v>
      </c>
      <c r="H79" s="136"/>
      <c r="I79" s="137"/>
      <c r="J79" s="136"/>
      <c r="K79" s="136"/>
      <c r="L79" s="136"/>
      <c r="M79" s="136"/>
      <c r="N79" s="136"/>
      <c r="O79" s="136"/>
      <c r="P79" s="136"/>
      <c r="Q79" s="136"/>
      <c r="R79" s="136"/>
      <c r="S79" s="136"/>
      <c r="T79" s="136"/>
      <c r="U79" s="136"/>
      <c r="V79" s="136"/>
      <c r="W79" s="136"/>
      <c r="X79" s="136"/>
      <c r="Y79" s="136"/>
      <c r="Z79" s="136"/>
      <c r="AA79" s="136"/>
      <c r="AB79" s="136"/>
      <c r="AC79" s="136"/>
      <c r="AD79" s="136"/>
    </row>
    <row r="80" spans="1:30" hidden="1" x14ac:dyDescent="0.25">
      <c r="A80" s="142"/>
      <c r="B80" s="137"/>
      <c r="C80" s="137"/>
      <c r="D80" s="137"/>
      <c r="E80" s="137"/>
      <c r="F80" s="137"/>
      <c r="G80" s="137"/>
      <c r="H80" s="136"/>
      <c r="I80" s="137"/>
      <c r="J80" s="136"/>
      <c r="K80" s="136"/>
      <c r="L80" s="136"/>
      <c r="M80" s="136"/>
      <c r="N80" s="136"/>
      <c r="O80" s="136"/>
      <c r="P80" s="136"/>
      <c r="Q80" s="136"/>
      <c r="R80" s="136"/>
      <c r="S80" s="136"/>
      <c r="T80" s="136"/>
      <c r="U80" s="136"/>
      <c r="V80" s="136"/>
      <c r="W80" s="136"/>
      <c r="X80" s="136"/>
      <c r="Y80" s="136"/>
      <c r="Z80" s="136"/>
      <c r="AA80" s="136"/>
      <c r="AB80" s="136"/>
      <c r="AC80" s="136"/>
      <c r="AD80" s="136"/>
    </row>
    <row r="81" spans="1:30" hidden="1" x14ac:dyDescent="0.25">
      <c r="A81" s="149" t="s">
        <v>243</v>
      </c>
      <c r="B81" s="152"/>
      <c r="C81" s="152"/>
      <c r="D81" s="137"/>
      <c r="E81" s="137"/>
      <c r="F81" s="137"/>
      <c r="G81" s="137"/>
      <c r="H81" s="136"/>
      <c r="I81" s="137"/>
      <c r="J81" s="136"/>
      <c r="K81" s="136"/>
      <c r="L81" s="136"/>
      <c r="M81" s="136"/>
      <c r="N81" s="136"/>
      <c r="O81" s="136"/>
      <c r="P81" s="136"/>
      <c r="Q81" s="136"/>
      <c r="R81" s="136"/>
      <c r="S81" s="136"/>
      <c r="T81" s="136"/>
      <c r="U81" s="136"/>
      <c r="V81" s="136"/>
      <c r="W81" s="136"/>
      <c r="X81" s="136"/>
      <c r="Y81" s="136"/>
      <c r="Z81" s="136"/>
      <c r="AA81" s="136"/>
      <c r="AB81" s="136"/>
      <c r="AC81" s="136"/>
      <c r="AD81" s="136"/>
    </row>
    <row r="82" spans="1:30" hidden="1" x14ac:dyDescent="0.25">
      <c r="A82" s="143"/>
      <c r="B82" s="143"/>
      <c r="C82" s="143" t="s">
        <v>229</v>
      </c>
      <c r="D82" s="143" t="s">
        <v>230</v>
      </c>
      <c r="E82" s="143" t="s">
        <v>231</v>
      </c>
      <c r="F82" s="143" t="s">
        <v>232</v>
      </c>
      <c r="G82" s="143" t="s">
        <v>233</v>
      </c>
      <c r="H82" s="141"/>
      <c r="I82" s="141"/>
      <c r="J82" s="141"/>
      <c r="K82" s="141"/>
      <c r="L82" s="141"/>
      <c r="M82" s="141"/>
      <c r="N82" s="141"/>
      <c r="O82" s="141"/>
      <c r="P82" s="141"/>
      <c r="Q82" s="141"/>
      <c r="R82" s="141"/>
      <c r="S82" s="141"/>
      <c r="T82" s="141"/>
      <c r="U82" s="141"/>
      <c r="V82" s="141"/>
      <c r="W82" s="141"/>
      <c r="X82" s="141"/>
      <c r="Y82" s="141"/>
      <c r="Z82" s="141"/>
      <c r="AA82" s="141"/>
      <c r="AB82" s="141"/>
      <c r="AC82" s="141"/>
      <c r="AD82" s="141"/>
    </row>
    <row r="83" spans="1:30" hidden="1" x14ac:dyDescent="0.25">
      <c r="A83" s="143" t="s">
        <v>206</v>
      </c>
      <c r="B83" s="143" t="s">
        <v>237</v>
      </c>
      <c r="C83" s="143" t="s">
        <v>234</v>
      </c>
      <c r="D83" s="143" t="s">
        <v>235</v>
      </c>
      <c r="E83" s="143" t="s">
        <v>210</v>
      </c>
      <c r="F83" s="143" t="s">
        <v>211</v>
      </c>
      <c r="G83" s="143" t="s">
        <v>236</v>
      </c>
      <c r="H83" s="141"/>
      <c r="I83" s="141"/>
      <c r="J83" s="141"/>
      <c r="K83" s="141"/>
      <c r="L83" s="141"/>
      <c r="M83" s="141"/>
      <c r="N83" s="141"/>
      <c r="O83" s="141"/>
      <c r="P83" s="141"/>
      <c r="Q83" s="141"/>
      <c r="R83" s="141"/>
      <c r="S83" s="141"/>
      <c r="T83" s="141"/>
      <c r="U83" s="141"/>
      <c r="V83" s="141"/>
      <c r="W83" s="141"/>
      <c r="X83" s="141"/>
      <c r="Y83" s="141"/>
      <c r="Z83" s="141"/>
      <c r="AA83" s="141"/>
      <c r="AB83" s="141"/>
      <c r="AC83" s="141"/>
      <c r="AD83" s="141"/>
    </row>
    <row r="84" spans="1:30" hidden="1" x14ac:dyDescent="0.25">
      <c r="A84" s="143" t="s">
        <v>213</v>
      </c>
      <c r="B84" s="151">
        <v>0.7</v>
      </c>
      <c r="C84" s="139"/>
      <c r="D84" s="146">
        <f>D55*$H$28</f>
        <v>4.2792452830188665</v>
      </c>
      <c r="E84" s="146">
        <f t="shared" ref="E84:G84" si="13">E55*$H$28</f>
        <v>7.8452830188679226</v>
      </c>
      <c r="F84" s="146">
        <f t="shared" si="13"/>
        <v>12.124528301886789</v>
      </c>
      <c r="G84" s="146">
        <f t="shared" si="13"/>
        <v>19.969811320754712</v>
      </c>
      <c r="H84" s="141"/>
      <c r="I84" s="141"/>
      <c r="J84" s="141"/>
      <c r="K84" s="141"/>
      <c r="L84" s="141"/>
      <c r="M84" s="141"/>
      <c r="N84" s="141"/>
      <c r="O84" s="141"/>
      <c r="P84" s="141"/>
      <c r="Q84" s="141"/>
      <c r="R84" s="141"/>
      <c r="S84" s="141"/>
      <c r="T84" s="141"/>
      <c r="U84" s="141"/>
      <c r="V84" s="141"/>
      <c r="W84" s="141"/>
      <c r="X84" s="141"/>
      <c r="Y84" s="141"/>
      <c r="Z84" s="141"/>
      <c r="AA84" s="141"/>
      <c r="AB84" s="141"/>
      <c r="AC84" s="141"/>
      <c r="AD84" s="141"/>
    </row>
    <row r="85" spans="1:30" hidden="1" x14ac:dyDescent="0.25">
      <c r="A85" s="143" t="s">
        <v>214</v>
      </c>
      <c r="B85" s="151">
        <v>7.0000000000000007E-2</v>
      </c>
      <c r="C85" s="139"/>
      <c r="D85" s="146">
        <f t="shared" ref="D85:G88" si="14">D56*$H$28</f>
        <v>0.71320754716981116</v>
      </c>
      <c r="E85" s="146">
        <f t="shared" si="14"/>
        <v>0.71320754716981116</v>
      </c>
      <c r="F85" s="146">
        <f t="shared" si="14"/>
        <v>1.4264150943396223</v>
      </c>
      <c r="G85" s="146">
        <f t="shared" si="14"/>
        <v>2.1396226415094333</v>
      </c>
      <c r="H85" s="136"/>
      <c r="I85" s="137"/>
      <c r="J85" s="136"/>
      <c r="K85" s="136"/>
      <c r="L85" s="136"/>
      <c r="M85" s="136"/>
      <c r="N85" s="136"/>
      <c r="O85" s="136"/>
      <c r="P85" s="136"/>
      <c r="Q85" s="136"/>
      <c r="R85" s="136"/>
      <c r="S85" s="136"/>
      <c r="T85" s="136"/>
      <c r="U85" s="136"/>
      <c r="V85" s="136"/>
      <c r="W85" s="136"/>
      <c r="X85" s="136"/>
      <c r="Y85" s="136"/>
      <c r="Z85" s="136"/>
      <c r="AA85" s="136"/>
      <c r="AB85" s="136"/>
      <c r="AC85" s="136"/>
      <c r="AD85" s="136"/>
    </row>
    <row r="86" spans="1:30" hidden="1" x14ac:dyDescent="0.25">
      <c r="A86" s="143" t="s">
        <v>215</v>
      </c>
      <c r="B86" s="151">
        <v>0.1</v>
      </c>
      <c r="C86" s="139"/>
      <c r="D86" s="146">
        <f t="shared" si="14"/>
        <v>0.71320754716981116</v>
      </c>
      <c r="E86" s="146">
        <f t="shared" si="14"/>
        <v>1.4264150943396223</v>
      </c>
      <c r="F86" s="146">
        <f t="shared" si="14"/>
        <v>1.4264150943396223</v>
      </c>
      <c r="G86" s="146">
        <f t="shared" si="14"/>
        <v>2.8528301886792446</v>
      </c>
      <c r="H86" s="136"/>
      <c r="I86" s="137"/>
      <c r="J86" s="136"/>
      <c r="K86" s="136"/>
      <c r="L86" s="136"/>
      <c r="M86" s="136"/>
      <c r="N86" s="136"/>
      <c r="O86" s="136"/>
      <c r="P86" s="136"/>
      <c r="Q86" s="136"/>
      <c r="R86" s="136"/>
      <c r="S86" s="136"/>
      <c r="T86" s="136"/>
      <c r="U86" s="136"/>
      <c r="V86" s="136"/>
      <c r="W86" s="136"/>
      <c r="X86" s="136"/>
      <c r="Y86" s="136"/>
      <c r="Z86" s="136"/>
      <c r="AA86" s="136"/>
      <c r="AB86" s="136"/>
      <c r="AC86" s="136"/>
      <c r="AD86" s="136"/>
    </row>
    <row r="87" spans="1:30" hidden="1" x14ac:dyDescent="0.25">
      <c r="A87" s="143" t="s">
        <v>216</v>
      </c>
      <c r="B87" s="151">
        <v>0.03</v>
      </c>
      <c r="C87" s="139"/>
      <c r="D87" s="146">
        <f t="shared" si="14"/>
        <v>0</v>
      </c>
      <c r="E87" s="146">
        <f t="shared" si="14"/>
        <v>0</v>
      </c>
      <c r="F87" s="146">
        <f t="shared" si="14"/>
        <v>0.71320754716981116</v>
      </c>
      <c r="G87" s="146">
        <f t="shared" si="14"/>
        <v>0.71320754716981116</v>
      </c>
      <c r="H87" s="136"/>
      <c r="I87" s="137"/>
      <c r="J87" s="136"/>
      <c r="K87" s="136"/>
      <c r="L87" s="136"/>
      <c r="M87" s="136"/>
      <c r="N87" s="136"/>
      <c r="O87" s="136"/>
      <c r="P87" s="136"/>
      <c r="Q87" s="136"/>
      <c r="R87" s="136"/>
      <c r="S87" s="136"/>
      <c r="T87" s="136"/>
      <c r="U87" s="136"/>
      <c r="V87" s="136"/>
      <c r="W87" s="136"/>
      <c r="X87" s="136"/>
      <c r="Y87" s="136"/>
      <c r="Z87" s="136"/>
      <c r="AA87" s="136"/>
      <c r="AB87" s="136"/>
      <c r="AC87" s="136"/>
      <c r="AD87" s="136"/>
    </row>
    <row r="88" spans="1:30" hidden="1" x14ac:dyDescent="0.25">
      <c r="A88" s="143" t="s">
        <v>224</v>
      </c>
      <c r="B88" s="151">
        <v>0.1</v>
      </c>
      <c r="C88" s="139"/>
      <c r="D88" s="146">
        <f t="shared" si="14"/>
        <v>0.71320754716981116</v>
      </c>
      <c r="E88" s="146">
        <f t="shared" si="14"/>
        <v>1.4264150943396223</v>
      </c>
      <c r="F88" s="146">
        <f t="shared" si="14"/>
        <v>1.4264150943396223</v>
      </c>
      <c r="G88" s="146">
        <f t="shared" si="14"/>
        <v>2.8528301886792446</v>
      </c>
      <c r="H88" s="136"/>
      <c r="I88" s="137"/>
      <c r="J88" s="136"/>
      <c r="K88" s="136"/>
      <c r="L88" s="136"/>
      <c r="M88" s="136"/>
      <c r="N88" s="136"/>
      <c r="O88" s="136"/>
      <c r="P88" s="136"/>
      <c r="Q88" s="136"/>
      <c r="R88" s="136"/>
      <c r="S88" s="136"/>
      <c r="T88" s="136"/>
      <c r="U88" s="136"/>
      <c r="V88" s="136"/>
      <c r="W88" s="136"/>
      <c r="X88" s="136"/>
      <c r="Y88" s="136"/>
      <c r="Z88" s="136"/>
      <c r="AA88" s="136"/>
      <c r="AB88" s="136"/>
      <c r="AC88" s="136"/>
      <c r="AD88" s="136"/>
    </row>
    <row r="89" spans="1:30" hidden="1" x14ac:dyDescent="0.25">
      <c r="A89" s="143" t="s">
        <v>90</v>
      </c>
      <c r="B89" s="155"/>
      <c r="C89" s="143"/>
      <c r="D89" s="156">
        <f>SUM(D84:D88)</f>
        <v>6.4188679245283007</v>
      </c>
      <c r="E89" s="156">
        <f t="shared" ref="E89:F89" si="15">SUM(E84:E88)</f>
        <v>11.411320754716979</v>
      </c>
      <c r="F89" s="156">
        <f t="shared" si="15"/>
        <v>17.116981132075466</v>
      </c>
      <c r="G89" s="156">
        <f>SUM(G84:G88)</f>
        <v>28.528301886792448</v>
      </c>
      <c r="H89" s="136"/>
      <c r="I89" s="137"/>
      <c r="J89" s="136"/>
      <c r="K89" s="136"/>
      <c r="L89" s="136"/>
      <c r="M89" s="136"/>
      <c r="N89" s="136"/>
      <c r="O89" s="136"/>
      <c r="P89" s="136"/>
      <c r="Q89" s="136"/>
      <c r="R89" s="136"/>
      <c r="S89" s="136"/>
      <c r="T89" s="136"/>
      <c r="U89" s="136"/>
      <c r="V89" s="136"/>
      <c r="W89" s="136"/>
      <c r="X89" s="136"/>
      <c r="Y89" s="136"/>
      <c r="Z89" s="136"/>
      <c r="AA89" s="136"/>
      <c r="AB89" s="136"/>
      <c r="AC89" s="136"/>
      <c r="AD89" s="136"/>
    </row>
    <row r="90" spans="1:30" hidden="1" x14ac:dyDescent="0.25">
      <c r="A90" s="142"/>
      <c r="B90" s="137"/>
      <c r="C90" s="137"/>
      <c r="D90" s="137"/>
      <c r="E90" s="137"/>
      <c r="F90" s="137"/>
      <c r="G90" s="137"/>
      <c r="H90" s="136"/>
      <c r="I90" s="137"/>
      <c r="J90" s="136"/>
      <c r="K90" s="136"/>
      <c r="L90" s="136"/>
      <c r="M90" s="136"/>
      <c r="N90" s="136"/>
      <c r="O90" s="136"/>
      <c r="P90" s="136"/>
      <c r="Q90" s="136"/>
      <c r="R90" s="136"/>
      <c r="S90" s="136"/>
      <c r="T90" s="136"/>
      <c r="U90" s="136"/>
      <c r="V90" s="136"/>
      <c r="W90" s="136"/>
      <c r="X90" s="136"/>
      <c r="Y90" s="136"/>
      <c r="Z90" s="136"/>
      <c r="AA90" s="136"/>
      <c r="AB90" s="136"/>
      <c r="AC90" s="136"/>
      <c r="AD90" s="136"/>
    </row>
    <row r="91" spans="1:30" x14ac:dyDescent="0.25">
      <c r="A91" s="149" t="s">
        <v>244</v>
      </c>
      <c r="B91" s="137"/>
      <c r="C91" s="137"/>
      <c r="D91" s="137"/>
      <c r="E91" s="137"/>
      <c r="F91" s="137"/>
      <c r="G91" s="137"/>
      <c r="H91" s="136"/>
      <c r="I91" s="137"/>
      <c r="J91" s="136"/>
      <c r="K91" s="136"/>
      <c r="L91" s="136"/>
      <c r="M91" s="136"/>
      <c r="N91" s="136"/>
      <c r="O91" s="136"/>
      <c r="P91" s="136"/>
      <c r="Q91" s="136"/>
      <c r="R91" s="136"/>
      <c r="S91" s="136"/>
      <c r="T91" s="136"/>
      <c r="U91" s="136"/>
      <c r="V91" s="136"/>
      <c r="W91" s="136"/>
      <c r="X91" s="136"/>
      <c r="Y91" s="136"/>
      <c r="Z91" s="136"/>
      <c r="AA91" s="136"/>
      <c r="AB91" s="136"/>
      <c r="AC91" s="136"/>
      <c r="AD91" s="136"/>
    </row>
    <row r="92" spans="1:30" x14ac:dyDescent="0.25">
      <c r="A92" s="712" t="s">
        <v>245</v>
      </c>
      <c r="B92" s="712"/>
      <c r="C92" s="712"/>
      <c r="D92" s="712"/>
      <c r="E92" s="712"/>
      <c r="F92" s="712"/>
      <c r="G92" s="157">
        <v>0.35</v>
      </c>
      <c r="H92" s="136"/>
      <c r="I92" s="137"/>
      <c r="J92" s="136"/>
      <c r="K92" s="136"/>
      <c r="L92" s="136"/>
      <c r="M92" s="136"/>
      <c r="N92" s="136"/>
      <c r="O92" s="136"/>
      <c r="P92" s="136"/>
      <c r="Q92" s="136"/>
      <c r="R92" s="136"/>
      <c r="S92" s="136"/>
      <c r="T92" s="136"/>
      <c r="U92" s="136"/>
      <c r="V92" s="136"/>
      <c r="W92" s="136"/>
      <c r="X92" s="136"/>
      <c r="Y92" s="136"/>
      <c r="Z92" s="136"/>
      <c r="AA92" s="136"/>
      <c r="AB92" s="136"/>
      <c r="AC92" s="136"/>
      <c r="AD92" s="136"/>
    </row>
    <row r="93" spans="1:30" x14ac:dyDescent="0.25">
      <c r="A93" s="712" t="s">
        <v>246</v>
      </c>
      <c r="B93" s="712"/>
      <c r="C93" s="712">
        <v>50</v>
      </c>
      <c r="D93" s="712"/>
      <c r="E93" s="712"/>
      <c r="F93" s="712"/>
      <c r="G93" s="157">
        <v>0.65</v>
      </c>
      <c r="H93" s="136"/>
      <c r="I93" s="137"/>
      <c r="J93" s="136"/>
      <c r="K93" s="136"/>
      <c r="L93" s="136"/>
      <c r="M93" s="136"/>
      <c r="N93" s="136"/>
      <c r="O93" s="136"/>
      <c r="P93" s="136"/>
      <c r="Q93" s="136"/>
      <c r="R93" s="136"/>
      <c r="S93" s="136"/>
      <c r="T93" s="136"/>
      <c r="U93" s="136"/>
      <c r="V93" s="136"/>
      <c r="W93" s="136"/>
      <c r="X93" s="136"/>
      <c r="Y93" s="136"/>
      <c r="Z93" s="136"/>
      <c r="AA93" s="136"/>
      <c r="AB93" s="136"/>
      <c r="AC93" s="136"/>
      <c r="AD93" s="136"/>
    </row>
  </sheetData>
  <mergeCells count="13">
    <mergeCell ref="M2:N2"/>
    <mergeCell ref="A2:B2"/>
    <mergeCell ref="C2:D2"/>
    <mergeCell ref="F2:G2"/>
    <mergeCell ref="H2:I2"/>
    <mergeCell ref="K2:L2"/>
    <mergeCell ref="A93:F93"/>
    <mergeCell ref="B36:F36"/>
    <mergeCell ref="C46:G46"/>
    <mergeCell ref="C5:G5"/>
    <mergeCell ref="C16:G16"/>
    <mergeCell ref="C26:G26"/>
    <mergeCell ref="A92:F92"/>
  </mergeCells>
  <pageMargins left="0.511811024" right="0.511811024" top="0.78740157499999996" bottom="0.78740157499999996" header="0.31496062000000002" footer="0.31496062000000002"/>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4285F351B1B9CF46A2FD22E9BCD17A57" ma:contentTypeVersion="20" ma:contentTypeDescription="Crie um novo documento." ma:contentTypeScope="" ma:versionID="819a1b165934dde825f0b97b60500bdf">
  <xsd:schema xmlns:xsd="http://www.w3.org/2001/XMLSchema" xmlns:xs="http://www.w3.org/2001/XMLSchema" xmlns:p="http://schemas.microsoft.com/office/2006/metadata/properties" xmlns:ns2="27137f48-1a71-4fcd-85c2-91ad7a4555a3" xmlns:ns3="7568104f-62e0-486c-900b-8624e0c3f041" targetNamespace="http://schemas.microsoft.com/office/2006/metadata/properties" ma:root="true" ma:fieldsID="05c268e36a5dbbd6fe512544a3f964b7" ns2:_="" ns3:_="">
    <xsd:import namespace="27137f48-1a71-4fcd-85c2-91ad7a4555a3"/>
    <xsd:import namespace="7568104f-62e0-486c-900b-8624e0c3f041"/>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ServiceAutoKeyPoints" minOccurs="0"/>
                <xsd:element ref="ns2:MediaServiceKeyPoints"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SearchProperties" minOccurs="0"/>
                <xsd:element ref="ns2:MediaServiceObjectDetectorVersions" minOccurs="0"/>
                <xsd:element ref="ns2:MediaServiceBillingMetadata" minOccurs="0"/>
                <xsd:element ref="ns2:Criado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7137f48-1a71-4fcd-85c2-91ad7a4555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Marcações de imagem" ma:readOnly="false" ma:fieldId="{5cf76f15-5ced-4ddc-b409-7134ff3c332f}" ma:taxonomyMulti="true" ma:sspId="fdb12a06-6f44-4762-ad7e-66a3b31477bb" ma:termSetId="09814cd3-568e-fe90-9814-8d621ff8fb84" ma:anchorId="fba54fb3-c3e1-fe81-a776-ca4b69148c4d" ma:open="true" ma:isKeyword="false">
      <xsd:complexType>
        <xsd:sequence>
          <xsd:element ref="pc:Terms" minOccurs="0" maxOccurs="1"/>
        </xsd:sequence>
      </xsd:complex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BillingMetadata" ma:index="25" nillable="true" ma:displayName="MediaServiceBillingMetadata" ma:hidden="true" ma:internalName="MediaServiceBillingMetadata" ma:readOnly="true">
      <xsd:simpleType>
        <xsd:restriction base="dms:Note"/>
      </xsd:simpleType>
    </xsd:element>
    <xsd:element name="Criador" ma:index="26" nillable="true" ma:displayName="Criador" ma:format="Dropdown" ma:list="UserInfo" ma:SharePointGroup="0" ma:internalName="Criad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568104f-62e0-486c-900b-8624e0c3f041" elementFormDefault="qualified">
    <xsd:import namespace="http://schemas.microsoft.com/office/2006/documentManagement/types"/>
    <xsd:import namespace="http://schemas.microsoft.com/office/infopath/2007/PartnerControls"/>
    <xsd:element name="SharedWithUsers" ma:index="17"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Detalhes de Compartilhado Com" ma:internalName="SharedWithDetails" ma:readOnly="true">
      <xsd:simpleType>
        <xsd:restriction base="dms:Note">
          <xsd:maxLength value="255"/>
        </xsd:restriction>
      </xsd:simpleType>
    </xsd:element>
    <xsd:element name="TaxCatchAll" ma:index="22" nillable="true" ma:displayName="Taxonomy Catch All Column" ma:hidden="true" ma:list="{401185c0-7424-4657-b03f-754a784243d3}" ma:internalName="TaxCatchAll" ma:showField="CatchAllData" ma:web="7568104f-62e0-486c-900b-8624e0c3f04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TaxCatchAll xmlns="7568104f-62e0-486c-900b-8624e0c3f041" xsi:nil="true"/>
    <lcf76f155ced4ddcb4097134ff3c332f xmlns="27137f48-1a71-4fcd-85c2-91ad7a4555a3">
      <Terms xmlns="http://schemas.microsoft.com/office/infopath/2007/PartnerControls"/>
    </lcf76f155ced4ddcb4097134ff3c332f>
    <Criador xmlns="27137f48-1a71-4fcd-85c2-91ad7a4555a3">
      <UserInfo>
        <DisplayName/>
        <AccountId xsi:nil="true"/>
        <AccountType/>
      </UserInfo>
    </Criador>
  </documentManagement>
</p:properties>
</file>

<file path=customXml/itemProps1.xml><?xml version="1.0" encoding="utf-8"?>
<ds:datastoreItem xmlns:ds="http://schemas.openxmlformats.org/officeDocument/2006/customXml" ds:itemID="{962DF1BF-0319-44EA-871F-2632130B1967}">
  <ds:schemaRefs>
    <ds:schemaRef ds:uri="http://schemas.microsoft.com/sharepoint/v3/contenttype/forms"/>
  </ds:schemaRefs>
</ds:datastoreItem>
</file>

<file path=customXml/itemProps2.xml><?xml version="1.0" encoding="utf-8"?>
<ds:datastoreItem xmlns:ds="http://schemas.openxmlformats.org/officeDocument/2006/customXml" ds:itemID="{6F94A749-1A80-4B67-A517-2737947BFC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7137f48-1a71-4fcd-85c2-91ad7a4555a3"/>
    <ds:schemaRef ds:uri="7568104f-62e0-486c-900b-8624e0c3f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48F7FEF-23E0-4111-AA41-035463EE803A}">
  <ds:schemaRefs>
    <ds:schemaRef ds:uri="http://schemas.microsoft.com/DataMashup"/>
  </ds:schemaRefs>
</ds:datastoreItem>
</file>

<file path=customXml/itemProps4.xml><?xml version="1.0" encoding="utf-8"?>
<ds:datastoreItem xmlns:ds="http://schemas.openxmlformats.org/officeDocument/2006/customXml" ds:itemID="{8487363C-307A-41A4-8D70-B84D90AC2FAE}">
  <ds:schemaRefs>
    <ds:schemaRef ds:uri="http://schemas.openxmlformats.org/package/2006/metadata/core-properties"/>
    <ds:schemaRef ds:uri="http://www.w3.org/XML/1998/namespace"/>
    <ds:schemaRef ds:uri="7568104f-62e0-486c-900b-8624e0c3f041"/>
    <ds:schemaRef ds:uri="http://schemas.microsoft.com/office/2006/documentManagement/types"/>
    <ds:schemaRef ds:uri="http://purl.org/dc/terms/"/>
    <ds:schemaRef ds:uri="http://purl.org/dc/dcmitype/"/>
    <ds:schemaRef ds:uri="http://schemas.microsoft.com/office/2006/metadata/properties"/>
    <ds:schemaRef ds:uri="http://schemas.microsoft.com/office/infopath/2007/PartnerControls"/>
    <ds:schemaRef ds:uri="27137f48-1a71-4fcd-85c2-91ad7a4555a3"/>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16</vt:i4>
      </vt:variant>
      <vt:variant>
        <vt:lpstr>Intervalos Nomeados</vt:lpstr>
      </vt:variant>
      <vt:variant>
        <vt:i4>1</vt:i4>
      </vt:variant>
    </vt:vector>
  </HeadingPairs>
  <TitlesOfParts>
    <vt:vector size="17" baseType="lpstr">
      <vt:lpstr>Comece aqui! ; )</vt:lpstr>
      <vt:lpstr>Checklist Visita</vt:lpstr>
      <vt:lpstr>Matriz Escopo</vt:lpstr>
      <vt:lpstr>OT Automacao</vt:lpstr>
      <vt:lpstr>OT Memoria Generica</vt:lpstr>
      <vt:lpstr>DRE Generica</vt:lpstr>
      <vt:lpstr>Marcos, Cronograma e Tabelas</vt:lpstr>
      <vt:lpstr>Fornec. TAGNA</vt:lpstr>
      <vt:lpstr>Fornec. DIRETO</vt:lpstr>
      <vt:lpstr>1.DASHBOARD</vt:lpstr>
      <vt:lpstr>ESTIMADOR</vt:lpstr>
      <vt:lpstr>OT Tarifas Adicionais</vt:lpstr>
      <vt:lpstr>Custo HH</vt:lpstr>
      <vt:lpstr>4. LISTAS</vt:lpstr>
      <vt:lpstr>ROI</vt:lpstr>
      <vt:lpstr>MEMORIA DE PONTOS</vt:lpstr>
      <vt:lpstr>'Matriz Escopo'!Area_de_impressao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Edvar Spadette Junior</dc:creator>
  <cp:lastModifiedBy>Edvar Spadette Junior</cp:lastModifiedBy>
  <cp:lastPrinted>2026-02-10T00:13:06Z</cp:lastPrinted>
  <dcterms:created xsi:type="dcterms:W3CDTF">2024-10-17T21:41:07Z</dcterms:created>
  <dcterms:modified xsi:type="dcterms:W3CDTF">2026-03-24T13:09:09Z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0x0101004285F351B1B9CF46A2FD22E9BCD17A57</vt:lpwstr>
  </property>
  <property fmtid="{D5CDD505-2E9C-101B-9397-08002B2CF9AE}" pid="3" name="MediaServiceImageTags">
    <vt:lpwstr/>
  </property>
  <property fmtid="{D5CDD505-2E9C-101B-9397-08002B2CF9AE}" pid="4" name="Order">
    <vt:r8>5500</vt:r8>
  </property>
  <property fmtid="{D5CDD505-2E9C-101B-9397-08002B2CF9AE}" pid="5" name="xd_ProgID">
    <vt:lpwstr/>
  </property>
  <property fmtid="{D5CDD505-2E9C-101B-9397-08002B2CF9AE}" pid="6" name="ComplianceAssetId">
    <vt:lpwstr/>
  </property>
  <property fmtid="{D5CDD505-2E9C-101B-9397-08002B2CF9AE}" pid="7" name="TemplateUrl">
    <vt:lpwstr/>
  </property>
  <property fmtid="{D5CDD505-2E9C-101B-9397-08002B2CF9AE}" pid="8" name="_ExtendedDescription">
    <vt:lpwstr/>
  </property>
  <property fmtid="{D5CDD505-2E9C-101B-9397-08002B2CF9AE}" pid="9" name="TriggerFlowInfo">
    <vt:lpwstr/>
  </property>
  <property fmtid="{D5CDD505-2E9C-101B-9397-08002B2CF9AE}" pid="10" name="xd_Signature">
    <vt:bool>false</vt:bool>
  </property>
</Properties>
</file>